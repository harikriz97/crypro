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/>
  <mc:AlternateContent xmlns:mc="http://schemas.openxmlformats.org/markup-compatibility/2006">
    <mc:Choice Requires="x15">
      <x15ac:absPath xmlns:x15ac="http://schemas.microsoft.com/office/spreadsheetml/2010/11/ac" url="/Users/subash/Downloads/2025 Excel Calculation Tools copy/"/>
    </mc:Choice>
  </mc:AlternateContent>
  <xr:revisionPtr revIDLastSave="0" documentId="13_ncr:1_{1E06D4EF-0AE5-FB42-BAA0-7234A95E7FBA}" xr6:coauthVersionLast="47" xr6:coauthVersionMax="47" xr10:uidLastSave="{00000000-0000-0000-0000-000000000000}"/>
  <workbookProtection workbookAlgorithmName="SHA-512" workbookHashValue="fZWv798bh7adNPPAggbKd/fgpmFMqsjsU6v1Bq/hgsXpfrZkTRAxE7IyhO8UXnHaiSrV3EJbOTS2JvSoh2Zi6A==" workbookSaltValue="butndkcoN1Eoh8Wf/bvQTg==" workbookSpinCount="100000" lockStructure="1"/>
  <bookViews>
    <workbookView xWindow="0" yWindow="700" windowWidth="30240" windowHeight="17700" activeTab="4" xr2:uid="{00000000-000D-0000-FFFF-FFFF00000000}"/>
  </bookViews>
  <sheets>
    <sheet name="Nifty Future" sheetId="1" r:id="rId1"/>
    <sheet name="Banknifty Fut" sheetId="2" r:id="rId2"/>
    <sheet name="Gold Fut" sheetId="3" r:id="rId3"/>
    <sheet name="Gold Mini Fut" sheetId="5" r:id="rId4"/>
    <sheet name="Gold Ten Fut" sheetId="11" r:id="rId5"/>
    <sheet name="Silver Fut" sheetId="6" r:id="rId6"/>
    <sheet name="Silver Mini Fut" sheetId="7" r:id="rId7"/>
    <sheet name="Silver Micro Fut" sheetId="8" r:id="rId8"/>
    <sheet name="Natural Gas Fut" sheetId="9" r:id="rId9"/>
    <sheet name="Natgas Mini Fu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10" l="1"/>
  <c r="F66" i="10"/>
  <c r="E66" i="10" s="1"/>
  <c r="D66" i="10"/>
  <c r="C66" i="10"/>
  <c r="B66" i="10"/>
  <c r="D65" i="10"/>
  <c r="C65" i="10"/>
  <c r="B65" i="10"/>
  <c r="D64" i="10"/>
  <c r="C64" i="10"/>
  <c r="B64" i="10"/>
  <c r="F63" i="10"/>
  <c r="E63" i="10" s="1"/>
  <c r="D63" i="10"/>
  <c r="C63" i="10"/>
  <c r="B63" i="10"/>
  <c r="B57" i="10"/>
  <c r="E57" i="10" s="1"/>
  <c r="F65" i="10" s="1"/>
  <c r="E65" i="10" s="1"/>
  <c r="C47" i="10"/>
  <c r="F42" i="10"/>
  <c r="E42" i="10" s="1"/>
  <c r="D42" i="10"/>
  <c r="C42" i="10"/>
  <c r="B42" i="10"/>
  <c r="F41" i="10"/>
  <c r="E41" i="10"/>
  <c r="D41" i="10"/>
  <c r="C41" i="10"/>
  <c r="B41" i="10"/>
  <c r="F40" i="10"/>
  <c r="E40" i="10"/>
  <c r="D40" i="10"/>
  <c r="C40" i="10"/>
  <c r="B40" i="10"/>
  <c r="F39" i="10"/>
  <c r="E39" i="10" s="1"/>
  <c r="D39" i="10"/>
  <c r="C39" i="10"/>
  <c r="B39" i="10"/>
  <c r="F33" i="10"/>
  <c r="E33" i="10"/>
  <c r="D33" i="10"/>
  <c r="B33" i="10"/>
  <c r="M22" i="10"/>
  <c r="L22" i="10" s="1"/>
  <c r="K22" i="10"/>
  <c r="J22" i="10"/>
  <c r="I22" i="10"/>
  <c r="F22" i="10"/>
  <c r="E22" i="10"/>
  <c r="D22" i="10"/>
  <c r="C22" i="10"/>
  <c r="B22" i="10"/>
  <c r="K21" i="10"/>
  <c r="J21" i="10"/>
  <c r="I21" i="10"/>
  <c r="D21" i="10"/>
  <c r="C21" i="10"/>
  <c r="B21" i="10"/>
  <c r="K20" i="10"/>
  <c r="J20" i="10"/>
  <c r="I20" i="10"/>
  <c r="D20" i="10"/>
  <c r="C20" i="10"/>
  <c r="B20" i="10"/>
  <c r="M19" i="10"/>
  <c r="L19" i="10"/>
  <c r="K19" i="10"/>
  <c r="J19" i="10"/>
  <c r="I19" i="10"/>
  <c r="F19" i="10"/>
  <c r="E19" i="10" s="1"/>
  <c r="D19" i="10"/>
  <c r="C19" i="10"/>
  <c r="B19" i="10"/>
  <c r="F8" i="10"/>
  <c r="E8" i="10"/>
  <c r="B13" i="10" s="1"/>
  <c r="F7" i="10"/>
  <c r="E7" i="10"/>
  <c r="B12" i="10" s="1"/>
  <c r="C71" i="9"/>
  <c r="F66" i="9"/>
  <c r="E66" i="9" s="1"/>
  <c r="D66" i="9"/>
  <c r="C66" i="9"/>
  <c r="B66" i="9"/>
  <c r="F65" i="9"/>
  <c r="E65" i="9"/>
  <c r="D65" i="9"/>
  <c r="C65" i="9"/>
  <c r="B65" i="9"/>
  <c r="F64" i="9"/>
  <c r="E64" i="9"/>
  <c r="D64" i="9"/>
  <c r="C64" i="9"/>
  <c r="B64" i="9"/>
  <c r="F63" i="9"/>
  <c r="E63" i="9" s="1"/>
  <c r="D63" i="9"/>
  <c r="C63" i="9"/>
  <c r="B63" i="9"/>
  <c r="F57" i="9"/>
  <c r="E57" i="9"/>
  <c r="D57" i="9"/>
  <c r="B57" i="9"/>
  <c r="C47" i="9"/>
  <c r="D42" i="9"/>
  <c r="C42" i="9"/>
  <c r="B42" i="9"/>
  <c r="F41" i="9"/>
  <c r="E41" i="9"/>
  <c r="D41" i="9"/>
  <c r="C41" i="9"/>
  <c r="B41" i="9"/>
  <c r="F40" i="9"/>
  <c r="E40" i="9"/>
  <c r="D40" i="9"/>
  <c r="C40" i="9"/>
  <c r="B40" i="9"/>
  <c r="F39" i="9"/>
  <c r="E39" i="9"/>
  <c r="D39" i="9"/>
  <c r="C39" i="9"/>
  <c r="B39" i="9"/>
  <c r="E33" i="9"/>
  <c r="D33" i="9"/>
  <c r="B33" i="9"/>
  <c r="F33" i="9" s="1"/>
  <c r="F42" i="9" s="1"/>
  <c r="E42" i="9" s="1"/>
  <c r="M22" i="9"/>
  <c r="L22" i="9" s="1"/>
  <c r="K22" i="9"/>
  <c r="J22" i="9"/>
  <c r="I22" i="9"/>
  <c r="F22" i="9"/>
  <c r="E22" i="9" s="1"/>
  <c r="D22" i="9"/>
  <c r="C22" i="9"/>
  <c r="B22" i="9"/>
  <c r="K21" i="9"/>
  <c r="J21" i="9"/>
  <c r="I21" i="9"/>
  <c r="D21" i="9"/>
  <c r="C21" i="9"/>
  <c r="B21" i="9"/>
  <c r="K20" i="9"/>
  <c r="J20" i="9"/>
  <c r="I20" i="9"/>
  <c r="D20" i="9"/>
  <c r="C20" i="9"/>
  <c r="B20" i="9"/>
  <c r="M19" i="9"/>
  <c r="L19" i="9" s="1"/>
  <c r="K19" i="9"/>
  <c r="J19" i="9"/>
  <c r="I19" i="9"/>
  <c r="F19" i="9"/>
  <c r="E19" i="9"/>
  <c r="D19" i="9"/>
  <c r="C19" i="9"/>
  <c r="B19" i="9"/>
  <c r="F8" i="9"/>
  <c r="E8" i="9"/>
  <c r="B13" i="9" s="1"/>
  <c r="F7" i="9"/>
  <c r="E7" i="9"/>
  <c r="B12" i="9" s="1"/>
  <c r="D12" i="9" s="1"/>
  <c r="F20" i="9" s="1"/>
  <c r="E20" i="9" s="1"/>
  <c r="C71" i="8"/>
  <c r="D66" i="8"/>
  <c r="C66" i="8"/>
  <c r="B66" i="8"/>
  <c r="F65" i="8"/>
  <c r="E65" i="8" s="1"/>
  <c r="D65" i="8"/>
  <c r="C65" i="8"/>
  <c r="B65" i="8"/>
  <c r="F64" i="8"/>
  <c r="E64" i="8" s="1"/>
  <c r="D64" i="8"/>
  <c r="C64" i="8"/>
  <c r="B64" i="8"/>
  <c r="F63" i="8"/>
  <c r="E63" i="8" s="1"/>
  <c r="D63" i="8"/>
  <c r="C63" i="8"/>
  <c r="B63" i="8"/>
  <c r="B57" i="8"/>
  <c r="E57" i="8" s="1"/>
  <c r="C47" i="8"/>
  <c r="F42" i="8"/>
  <c r="E42" i="8" s="1"/>
  <c r="D42" i="8"/>
  <c r="C42" i="8"/>
  <c r="B42" i="8"/>
  <c r="F41" i="8"/>
  <c r="E41" i="8" s="1"/>
  <c r="D41" i="8"/>
  <c r="C41" i="8"/>
  <c r="B41" i="8"/>
  <c r="F40" i="8"/>
  <c r="E40" i="8"/>
  <c r="D40" i="8"/>
  <c r="C40" i="8"/>
  <c r="B40" i="8"/>
  <c r="D39" i="8"/>
  <c r="C39" i="8"/>
  <c r="B39" i="8"/>
  <c r="B33" i="8"/>
  <c r="F33" i="8" s="1"/>
  <c r="M22" i="8"/>
  <c r="L22" i="8" s="1"/>
  <c r="K22" i="8"/>
  <c r="J22" i="8"/>
  <c r="I22" i="8"/>
  <c r="F22" i="8"/>
  <c r="E22" i="8" s="1"/>
  <c r="D22" i="8"/>
  <c r="C22" i="8"/>
  <c r="B22" i="8"/>
  <c r="M21" i="8"/>
  <c r="L21" i="8" s="1"/>
  <c r="K21" i="8"/>
  <c r="J21" i="8"/>
  <c r="I21" i="8"/>
  <c r="F21" i="8"/>
  <c r="E21" i="8" s="1"/>
  <c r="D21" i="8"/>
  <c r="C21" i="8"/>
  <c r="B21" i="8"/>
  <c r="M20" i="8"/>
  <c r="L20" i="8" s="1"/>
  <c r="K20" i="8"/>
  <c r="J20" i="8"/>
  <c r="I20" i="8"/>
  <c r="F20" i="8"/>
  <c r="E20" i="8" s="1"/>
  <c r="D20" i="8"/>
  <c r="C20" i="8"/>
  <c r="B20" i="8"/>
  <c r="K19" i="8"/>
  <c r="J19" i="8"/>
  <c r="I19" i="8"/>
  <c r="D19" i="8"/>
  <c r="C19" i="8"/>
  <c r="B19" i="8"/>
  <c r="G8" i="8"/>
  <c r="F8" i="8"/>
  <c r="B13" i="8" s="1"/>
  <c r="G7" i="8"/>
  <c r="F7" i="8"/>
  <c r="B12" i="8" s="1"/>
  <c r="C71" i="7"/>
  <c r="D66" i="7"/>
  <c r="C66" i="7"/>
  <c r="B66" i="7"/>
  <c r="F65" i="7"/>
  <c r="E65" i="7" s="1"/>
  <c r="D65" i="7"/>
  <c r="C65" i="7"/>
  <c r="B65" i="7"/>
  <c r="F64" i="7"/>
  <c r="E64" i="7"/>
  <c r="D64" i="7"/>
  <c r="C64" i="7"/>
  <c r="B64" i="7"/>
  <c r="F63" i="7"/>
  <c r="E63" i="7" s="1"/>
  <c r="D63" i="7"/>
  <c r="C63" i="7"/>
  <c r="B63" i="7"/>
  <c r="B57" i="7"/>
  <c r="F57" i="7" s="1"/>
  <c r="F66" i="7" s="1"/>
  <c r="E66" i="7" s="1"/>
  <c r="C47" i="7"/>
  <c r="F42" i="7"/>
  <c r="E42" i="7" s="1"/>
  <c r="D42" i="7"/>
  <c r="C42" i="7"/>
  <c r="B42" i="7"/>
  <c r="F41" i="7"/>
  <c r="E41" i="7" s="1"/>
  <c r="D41" i="7"/>
  <c r="C41" i="7"/>
  <c r="B41" i="7"/>
  <c r="F40" i="7"/>
  <c r="E40" i="7" s="1"/>
  <c r="D40" i="7"/>
  <c r="C40" i="7"/>
  <c r="B40" i="7"/>
  <c r="D39" i="7"/>
  <c r="C39" i="7"/>
  <c r="B39" i="7"/>
  <c r="B33" i="7"/>
  <c r="F33" i="7" s="1"/>
  <c r="K22" i="7"/>
  <c r="J22" i="7"/>
  <c r="I22" i="7"/>
  <c r="D22" i="7"/>
  <c r="C22" i="7"/>
  <c r="B22" i="7"/>
  <c r="M21" i="7"/>
  <c r="L21" i="7" s="1"/>
  <c r="K21" i="7"/>
  <c r="J21" i="7"/>
  <c r="I21" i="7"/>
  <c r="F21" i="7"/>
  <c r="E21" i="7" s="1"/>
  <c r="D21" i="7"/>
  <c r="C21" i="7"/>
  <c r="B21" i="7"/>
  <c r="M20" i="7"/>
  <c r="L20" i="7" s="1"/>
  <c r="K20" i="7"/>
  <c r="J20" i="7"/>
  <c r="I20" i="7"/>
  <c r="F20" i="7"/>
  <c r="E20" i="7" s="1"/>
  <c r="D20" i="7"/>
  <c r="C20" i="7"/>
  <c r="B20" i="7"/>
  <c r="M19" i="7"/>
  <c r="L19" i="7" s="1"/>
  <c r="K19" i="7"/>
  <c r="J19" i="7"/>
  <c r="I19" i="7"/>
  <c r="F19" i="7"/>
  <c r="E19" i="7" s="1"/>
  <c r="D19" i="7"/>
  <c r="C19" i="7"/>
  <c r="B19" i="7"/>
  <c r="G8" i="7"/>
  <c r="F8" i="7"/>
  <c r="B13" i="7" s="1"/>
  <c r="D13" i="7" s="1"/>
  <c r="G7" i="7"/>
  <c r="F7" i="7"/>
  <c r="B12" i="7" s="1"/>
  <c r="C72" i="6"/>
  <c r="D67" i="6"/>
  <c r="C67" i="6"/>
  <c r="B67" i="6"/>
  <c r="F66" i="6"/>
  <c r="E66" i="6" s="1"/>
  <c r="D66" i="6"/>
  <c r="C66" i="6"/>
  <c r="B66" i="6"/>
  <c r="F65" i="6"/>
  <c r="E65" i="6"/>
  <c r="D65" i="6"/>
  <c r="C65" i="6"/>
  <c r="B65" i="6"/>
  <c r="F64" i="6"/>
  <c r="E64" i="6"/>
  <c r="D64" i="6"/>
  <c r="C64" i="6"/>
  <c r="B64" i="6"/>
  <c r="D58" i="6"/>
  <c r="B58" i="6"/>
  <c r="F58" i="6" s="1"/>
  <c r="F67" i="6" s="1"/>
  <c r="E67" i="6" s="1"/>
  <c r="C47" i="6"/>
  <c r="F42" i="6"/>
  <c r="E42" i="6"/>
  <c r="D42" i="6"/>
  <c r="C42" i="6"/>
  <c r="B42" i="6"/>
  <c r="F41" i="6"/>
  <c r="E41" i="6"/>
  <c r="D41" i="6"/>
  <c r="C41" i="6"/>
  <c r="B41" i="6"/>
  <c r="F40" i="6"/>
  <c r="E40" i="6" s="1"/>
  <c r="D40" i="6"/>
  <c r="C40" i="6"/>
  <c r="B40" i="6"/>
  <c r="D39" i="6"/>
  <c r="C39" i="6"/>
  <c r="B39" i="6"/>
  <c r="F33" i="6"/>
  <c r="E33" i="6"/>
  <c r="B33" i="6"/>
  <c r="D33" i="6" s="1"/>
  <c r="M22" i="6"/>
  <c r="L22" i="6" s="1"/>
  <c r="K22" i="6"/>
  <c r="J22" i="6"/>
  <c r="I22" i="6"/>
  <c r="F22" i="6"/>
  <c r="E22" i="6"/>
  <c r="D22" i="6"/>
  <c r="C22" i="6"/>
  <c r="B22" i="6"/>
  <c r="M21" i="6"/>
  <c r="L21" i="6"/>
  <c r="K21" i="6"/>
  <c r="J21" i="6"/>
  <c r="I21" i="6"/>
  <c r="F21" i="6"/>
  <c r="E21" i="6" s="1"/>
  <c r="D21" i="6"/>
  <c r="C21" i="6"/>
  <c r="B21" i="6"/>
  <c r="M20" i="6"/>
  <c r="L20" i="6"/>
  <c r="K20" i="6"/>
  <c r="J20" i="6"/>
  <c r="I20" i="6"/>
  <c r="F20" i="6"/>
  <c r="E20" i="6"/>
  <c r="D20" i="6"/>
  <c r="C20" i="6"/>
  <c r="B20" i="6"/>
  <c r="K19" i="6"/>
  <c r="J19" i="6"/>
  <c r="I19" i="6"/>
  <c r="D19" i="6"/>
  <c r="C19" i="6"/>
  <c r="B19" i="6"/>
  <c r="G8" i="6"/>
  <c r="F8" i="6"/>
  <c r="B13" i="6" s="1"/>
  <c r="G7" i="6"/>
  <c r="F7" i="6"/>
  <c r="B12" i="6" s="1"/>
  <c r="C72" i="11"/>
  <c r="D67" i="11"/>
  <c r="C67" i="11"/>
  <c r="B67" i="11"/>
  <c r="F66" i="11"/>
  <c r="E66" i="11"/>
  <c r="D66" i="11"/>
  <c r="C66" i="11"/>
  <c r="B66" i="11"/>
  <c r="F65" i="11"/>
  <c r="E65" i="11" s="1"/>
  <c r="D65" i="11"/>
  <c r="C65" i="11"/>
  <c r="B65" i="11"/>
  <c r="F64" i="11"/>
  <c r="E64" i="11"/>
  <c r="D64" i="11"/>
  <c r="C64" i="11"/>
  <c r="B64" i="11"/>
  <c r="F58" i="11"/>
  <c r="F67" i="11" s="1"/>
  <c r="E67" i="11" s="1"/>
  <c r="E58" i="11"/>
  <c r="B58" i="11"/>
  <c r="D58" i="11" s="1"/>
  <c r="C47" i="11"/>
  <c r="D42" i="11"/>
  <c r="C42" i="11"/>
  <c r="B42" i="11"/>
  <c r="F41" i="11"/>
  <c r="E41" i="11" s="1"/>
  <c r="D41" i="11"/>
  <c r="C41" i="11"/>
  <c r="B41" i="11"/>
  <c r="F40" i="11"/>
  <c r="E40" i="11" s="1"/>
  <c r="D40" i="11"/>
  <c r="C40" i="11"/>
  <c r="B40" i="11"/>
  <c r="F39" i="11"/>
  <c r="E39" i="11" s="1"/>
  <c r="D39" i="11"/>
  <c r="C39" i="11"/>
  <c r="B39" i="11"/>
  <c r="B33" i="11"/>
  <c r="D33" i="11" s="1"/>
  <c r="M22" i="11"/>
  <c r="L22" i="11" s="1"/>
  <c r="K22" i="11"/>
  <c r="J22" i="11"/>
  <c r="I22" i="11"/>
  <c r="F22" i="11"/>
  <c r="E22" i="11" s="1"/>
  <c r="D22" i="11"/>
  <c r="C22" i="11"/>
  <c r="B22" i="11"/>
  <c r="M21" i="11"/>
  <c r="L21" i="11" s="1"/>
  <c r="K21" i="11"/>
  <c r="J21" i="11"/>
  <c r="I21" i="11"/>
  <c r="F21" i="11"/>
  <c r="E21" i="11" s="1"/>
  <c r="D21" i="11"/>
  <c r="C21" i="11"/>
  <c r="B21" i="11"/>
  <c r="M20" i="11"/>
  <c r="L20" i="11" s="1"/>
  <c r="K20" i="11"/>
  <c r="J20" i="11"/>
  <c r="I20" i="11"/>
  <c r="F20" i="11"/>
  <c r="E20" i="11" s="1"/>
  <c r="D20" i="11"/>
  <c r="C20" i="11"/>
  <c r="B20" i="11"/>
  <c r="K19" i="11"/>
  <c r="J19" i="11"/>
  <c r="I19" i="11"/>
  <c r="D19" i="11"/>
  <c r="C19" i="11"/>
  <c r="B19" i="11"/>
  <c r="G8" i="11"/>
  <c r="F8" i="11"/>
  <c r="B13" i="11" s="1"/>
  <c r="G7" i="11"/>
  <c r="F7" i="11"/>
  <c r="B12" i="11" s="1"/>
  <c r="C72" i="5"/>
  <c r="D67" i="5"/>
  <c r="C67" i="5"/>
  <c r="B67" i="5"/>
  <c r="F66" i="5"/>
  <c r="E66" i="5" s="1"/>
  <c r="D66" i="5"/>
  <c r="C66" i="5"/>
  <c r="B66" i="5"/>
  <c r="F65" i="5"/>
  <c r="E65" i="5" s="1"/>
  <c r="D65" i="5"/>
  <c r="C65" i="5"/>
  <c r="B65" i="5"/>
  <c r="F64" i="5"/>
  <c r="E64" i="5"/>
  <c r="D64" i="5"/>
  <c r="C64" i="5"/>
  <c r="B64" i="5"/>
  <c r="B58" i="5"/>
  <c r="F58" i="5" s="1"/>
  <c r="F67" i="5" s="1"/>
  <c r="E67" i="5" s="1"/>
  <c r="C47" i="5"/>
  <c r="D42" i="5"/>
  <c r="C42" i="5"/>
  <c r="B42" i="5"/>
  <c r="F41" i="5"/>
  <c r="E41" i="5"/>
  <c r="D41" i="5"/>
  <c r="C41" i="5"/>
  <c r="B41" i="5"/>
  <c r="F40" i="5"/>
  <c r="E40" i="5"/>
  <c r="D40" i="5"/>
  <c r="C40" i="5"/>
  <c r="B40" i="5"/>
  <c r="F39" i="5"/>
  <c r="E39" i="5" s="1"/>
  <c r="D39" i="5"/>
  <c r="C39" i="5"/>
  <c r="B39" i="5"/>
  <c r="E33" i="5"/>
  <c r="D33" i="5"/>
  <c r="B33" i="5"/>
  <c r="F33" i="5" s="1"/>
  <c r="F42" i="5" s="1"/>
  <c r="E42" i="5" s="1"/>
  <c r="M22" i="5"/>
  <c r="L22" i="5" s="1"/>
  <c r="K22" i="5"/>
  <c r="J22" i="5"/>
  <c r="I22" i="5"/>
  <c r="D22" i="5"/>
  <c r="C22" i="5"/>
  <c r="B22" i="5"/>
  <c r="M21" i="5"/>
  <c r="L21" i="5" s="1"/>
  <c r="K21" i="5"/>
  <c r="J21" i="5"/>
  <c r="I21" i="5"/>
  <c r="F21" i="5"/>
  <c r="E21" i="5" s="1"/>
  <c r="D21" i="5"/>
  <c r="C21" i="5"/>
  <c r="B21" i="5"/>
  <c r="M20" i="5"/>
  <c r="L20" i="5" s="1"/>
  <c r="K20" i="5"/>
  <c r="J20" i="5"/>
  <c r="I20" i="5"/>
  <c r="F20" i="5"/>
  <c r="E20" i="5" s="1"/>
  <c r="D20" i="5"/>
  <c r="C20" i="5"/>
  <c r="B20" i="5"/>
  <c r="K19" i="5"/>
  <c r="J19" i="5"/>
  <c r="I19" i="5"/>
  <c r="F19" i="5"/>
  <c r="E19" i="5" s="1"/>
  <c r="D19" i="5"/>
  <c r="C19" i="5"/>
  <c r="B19" i="5"/>
  <c r="G8" i="5"/>
  <c r="F8" i="5"/>
  <c r="B13" i="5" s="1"/>
  <c r="G7" i="5"/>
  <c r="F7" i="5"/>
  <c r="B12" i="5" s="1"/>
  <c r="C71" i="3"/>
  <c r="D66" i="3"/>
  <c r="C66" i="3"/>
  <c r="B66" i="3"/>
  <c r="F65" i="3"/>
  <c r="E65" i="3" s="1"/>
  <c r="D65" i="3"/>
  <c r="C65" i="3"/>
  <c r="B65" i="3"/>
  <c r="F64" i="3"/>
  <c r="E64" i="3"/>
  <c r="D64" i="3"/>
  <c r="C64" i="3"/>
  <c r="B64" i="3"/>
  <c r="F63" i="3"/>
  <c r="E63" i="3" s="1"/>
  <c r="D63" i="3"/>
  <c r="C63" i="3"/>
  <c r="B63" i="3"/>
  <c r="F57" i="3"/>
  <c r="F66" i="3" s="1"/>
  <c r="E66" i="3" s="1"/>
  <c r="E57" i="3"/>
  <c r="D57" i="3"/>
  <c r="B57" i="3"/>
  <c r="C47" i="3"/>
  <c r="F42" i="3"/>
  <c r="E42" i="3"/>
  <c r="D42" i="3"/>
  <c r="C42" i="3"/>
  <c r="B42" i="3"/>
  <c r="F41" i="3"/>
  <c r="E41" i="3"/>
  <c r="D41" i="3"/>
  <c r="C41" i="3"/>
  <c r="B41" i="3"/>
  <c r="F40" i="3"/>
  <c r="E40" i="3" s="1"/>
  <c r="D40" i="3"/>
  <c r="C40" i="3"/>
  <c r="B40" i="3"/>
  <c r="D39" i="3"/>
  <c r="C39" i="3"/>
  <c r="B39" i="3"/>
  <c r="B33" i="3"/>
  <c r="F33" i="3" s="1"/>
  <c r="M22" i="3"/>
  <c r="L22" i="3" s="1"/>
  <c r="K22" i="3"/>
  <c r="J22" i="3"/>
  <c r="I22" i="3"/>
  <c r="F22" i="3"/>
  <c r="E22" i="3" s="1"/>
  <c r="D22" i="3"/>
  <c r="C22" i="3"/>
  <c r="B22" i="3"/>
  <c r="M21" i="3"/>
  <c r="L21" i="3" s="1"/>
  <c r="K21" i="3"/>
  <c r="J21" i="3"/>
  <c r="I21" i="3"/>
  <c r="F21" i="3"/>
  <c r="E21" i="3" s="1"/>
  <c r="D21" i="3"/>
  <c r="C21" i="3"/>
  <c r="B21" i="3"/>
  <c r="M20" i="3"/>
  <c r="L20" i="3" s="1"/>
  <c r="K20" i="3"/>
  <c r="J20" i="3"/>
  <c r="I20" i="3"/>
  <c r="F20" i="3"/>
  <c r="E20" i="3" s="1"/>
  <c r="D20" i="3"/>
  <c r="C20" i="3"/>
  <c r="B20" i="3"/>
  <c r="K19" i="3"/>
  <c r="J19" i="3"/>
  <c r="I19" i="3"/>
  <c r="D19" i="3"/>
  <c r="C19" i="3"/>
  <c r="B19" i="3"/>
  <c r="G8" i="3"/>
  <c r="F8" i="3"/>
  <c r="B13" i="3" s="1"/>
  <c r="M19" i="3" s="1"/>
  <c r="L19" i="3" s="1"/>
  <c r="G7" i="3"/>
  <c r="F7" i="3"/>
  <c r="B12" i="3" s="1"/>
  <c r="C71" i="2"/>
  <c r="F66" i="2"/>
  <c r="E66" i="2"/>
  <c r="D66" i="2"/>
  <c r="C66" i="2"/>
  <c r="B66" i="2"/>
  <c r="D65" i="2"/>
  <c r="C65" i="2"/>
  <c r="B65" i="2"/>
  <c r="D64" i="2"/>
  <c r="C64" i="2"/>
  <c r="B64" i="2"/>
  <c r="F63" i="2"/>
  <c r="E63" i="2" s="1"/>
  <c r="D63" i="2"/>
  <c r="C63" i="2"/>
  <c r="B63" i="2"/>
  <c r="J58" i="2"/>
  <c r="I58" i="2"/>
  <c r="F58" i="2"/>
  <c r="E58" i="2"/>
  <c r="F65" i="2" s="1"/>
  <c r="E65" i="2" s="1"/>
  <c r="B58" i="2"/>
  <c r="D58" i="2" s="1"/>
  <c r="F64" i="2" s="1"/>
  <c r="E64" i="2" s="1"/>
  <c r="C48" i="2"/>
  <c r="F43" i="2"/>
  <c r="E43" i="2"/>
  <c r="D43" i="2"/>
  <c r="C43" i="2"/>
  <c r="B43" i="2"/>
  <c r="D42" i="2"/>
  <c r="C42" i="2"/>
  <c r="B42" i="2"/>
  <c r="D41" i="2"/>
  <c r="C41" i="2"/>
  <c r="B41" i="2"/>
  <c r="F40" i="2"/>
  <c r="E40" i="2"/>
  <c r="D40" i="2"/>
  <c r="C40" i="2"/>
  <c r="B40" i="2"/>
  <c r="J35" i="2"/>
  <c r="B35" i="2"/>
  <c r="D35" i="2" s="1"/>
  <c r="F41" i="2" s="1"/>
  <c r="E41" i="2" s="1"/>
  <c r="M21" i="2"/>
  <c r="L21" i="2" s="1"/>
  <c r="K21" i="2"/>
  <c r="J21" i="2"/>
  <c r="I21" i="2"/>
  <c r="F21" i="2"/>
  <c r="E21" i="2" s="1"/>
  <c r="D21" i="2"/>
  <c r="C21" i="2"/>
  <c r="B21" i="2"/>
  <c r="M20" i="2"/>
  <c r="L20" i="2" s="1"/>
  <c r="K20" i="2"/>
  <c r="J20" i="2"/>
  <c r="I20" i="2"/>
  <c r="F20" i="2"/>
  <c r="E20" i="2" s="1"/>
  <c r="D20" i="2"/>
  <c r="C20" i="2"/>
  <c r="B20" i="2"/>
  <c r="M19" i="2"/>
  <c r="L19" i="2" s="1"/>
  <c r="K19" i="2"/>
  <c r="J19" i="2"/>
  <c r="I19" i="2"/>
  <c r="F19" i="2"/>
  <c r="E19" i="2" s="1"/>
  <c r="D19" i="2"/>
  <c r="C19" i="2"/>
  <c r="B19" i="2"/>
  <c r="K18" i="2"/>
  <c r="J18" i="2"/>
  <c r="I18" i="2"/>
  <c r="D18" i="2"/>
  <c r="C18" i="2"/>
  <c r="B18" i="2"/>
  <c r="D8" i="2"/>
  <c r="B13" i="2" s="1"/>
  <c r="D13" i="2" s="1"/>
  <c r="D7" i="2"/>
  <c r="J13" i="2" s="1"/>
  <c r="C71" i="1"/>
  <c r="F66" i="1"/>
  <c r="E66" i="1" s="1"/>
  <c r="D66" i="1"/>
  <c r="C66" i="1"/>
  <c r="B66" i="1"/>
  <c r="F65" i="1"/>
  <c r="E65" i="1" s="1"/>
  <c r="D65" i="1"/>
  <c r="C65" i="1"/>
  <c r="B65" i="1"/>
  <c r="F64" i="1"/>
  <c r="E64" i="1" s="1"/>
  <c r="D64" i="1"/>
  <c r="C64" i="1"/>
  <c r="B64" i="1"/>
  <c r="D63" i="1"/>
  <c r="C63" i="1"/>
  <c r="B63" i="1"/>
  <c r="J58" i="1"/>
  <c r="B58" i="1"/>
  <c r="I58" i="1" s="1"/>
  <c r="C48" i="1"/>
  <c r="D43" i="1"/>
  <c r="C43" i="1"/>
  <c r="B43" i="1"/>
  <c r="F42" i="1"/>
  <c r="E42" i="1" s="1"/>
  <c r="D42" i="1"/>
  <c r="C42" i="1"/>
  <c r="B42" i="1"/>
  <c r="F41" i="1"/>
  <c r="E41" i="1" s="1"/>
  <c r="D41" i="1"/>
  <c r="C41" i="1"/>
  <c r="B41" i="1"/>
  <c r="F40" i="1"/>
  <c r="E40" i="1" s="1"/>
  <c r="D40" i="1"/>
  <c r="C40" i="1"/>
  <c r="B40" i="1"/>
  <c r="J35" i="1"/>
  <c r="B35" i="1"/>
  <c r="I35" i="1" s="1"/>
  <c r="M21" i="1"/>
  <c r="L21" i="1" s="1"/>
  <c r="K21" i="1"/>
  <c r="J21" i="1"/>
  <c r="I21" i="1"/>
  <c r="F21" i="1"/>
  <c r="E21" i="1" s="1"/>
  <c r="D21" i="1"/>
  <c r="C21" i="1"/>
  <c r="B21" i="1"/>
  <c r="M20" i="1"/>
  <c r="L20" i="1" s="1"/>
  <c r="K20" i="1"/>
  <c r="J20" i="1"/>
  <c r="I20" i="1"/>
  <c r="F20" i="1"/>
  <c r="E20" i="1" s="1"/>
  <c r="D20" i="1"/>
  <c r="C20" i="1"/>
  <c r="B20" i="1"/>
  <c r="M19" i="1"/>
  <c r="L19" i="1" s="1"/>
  <c r="K19" i="1"/>
  <c r="J19" i="1"/>
  <c r="I19" i="1"/>
  <c r="F19" i="1"/>
  <c r="E19" i="1" s="1"/>
  <c r="D19" i="1"/>
  <c r="C19" i="1"/>
  <c r="B19" i="1"/>
  <c r="K18" i="1"/>
  <c r="J18" i="1"/>
  <c r="I18" i="1"/>
  <c r="D18" i="1"/>
  <c r="C18" i="1"/>
  <c r="B18" i="1"/>
  <c r="D8" i="1"/>
  <c r="J12" i="1" s="1"/>
  <c r="D7" i="1"/>
  <c r="J13" i="1" s="1"/>
  <c r="E58" i="1" l="1"/>
  <c r="D33" i="8"/>
  <c r="F39" i="8"/>
  <c r="E39" i="8" s="1"/>
  <c r="D33" i="7"/>
  <c r="F33" i="11"/>
  <c r="F42" i="11" s="1"/>
  <c r="E42" i="11" s="1"/>
  <c r="D57" i="8"/>
  <c r="F57" i="8"/>
  <c r="F66" i="8" s="1"/>
  <c r="E66" i="8" s="1"/>
  <c r="E12" i="9"/>
  <c r="F21" i="9" s="1"/>
  <c r="E21" i="9" s="1"/>
  <c r="J12" i="2"/>
  <c r="E35" i="1"/>
  <c r="B12" i="1"/>
  <c r="D12" i="1" s="1"/>
  <c r="E33" i="11"/>
  <c r="B13" i="1"/>
  <c r="M18" i="1" s="1"/>
  <c r="L18" i="1" s="1"/>
  <c r="D13" i="5"/>
  <c r="M19" i="5"/>
  <c r="L19" i="5" s="1"/>
  <c r="E13" i="5"/>
  <c r="F13" i="5"/>
  <c r="E12" i="11"/>
  <c r="F13" i="7"/>
  <c r="M22" i="7" s="1"/>
  <c r="L22" i="7" s="1"/>
  <c r="F13" i="8"/>
  <c r="D13" i="8"/>
  <c r="F12" i="8"/>
  <c r="D12" i="8"/>
  <c r="E12" i="8"/>
  <c r="F19" i="8"/>
  <c r="E19" i="8" s="1"/>
  <c r="F12" i="5"/>
  <c r="F22" i="5" s="1"/>
  <c r="E22" i="5" s="1"/>
  <c r="E12" i="5"/>
  <c r="D12" i="5"/>
  <c r="F13" i="9"/>
  <c r="E13" i="9"/>
  <c r="M21" i="9" s="1"/>
  <c r="L21" i="9" s="1"/>
  <c r="D13" i="9"/>
  <c r="M20" i="9" s="1"/>
  <c r="L20" i="9" s="1"/>
  <c r="F12" i="10"/>
  <c r="E12" i="10"/>
  <c r="F21" i="10" s="1"/>
  <c r="E21" i="10" s="1"/>
  <c r="D12" i="10"/>
  <c r="F20" i="10" s="1"/>
  <c r="E20" i="10" s="1"/>
  <c r="F13" i="10"/>
  <c r="E13" i="10"/>
  <c r="M21" i="10" s="1"/>
  <c r="L21" i="10" s="1"/>
  <c r="D13" i="10"/>
  <c r="M20" i="10" s="1"/>
  <c r="L20" i="10" s="1"/>
  <c r="F13" i="11"/>
  <c r="M19" i="11"/>
  <c r="L19" i="11" s="1"/>
  <c r="E13" i="11"/>
  <c r="D13" i="11"/>
  <c r="F12" i="6"/>
  <c r="E12" i="6"/>
  <c r="F19" i="6"/>
  <c r="E19" i="6" s="1"/>
  <c r="D12" i="6"/>
  <c r="E13" i="6"/>
  <c r="F13" i="6"/>
  <c r="D13" i="6"/>
  <c r="M19" i="6"/>
  <c r="L19" i="6" s="1"/>
  <c r="F12" i="7"/>
  <c r="F22" i="7" s="1"/>
  <c r="E22" i="7" s="1"/>
  <c r="E12" i="7"/>
  <c r="D12" i="7"/>
  <c r="F12" i="3"/>
  <c r="E12" i="3"/>
  <c r="F19" i="3"/>
  <c r="E19" i="3" s="1"/>
  <c r="D12" i="3"/>
  <c r="F12" i="11"/>
  <c r="D57" i="7"/>
  <c r="F57" i="10"/>
  <c r="F39" i="6"/>
  <c r="E39" i="6" s="1"/>
  <c r="E57" i="7"/>
  <c r="E13" i="8"/>
  <c r="M19" i="8"/>
  <c r="L19" i="8" s="1"/>
  <c r="E33" i="8"/>
  <c r="F12" i="9"/>
  <c r="I13" i="2"/>
  <c r="E13" i="2" s="1"/>
  <c r="M18" i="2"/>
  <c r="L18" i="2" s="1"/>
  <c r="D35" i="1"/>
  <c r="B12" i="2"/>
  <c r="F35" i="2"/>
  <c r="D58" i="5"/>
  <c r="I35" i="2"/>
  <c r="E35" i="2" s="1"/>
  <c r="F42" i="2" s="1"/>
  <c r="E42" i="2" s="1"/>
  <c r="F39" i="3"/>
  <c r="E39" i="3" s="1"/>
  <c r="E58" i="5"/>
  <c r="E13" i="3"/>
  <c r="F13" i="2"/>
  <c r="F39" i="7"/>
  <c r="E39" i="7" s="1"/>
  <c r="F35" i="1"/>
  <c r="F43" i="1" s="1"/>
  <c r="E43" i="1" s="1"/>
  <c r="F63" i="1"/>
  <c r="E63" i="1" s="1"/>
  <c r="D13" i="3"/>
  <c r="D33" i="3"/>
  <c r="E33" i="3"/>
  <c r="D58" i="1"/>
  <c r="F58" i="1"/>
  <c r="F13" i="3"/>
  <c r="D12" i="11"/>
  <c r="F19" i="11"/>
  <c r="E19" i="11" s="1"/>
  <c r="E58" i="6"/>
  <c r="E13" i="7"/>
  <c r="E33" i="7"/>
  <c r="D57" i="10"/>
  <c r="F64" i="10" s="1"/>
  <c r="E64" i="10" s="1"/>
  <c r="F12" i="1" l="1"/>
  <c r="F18" i="1"/>
  <c r="E18" i="1" s="1"/>
  <c r="D13" i="1"/>
  <c r="F13" i="1"/>
  <c r="I12" i="1"/>
  <c r="E12" i="1" s="1"/>
  <c r="I13" i="1"/>
  <c r="E13" i="1" s="1"/>
  <c r="F18" i="2"/>
  <c r="E18" i="2" s="1"/>
  <c r="F12" i="2"/>
  <c r="D12" i="2"/>
  <c r="I12" i="2"/>
  <c r="E12" i="2" s="1"/>
</calcChain>
</file>

<file path=xl/sharedStrings.xml><?xml version="1.0" encoding="utf-8"?>
<sst xmlns="http://schemas.openxmlformats.org/spreadsheetml/2006/main" count="1180" uniqueCount="98">
  <si>
    <t>NIFTY FUTURES</t>
  </si>
  <si>
    <t>NEXT TRADING DATE</t>
  </si>
  <si>
    <t>No Holdings</t>
  </si>
  <si>
    <t>Note:</t>
  </si>
  <si>
    <t>Entry Trigger</t>
  </si>
  <si>
    <t>DATE</t>
  </si>
  <si>
    <t>All Materials are Strictly Confidential. Please keep them for your Personal Use ONLY.</t>
  </si>
  <si>
    <t>Target Triggered</t>
  </si>
  <si>
    <t>NIFTY FUT</t>
  </si>
  <si>
    <t>DAY 01</t>
  </si>
  <si>
    <t>DAY 02</t>
  </si>
  <si>
    <t>2D HH/LL</t>
  </si>
  <si>
    <t>DO NOT Distribute beyond this Point.</t>
  </si>
  <si>
    <t>High</t>
  </si>
  <si>
    <t>All Rights Reserved by Trading Secrets Tamil.</t>
  </si>
  <si>
    <t>Low</t>
  </si>
  <si>
    <t>Before Target</t>
  </si>
  <si>
    <t>After Target</t>
  </si>
  <si>
    <t>Entry</t>
  </si>
  <si>
    <t>Our Entry</t>
  </si>
  <si>
    <t>Target</t>
  </si>
  <si>
    <t>Stop Loss 1</t>
  </si>
  <si>
    <t>Stop Loss 2</t>
  </si>
  <si>
    <t>Status</t>
  </si>
  <si>
    <t>MSL</t>
  </si>
  <si>
    <t>TSL</t>
  </si>
  <si>
    <t>LOT SIZE</t>
  </si>
  <si>
    <t>BUY</t>
  </si>
  <si>
    <t>SELL</t>
  </si>
  <si>
    <t>BUY ORDER PLACING</t>
  </si>
  <si>
    <t>SELL ORDER PLACING</t>
  </si>
  <si>
    <t>System</t>
  </si>
  <si>
    <t>Yes/No</t>
  </si>
  <si>
    <t>Order Type</t>
  </si>
  <si>
    <t>Quantity</t>
  </si>
  <si>
    <t>Price</t>
  </si>
  <si>
    <t>Trigger Price</t>
  </si>
  <si>
    <t xml:space="preserve">Entry </t>
  </si>
  <si>
    <t>Stoploss 1</t>
  </si>
  <si>
    <t xml:space="preserve">Stoploss 2 </t>
  </si>
  <si>
    <t>Gap Up Entry Calculation</t>
  </si>
  <si>
    <t>NIfty Fut</t>
  </si>
  <si>
    <t>9.30 High</t>
  </si>
  <si>
    <t>2D LL</t>
  </si>
  <si>
    <t>Gap Up Stoploss Calculation</t>
  </si>
  <si>
    <t>Stoploss for Sell</t>
  </si>
  <si>
    <t>9:30H</t>
  </si>
  <si>
    <t>Value</t>
  </si>
  <si>
    <t>Gap Down Entry Calculation</t>
  </si>
  <si>
    <t>9.30 Low</t>
  </si>
  <si>
    <t>2D HH</t>
  </si>
  <si>
    <t>Gap Down Stoploss Calculation</t>
  </si>
  <si>
    <t>Stoploss for Buy</t>
  </si>
  <si>
    <t>9:30L</t>
  </si>
  <si>
    <t>BANKNIFTY FUTURES</t>
  </si>
  <si>
    <t>NEXT  TRADING  DATE</t>
  </si>
  <si>
    <t>BANK NIFTY FUT</t>
  </si>
  <si>
    <t>Bank NIfty Fut</t>
  </si>
  <si>
    <t>GOLD FUTURES</t>
  </si>
  <si>
    <t>Next trading date</t>
  </si>
  <si>
    <t>GOLD  FUT</t>
  </si>
  <si>
    <t>DAY 03</t>
  </si>
  <si>
    <t>DAY 04</t>
  </si>
  <si>
    <t>4D HH/LL</t>
  </si>
  <si>
    <t>2D HH/LLL</t>
  </si>
  <si>
    <t>Status TGT / NO TGT</t>
  </si>
  <si>
    <t>Gold Fut</t>
  </si>
  <si>
    <t>9.15 High</t>
  </si>
  <si>
    <t>4DLL</t>
  </si>
  <si>
    <t>9:15H</t>
  </si>
  <si>
    <t>9.15 Low</t>
  </si>
  <si>
    <t>4DHH</t>
  </si>
  <si>
    <t>Sell</t>
  </si>
  <si>
    <t>9:15L</t>
  </si>
  <si>
    <t>GOLD MINI FUTURES</t>
  </si>
  <si>
    <t>GOLD  MINI FUT</t>
  </si>
  <si>
    <t>Gold Mini Fut</t>
  </si>
  <si>
    <t>GOLD TEN FUTURES</t>
  </si>
  <si>
    <t>SILVER FUTURES</t>
  </si>
  <si>
    <t>SILVER FUT</t>
  </si>
  <si>
    <t>Silver Fut</t>
  </si>
  <si>
    <t>SILVER MINI FUTURES</t>
  </si>
  <si>
    <t>SILVER MINI FUT</t>
  </si>
  <si>
    <t>Silver Mini  Fut</t>
  </si>
  <si>
    <t>SILVER MICRO FUTURES</t>
  </si>
  <si>
    <t>SILVER MICRO FUT</t>
  </si>
  <si>
    <t>Silver Micro Fut</t>
  </si>
  <si>
    <t>NATURAL GAS FUTURES</t>
  </si>
  <si>
    <t>NATURAL GAS  FUT</t>
  </si>
  <si>
    <t>3D HH/LL</t>
  </si>
  <si>
    <t>NATURAL GAS FUT</t>
  </si>
  <si>
    <t>3DLL</t>
  </si>
  <si>
    <t>3DHH</t>
  </si>
  <si>
    <t>NATGAS MINI FUTURES</t>
  </si>
  <si>
    <t>NATGAS MINI  FUT</t>
  </si>
  <si>
    <t>NATGAS MINI FUT</t>
  </si>
  <si>
    <t>GOLD TEN FUT</t>
  </si>
  <si>
    <t>Gold TEN 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</si>
</sst>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-809]dd\ mmmm\ yyyy;@"/>
    <numFmt numFmtId="166" formatCode="dd/mm/yyyy;@"/>
    <numFmt numFmtId="167" formatCode="[$-809]d\ mmmm\ yyyy;@"/>
  </numFmts>
  <fonts count="22" x14ac:knownFonts="1">
    <font>
      <sz val="12"/>
      <color theme="1"/>
      <name val="Aptos Narrow"/>
      <charset val="134"/>
      <scheme val="minor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Arial"/>
      <family val="2"/>
    </font>
    <font>
      <sz val="10"/>
      <color rgb="FF000000"/>
      <name val="Aptos Narrow"/>
      <scheme val="minor"/>
    </font>
    <font>
      <sz val="10"/>
      <color theme="1"/>
      <name val="Calibri"/>
      <family val="2"/>
    </font>
    <font>
      <b/>
      <sz val="12"/>
      <color theme="1"/>
      <name val="Aptos Narrow"/>
      <scheme val="minor"/>
    </font>
    <font>
      <b/>
      <sz val="11"/>
      <color theme="0"/>
      <name val="Aptos Narrow"/>
      <scheme val="minor"/>
    </font>
    <font>
      <b/>
      <sz val="12"/>
      <color theme="1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rgb="FFFF0000"/>
      <name val="Calibri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scheme val="minor"/>
    </font>
    <font>
      <sz val="11"/>
      <color theme="0"/>
      <name val="Aptos Narrow"/>
      <scheme val="minor"/>
    </font>
    <font>
      <sz val="11"/>
      <color theme="1"/>
      <name val="Aptos Narrow"/>
      <scheme val="minor"/>
    </font>
    <font>
      <b/>
      <sz val="12"/>
      <color theme="2"/>
      <name val="Aptos Narrow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749992370372631"/>
        <bgColor rgb="FFFFF2CB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1454817346722"/>
        <bgColor rgb="FFFFF2CB"/>
      </patternFill>
    </fill>
    <fill>
      <patternFill patternType="solid">
        <fgColor rgb="FFFFFF00"/>
        <bgColor rgb="FF000000"/>
      </patternFill>
    </fill>
    <fill>
      <patternFill patternType="solid">
        <fgColor theme="9" tint="0.39991454817346722"/>
        <bgColor rgb="FFE2EFD9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E2EFD9"/>
      </patternFill>
    </fill>
    <fill>
      <patternFill patternType="solid">
        <fgColor theme="5" tint="0.59999389629810485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749992370372631"/>
        <bgColor theme="5"/>
      </patternFill>
    </fill>
    <fill>
      <patternFill patternType="solid">
        <fgColor theme="1" tint="0.14993743705557422"/>
        <bgColor indexed="64"/>
      </patternFill>
    </fill>
    <fill>
      <patternFill patternType="solid">
        <fgColor rgb="FF00B050"/>
        <bgColor rgb="FFFFF2CB"/>
      </patternFill>
    </fill>
    <fill>
      <patternFill patternType="solid">
        <fgColor rgb="FF00B050"/>
        <bgColor rgb="FFE2EFD9"/>
      </patternFill>
    </fill>
    <fill>
      <patternFill patternType="solid">
        <fgColor rgb="FF00B050"/>
        <bgColor indexed="64"/>
      </patternFill>
    </fill>
    <fill>
      <patternFill patternType="solid">
        <fgColor rgb="FFE2EFD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164" fontId="4" fillId="0" borderId="0" xfId="0" applyNumberFormat="1" applyFont="1" applyAlignment="1" applyProtection="1">
      <alignment horizontal="center" vertical="center"/>
      <protection hidden="1"/>
    </xf>
    <xf numFmtId="164" fontId="5" fillId="0" borderId="0" xfId="0" applyNumberFormat="1" applyFont="1" applyAlignment="1" applyProtection="1">
      <alignment vertical="center"/>
      <protection hidden="1"/>
    </xf>
    <xf numFmtId="0" fontId="1" fillId="6" borderId="1" xfId="0" applyFont="1" applyFill="1" applyBorder="1" applyAlignment="1" applyProtection="1">
      <alignment horizontal="center" vertical="center"/>
      <protection hidden="1"/>
    </xf>
    <xf numFmtId="166" fontId="4" fillId="5" borderId="1" xfId="0" applyNumberFormat="1" applyFont="1" applyFill="1" applyBorder="1" applyAlignment="1" applyProtection="1">
      <alignment vertical="center"/>
      <protection locked="0"/>
    </xf>
    <xf numFmtId="166" fontId="4" fillId="5" borderId="1" xfId="0" applyNumberFormat="1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vertical="center"/>
      <protection hidden="1"/>
    </xf>
    <xf numFmtId="0" fontId="6" fillId="7" borderId="3" xfId="0" applyFont="1" applyFill="1" applyBorder="1" applyAlignment="1" applyProtection="1">
      <alignment vertical="center"/>
      <protection hidden="1"/>
    </xf>
    <xf numFmtId="0" fontId="4" fillId="0" borderId="4" xfId="0" applyFont="1" applyBorder="1" applyAlignment="1" applyProtection="1">
      <alignment vertical="center"/>
      <protection hidden="1"/>
    </xf>
    <xf numFmtId="0" fontId="7" fillId="8" borderId="1" xfId="0" applyFont="1" applyFill="1" applyBorder="1" applyAlignment="1" applyProtection="1">
      <alignment horizontal="right" wrapText="1"/>
      <protection locked="0"/>
    </xf>
    <xf numFmtId="0" fontId="8" fillId="5" borderId="1" xfId="0" applyFont="1" applyFill="1" applyBorder="1" applyAlignment="1" applyProtection="1">
      <alignment horizontal="right" wrapText="1"/>
      <protection locked="0"/>
    </xf>
    <xf numFmtId="0" fontId="4" fillId="0" borderId="0" xfId="0" applyFont="1" applyAlignment="1" applyProtection="1">
      <alignment vertical="center"/>
      <protection hidden="1"/>
    </xf>
    <xf numFmtId="0" fontId="6" fillId="9" borderId="5" xfId="0" applyFont="1" applyFill="1" applyBorder="1" applyProtection="1">
      <protection hidden="1"/>
    </xf>
    <xf numFmtId="0" fontId="6" fillId="9" borderId="5" xfId="0" applyFont="1" applyFill="1" applyBorder="1" applyAlignment="1" applyProtection="1">
      <alignment horizontal="center"/>
      <protection hidden="1"/>
    </xf>
    <xf numFmtId="0" fontId="6" fillId="10" borderId="5" xfId="0" applyFont="1" applyFill="1" applyBorder="1" applyProtection="1">
      <protection hidden="1"/>
    </xf>
    <xf numFmtId="0" fontId="4" fillId="10" borderId="5" xfId="0" applyFont="1" applyFill="1" applyBorder="1" applyProtection="1">
      <protection hidden="1"/>
    </xf>
    <xf numFmtId="0" fontId="4" fillId="11" borderId="5" xfId="0" applyFont="1" applyFill="1" applyBorder="1" applyProtection="1">
      <protection locked="0"/>
    </xf>
    <xf numFmtId="0" fontId="6" fillId="12" borderId="5" xfId="0" applyFont="1" applyFill="1" applyBorder="1" applyProtection="1">
      <protection hidden="1"/>
    </xf>
    <xf numFmtId="0" fontId="4" fillId="12" borderId="5" xfId="0" applyFont="1" applyFill="1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11" fillId="14" borderId="1" xfId="0" applyFont="1" applyFill="1" applyBorder="1" applyAlignment="1" applyProtection="1">
      <alignment vertical="center"/>
      <protection hidden="1"/>
    </xf>
    <xf numFmtId="0" fontId="11" fillId="14" borderId="1" xfId="0" applyFont="1" applyFill="1" applyBorder="1" applyAlignment="1" applyProtection="1">
      <alignment horizontal="center"/>
      <protection hidden="1"/>
    </xf>
    <xf numFmtId="0" fontId="0" fillId="5" borderId="1" xfId="0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9" fillId="14" borderId="1" xfId="0" applyFont="1" applyFill="1" applyBorder="1" applyAlignment="1" applyProtection="1">
      <alignment horizontal="center" vertical="center"/>
      <protection hidden="1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hidden="1"/>
    </xf>
    <xf numFmtId="0" fontId="9" fillId="14" borderId="1" xfId="0" applyFont="1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" fillId="7" borderId="5" xfId="0" applyFont="1" applyFill="1" applyBorder="1" applyAlignment="1" applyProtection="1">
      <alignment vertical="center"/>
      <protection hidden="1"/>
    </xf>
    <xf numFmtId="0" fontId="4" fillId="0" borderId="9" xfId="0" applyFont="1" applyBorder="1" applyAlignment="1" applyProtection="1">
      <alignment vertical="center"/>
      <protection hidden="1"/>
    </xf>
    <xf numFmtId="0" fontId="4" fillId="0" borderId="5" xfId="0" applyFont="1" applyBorder="1" applyAlignment="1" applyProtection="1">
      <alignment vertical="center"/>
      <protection hidden="1"/>
    </xf>
    <xf numFmtId="0" fontId="12" fillId="16" borderId="5" xfId="0" applyFont="1" applyFill="1" applyBorder="1" applyAlignment="1" applyProtection="1">
      <alignment horizontal="center" vertical="center"/>
      <protection hidden="1"/>
    </xf>
    <xf numFmtId="0" fontId="12" fillId="16" borderId="8" xfId="0" applyFont="1" applyFill="1" applyBorder="1" applyAlignment="1" applyProtection="1">
      <alignment horizontal="center" vertical="center"/>
      <protection hidden="1"/>
    </xf>
    <xf numFmtId="0" fontId="6" fillId="9" borderId="4" xfId="0" applyFont="1" applyFill="1" applyBorder="1" applyAlignment="1" applyProtection="1">
      <alignment horizontal="center"/>
      <protection hidden="1"/>
    </xf>
    <xf numFmtId="0" fontId="6" fillId="9" borderId="1" xfId="0" applyFont="1" applyFill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1" fontId="4" fillId="10" borderId="4" xfId="0" applyNumberFormat="1" applyFont="1" applyFill="1" applyBorder="1" applyProtection="1">
      <protection hidden="1"/>
    </xf>
    <xf numFmtId="0" fontId="4" fillId="10" borderId="1" xfId="0" applyFont="1" applyFill="1" applyBorder="1" applyProtection="1">
      <protection hidden="1"/>
    </xf>
    <xf numFmtId="0" fontId="0" fillId="5" borderId="1" xfId="0" applyFill="1" applyBorder="1" applyProtection="1">
      <protection locked="0"/>
    </xf>
    <xf numFmtId="1" fontId="4" fillId="12" borderId="4" xfId="0" applyNumberFormat="1" applyFont="1" applyFill="1" applyBorder="1" applyProtection="1">
      <protection hidden="1"/>
    </xf>
    <xf numFmtId="0" fontId="4" fillId="12" borderId="1" xfId="0" applyFont="1" applyFill="1" applyBorder="1" applyProtection="1">
      <protection hidden="1"/>
    </xf>
    <xf numFmtId="0" fontId="12" fillId="16" borderId="4" xfId="0" applyFont="1" applyFill="1" applyBorder="1" applyAlignment="1" applyProtection="1">
      <alignment horizontal="center" vertical="center"/>
      <protection hidden="1"/>
    </xf>
    <xf numFmtId="0" fontId="12" fillId="16" borderId="1" xfId="0" applyFont="1" applyFill="1" applyBorder="1" applyAlignment="1" applyProtection="1">
      <alignment horizontal="center" vertical="center"/>
      <protection hidden="1"/>
    </xf>
    <xf numFmtId="0" fontId="2" fillId="16" borderId="4" xfId="0" applyFont="1" applyFill="1" applyBorder="1" applyAlignment="1" applyProtection="1">
      <alignment vertical="center"/>
      <protection hidden="1"/>
    </xf>
    <xf numFmtId="0" fontId="2" fillId="16" borderId="1" xfId="0" applyFont="1" applyFill="1" applyBorder="1" applyAlignment="1" applyProtection="1">
      <alignment vertical="center"/>
      <protection hidden="1"/>
    </xf>
    <xf numFmtId="0" fontId="0" fillId="17" borderId="0" xfId="0" applyFill="1" applyProtection="1">
      <protection hidden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6" fillId="14" borderId="1" xfId="0" applyFont="1" applyFill="1" applyBorder="1" applyAlignment="1" applyProtection="1">
      <alignment horizontal="center" vertical="center"/>
      <protection hidden="1"/>
    </xf>
    <xf numFmtId="0" fontId="4" fillId="0" borderId="0" xfId="0" applyFont="1" applyProtection="1">
      <protection hidden="1"/>
    </xf>
    <xf numFmtId="0" fontId="0" fillId="0" borderId="1" xfId="0" applyBorder="1" applyAlignment="1" applyProtection="1">
      <alignment horizontal="center" vertical="center"/>
      <protection locked="0"/>
    </xf>
    <xf numFmtId="0" fontId="0" fillId="17" borderId="0" xfId="0" applyFill="1"/>
    <xf numFmtId="0" fontId="0" fillId="0" borderId="0" xfId="0" applyAlignment="1">
      <alignment vertical="center"/>
    </xf>
    <xf numFmtId="0" fontId="0" fillId="17" borderId="0" xfId="0" applyFill="1" applyAlignment="1">
      <alignment vertical="center"/>
    </xf>
    <xf numFmtId="166" fontId="4" fillId="5" borderId="1" xfId="0" applyNumberFormat="1" applyFont="1" applyFill="1" applyBorder="1" applyAlignment="1" applyProtection="1">
      <alignment vertical="center"/>
      <protection locked="0" hidden="1"/>
    </xf>
    <xf numFmtId="166" fontId="4" fillId="5" borderId="1" xfId="0" applyNumberFormat="1" applyFont="1" applyFill="1" applyBorder="1" applyAlignment="1" applyProtection="1">
      <alignment horizontal="center" vertical="center"/>
      <protection locked="0" hidden="1"/>
    </xf>
    <xf numFmtId="0" fontId="6" fillId="0" borderId="4" xfId="0" applyFont="1" applyBorder="1" applyAlignment="1" applyProtection="1">
      <alignment vertical="center"/>
      <protection hidden="1"/>
    </xf>
    <xf numFmtId="0" fontId="7" fillId="8" borderId="1" xfId="0" applyFont="1" applyFill="1" applyBorder="1" applyAlignment="1" applyProtection="1">
      <alignment horizontal="right" wrapText="1"/>
      <protection locked="0" hidden="1"/>
    </xf>
    <xf numFmtId="0" fontId="8" fillId="5" borderId="1" xfId="0" applyFont="1" applyFill="1" applyBorder="1" applyAlignment="1" applyProtection="1">
      <alignment horizontal="right" wrapText="1"/>
      <protection locked="0" hidden="1"/>
    </xf>
    <xf numFmtId="0" fontId="4" fillId="11" borderId="5" xfId="0" applyFont="1" applyFill="1" applyBorder="1" applyProtection="1">
      <protection locked="0" hidden="1"/>
    </xf>
    <xf numFmtId="0" fontId="9" fillId="14" borderId="1" xfId="0" applyFont="1" applyFill="1" applyBorder="1" applyAlignment="1" applyProtection="1">
      <alignment vertical="center"/>
      <protection hidden="1"/>
    </xf>
    <xf numFmtId="0" fontId="0" fillId="5" borderId="1" xfId="0" applyFill="1" applyBorder="1" applyAlignment="1" applyProtection="1">
      <alignment vertical="center"/>
      <protection locked="0" hidden="1"/>
    </xf>
    <xf numFmtId="0" fontId="0" fillId="5" borderId="1" xfId="0" applyFill="1" applyBorder="1" applyAlignment="1" applyProtection="1">
      <alignment horizontal="center"/>
      <protection locked="0" hidden="1"/>
    </xf>
    <xf numFmtId="0" fontId="11" fillId="14" borderId="1" xfId="0" applyFont="1" applyFill="1" applyBorder="1" applyAlignment="1" applyProtection="1">
      <alignment horizontal="center" vertical="center"/>
      <protection hidden="1"/>
    </xf>
    <xf numFmtId="0" fontId="0" fillId="5" borderId="1" xfId="0" applyFill="1" applyBorder="1" applyAlignment="1" applyProtection="1">
      <alignment horizontal="center" vertical="center"/>
      <protection locked="0" hidden="1"/>
    </xf>
    <xf numFmtId="0" fontId="6" fillId="9" borderId="4" xfId="0" applyFont="1" applyFill="1" applyBorder="1" applyProtection="1">
      <protection hidden="1"/>
    </xf>
    <xf numFmtId="0" fontId="6" fillId="9" borderId="1" xfId="0" applyFont="1" applyFill="1" applyBorder="1" applyProtection="1">
      <protection hidden="1"/>
    </xf>
    <xf numFmtId="0" fontId="0" fillId="5" borderId="1" xfId="0" applyFill="1" applyBorder="1" applyProtection="1">
      <protection locked="0" hidden="1"/>
    </xf>
    <xf numFmtId="0" fontId="2" fillId="16" borderId="4" xfId="0" applyFont="1" applyFill="1" applyBorder="1" applyAlignment="1" applyProtection="1">
      <alignment horizontal="center" vertical="center"/>
      <protection hidden="1"/>
    </xf>
    <xf numFmtId="0" fontId="2" fillId="16" borderId="1" xfId="0" applyFont="1" applyFill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4" fillId="0" borderId="0" xfId="0" applyFont="1" applyProtection="1">
      <protection hidden="1"/>
    </xf>
    <xf numFmtId="0" fontId="15" fillId="0" borderId="0" xfId="0" applyFont="1" applyProtection="1">
      <protection hidden="1"/>
    </xf>
    <xf numFmtId="0" fontId="0" fillId="17" borderId="0" xfId="0" applyFill="1" applyAlignment="1" applyProtection="1">
      <alignment vertical="center"/>
      <protection hidden="1"/>
    </xf>
    <xf numFmtId="164" fontId="1" fillId="0" borderId="0" xfId="0" applyNumberFormat="1" applyFont="1" applyAlignment="1" applyProtection="1">
      <alignment horizontal="center" vertical="center"/>
      <protection locked="0" hidden="1"/>
    </xf>
    <xf numFmtId="166" fontId="5" fillId="5" borderId="1" xfId="0" applyNumberFormat="1" applyFont="1" applyFill="1" applyBorder="1" applyAlignment="1" applyProtection="1">
      <alignment vertical="center"/>
      <protection locked="0"/>
    </xf>
    <xf numFmtId="0" fontId="6" fillId="7" borderId="2" xfId="0" applyFont="1" applyFill="1" applyBorder="1" applyAlignment="1" applyProtection="1">
      <alignment horizontal="center" vertical="center"/>
      <protection hidden="1"/>
    </xf>
    <xf numFmtId="0" fontId="6" fillId="7" borderId="3" xfId="0" applyFont="1" applyFill="1" applyBorder="1" applyAlignment="1" applyProtection="1">
      <alignment horizontal="center" vertical="center"/>
      <protection hidden="1"/>
    </xf>
    <xf numFmtId="0" fontId="17" fillId="8" borderId="1" xfId="0" applyFont="1" applyFill="1" applyBorder="1" applyAlignment="1" applyProtection="1">
      <alignment horizontal="right" wrapText="1"/>
      <protection locked="0" hidden="1"/>
    </xf>
    <xf numFmtId="0" fontId="17" fillId="5" borderId="1" xfId="0" applyFont="1" applyFill="1" applyBorder="1" applyAlignment="1" applyProtection="1">
      <alignment horizontal="right" wrapText="1"/>
      <protection locked="0" hidden="1"/>
    </xf>
    <xf numFmtId="0" fontId="6" fillId="14" borderId="1" xfId="0" applyFont="1" applyFill="1" applyBorder="1" applyAlignment="1" applyProtection="1">
      <alignment horizontal="center"/>
      <protection hidden="1"/>
    </xf>
    <xf numFmtId="0" fontId="6" fillId="7" borderId="4" xfId="0" applyFont="1" applyFill="1" applyBorder="1" applyAlignment="1" applyProtection="1">
      <alignment horizontal="center" vertical="center"/>
      <protection hidden="1"/>
    </xf>
    <xf numFmtId="0" fontId="17" fillId="5" borderId="9" xfId="0" applyFont="1" applyFill="1" applyBorder="1" applyAlignment="1" applyProtection="1">
      <alignment vertical="center"/>
      <protection locked="0" hidden="1"/>
    </xf>
    <xf numFmtId="0" fontId="4" fillId="0" borderId="1" xfId="0" applyFont="1" applyBorder="1" applyAlignment="1" applyProtection="1">
      <alignment vertical="center"/>
      <protection hidden="1"/>
    </xf>
    <xf numFmtId="0" fontId="16" fillId="16" borderId="4" xfId="0" applyFont="1" applyFill="1" applyBorder="1" applyAlignment="1" applyProtection="1">
      <alignment horizontal="center" vertical="center"/>
      <protection hidden="1"/>
    </xf>
    <xf numFmtId="0" fontId="16" fillId="16" borderId="1" xfId="0" applyFont="1" applyFill="1" applyBorder="1" applyAlignment="1" applyProtection="1">
      <alignment horizontal="center" vertical="center"/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0" fontId="4" fillId="18" borderId="2" xfId="0" applyFont="1" applyFill="1" applyBorder="1" applyAlignment="1" applyProtection="1">
      <alignment vertical="center"/>
      <protection hidden="1"/>
    </xf>
    <xf numFmtId="0" fontId="4" fillId="18" borderId="3" xfId="0" applyFont="1" applyFill="1" applyBorder="1" applyAlignment="1" applyProtection="1">
      <alignment vertical="center"/>
      <protection hidden="1"/>
    </xf>
    <xf numFmtId="0" fontId="4" fillId="5" borderId="9" xfId="0" applyFont="1" applyFill="1" applyBorder="1" applyAlignment="1" applyProtection="1">
      <alignment vertical="center"/>
      <protection locked="0"/>
    </xf>
    <xf numFmtId="0" fontId="1" fillId="19" borderId="5" xfId="0" applyFont="1" applyFill="1" applyBorder="1" applyProtection="1">
      <protection hidden="1"/>
    </xf>
    <xf numFmtId="0" fontId="19" fillId="4" borderId="1" xfId="0" applyFont="1" applyFill="1" applyBorder="1" applyAlignment="1" applyProtection="1">
      <alignment horizontal="center" vertical="center"/>
      <protection hidden="1"/>
    </xf>
    <xf numFmtId="0" fontId="0" fillId="20" borderId="1" xfId="0" applyFill="1" applyBorder="1" applyAlignment="1" applyProtection="1">
      <alignment vertical="center"/>
      <protection hidden="1"/>
    </xf>
    <xf numFmtId="0" fontId="20" fillId="20" borderId="1" xfId="0" applyFont="1" applyFill="1" applyBorder="1" applyAlignment="1" applyProtection="1">
      <alignment horizontal="center"/>
      <protection hidden="1"/>
    </xf>
    <xf numFmtId="0" fontId="0" fillId="20" borderId="1" xfId="0" applyFill="1" applyBorder="1" applyAlignment="1" applyProtection="1">
      <alignment horizontal="center" vertical="center"/>
      <protection hidden="1"/>
    </xf>
    <xf numFmtId="0" fontId="4" fillId="18" borderId="4" xfId="0" applyFont="1" applyFill="1" applyBorder="1" applyAlignment="1" applyProtection="1">
      <alignment vertical="center"/>
      <protection hidden="1"/>
    </xf>
    <xf numFmtId="0" fontId="4" fillId="20" borderId="1" xfId="0" applyFont="1" applyFill="1" applyBorder="1" applyAlignment="1" applyProtection="1">
      <alignment vertical="center"/>
      <protection hidden="1"/>
    </xf>
    <xf numFmtId="0" fontId="2" fillId="16" borderId="5" xfId="0" applyFont="1" applyFill="1" applyBorder="1" applyAlignment="1" applyProtection="1">
      <alignment vertical="center"/>
      <protection hidden="1"/>
    </xf>
    <xf numFmtId="0" fontId="2" fillId="16" borderId="8" xfId="0" applyFont="1" applyFill="1" applyBorder="1" applyAlignment="1" applyProtection="1">
      <alignment vertical="center"/>
      <protection hidden="1"/>
    </xf>
    <xf numFmtId="0" fontId="1" fillId="19" borderId="4" xfId="0" applyFont="1" applyFill="1" applyBorder="1" applyProtection="1">
      <protection hidden="1"/>
    </xf>
    <xf numFmtId="0" fontId="1" fillId="19" borderId="1" xfId="0" applyFont="1" applyFill="1" applyBorder="1" applyProtection="1">
      <protection hidden="1"/>
    </xf>
    <xf numFmtId="0" fontId="18" fillId="20" borderId="1" xfId="0" applyFon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/>
      <protection hidden="1"/>
    </xf>
    <xf numFmtId="0" fontId="21" fillId="0" borderId="0" xfId="0" applyFont="1" applyAlignment="1" applyProtection="1">
      <alignment horizontal="center"/>
      <protection hidden="1"/>
    </xf>
    <xf numFmtId="164" fontId="9" fillId="0" borderId="0" xfId="0" applyNumberFormat="1" applyFont="1" applyAlignment="1" applyProtection="1">
      <alignment horizontal="center"/>
      <protection hidden="1"/>
    </xf>
    <xf numFmtId="0" fontId="9" fillId="6" borderId="1" xfId="0" applyFont="1" applyFill="1" applyBorder="1" applyAlignment="1" applyProtection="1">
      <alignment horizontal="center"/>
      <protection hidden="1"/>
    </xf>
    <xf numFmtId="166" fontId="0" fillId="5" borderId="1" xfId="0" applyNumberFormat="1" applyFill="1" applyBorder="1" applyAlignment="1" applyProtection="1">
      <alignment horizontal="center"/>
      <protection locked="0"/>
    </xf>
    <xf numFmtId="0" fontId="0" fillId="20" borderId="11" xfId="0" applyFill="1" applyBorder="1" applyAlignment="1" applyProtection="1">
      <alignment vertical="center" wrapText="1"/>
      <protection hidden="1"/>
    </xf>
    <xf numFmtId="0" fontId="0" fillId="0" borderId="1" xfId="0" applyBorder="1" applyAlignment="1" applyProtection="1">
      <alignment vertical="center" wrapText="1"/>
      <protection hidden="1"/>
    </xf>
    <xf numFmtId="0" fontId="0" fillId="5" borderId="1" xfId="0" applyFill="1" applyBorder="1" applyAlignment="1" applyProtection="1">
      <alignment horizontal="right" vertical="center" wrapText="1"/>
      <protection locked="0"/>
    </xf>
    <xf numFmtId="0" fontId="0" fillId="0" borderId="1" xfId="0" applyBorder="1" applyAlignment="1" applyProtection="1">
      <alignment horizontal="right" vertical="center" wrapText="1"/>
      <protection hidden="1"/>
    </xf>
    <xf numFmtId="0" fontId="20" fillId="5" borderId="1" xfId="0" applyFont="1" applyFill="1" applyBorder="1" applyAlignment="1" applyProtection="1">
      <alignment horizontal="right" vertical="center" wrapText="1"/>
      <protection locked="0"/>
    </xf>
    <xf numFmtId="0" fontId="0" fillId="20" borderId="1" xfId="0" applyFill="1" applyBorder="1" applyAlignment="1" applyProtection="1">
      <alignment wrapText="1"/>
      <protection hidden="1"/>
    </xf>
    <xf numFmtId="0" fontId="0" fillId="21" borderId="1" xfId="0" applyFill="1" applyBorder="1" applyAlignment="1" applyProtection="1">
      <alignment wrapText="1"/>
      <protection hidden="1"/>
    </xf>
    <xf numFmtId="0" fontId="0" fillId="21" borderId="1" xfId="0" applyFill="1" applyBorder="1" applyAlignment="1" applyProtection="1">
      <alignment horizontal="right" wrapText="1"/>
      <protection hidden="1"/>
    </xf>
    <xf numFmtId="0" fontId="0" fillId="5" borderId="1" xfId="0" applyFill="1" applyBorder="1" applyAlignment="1" applyProtection="1">
      <alignment wrapText="1"/>
      <protection locked="0"/>
    </xf>
    <xf numFmtId="0" fontId="0" fillId="15" borderId="1" xfId="0" applyFill="1" applyBorder="1" applyAlignment="1" applyProtection="1">
      <alignment wrapText="1"/>
      <protection hidden="1"/>
    </xf>
    <xf numFmtId="0" fontId="0" fillId="15" borderId="1" xfId="0" applyFill="1" applyBorder="1" applyAlignment="1" applyProtection="1">
      <alignment horizontal="right" wrapText="1"/>
      <protection hidden="1"/>
    </xf>
    <xf numFmtId="0" fontId="19" fillId="4" borderId="1" xfId="0" applyFont="1" applyFill="1" applyBorder="1" applyAlignment="1" applyProtection="1">
      <alignment vertical="center" wrapText="1"/>
      <protection hidden="1"/>
    </xf>
    <xf numFmtId="0" fontId="0" fillId="20" borderId="1" xfId="0" applyFill="1" applyBorder="1" applyAlignment="1" applyProtection="1">
      <alignment horizontal="center" wrapText="1"/>
      <protection hidden="1"/>
    </xf>
    <xf numFmtId="0" fontId="9" fillId="20" borderId="1" xfId="0" applyFont="1" applyFill="1" applyBorder="1" applyProtection="1">
      <protection hidden="1"/>
    </xf>
    <xf numFmtId="0" fontId="0" fillId="0" borderId="1" xfId="0" applyBorder="1" applyAlignment="1" applyProtection="1">
      <alignment horizontal="right" wrapText="1"/>
      <protection hidden="1"/>
    </xf>
    <xf numFmtId="0" fontId="20" fillId="20" borderId="1" xfId="0" applyFont="1" applyFill="1" applyBorder="1" applyAlignment="1" applyProtection="1">
      <alignment horizontal="center" vertical="center"/>
      <protection hidden="1"/>
    </xf>
    <xf numFmtId="14" fontId="0" fillId="0" borderId="0" xfId="0" applyNumberFormat="1" applyProtection="1">
      <protection hidden="1"/>
    </xf>
    <xf numFmtId="166" fontId="9" fillId="5" borderId="1" xfId="0" applyNumberFormat="1" applyFont="1" applyFill="1" applyBorder="1" applyAlignment="1" applyProtection="1">
      <alignment horizontal="center"/>
      <protection locked="0"/>
    </xf>
    <xf numFmtId="0" fontId="0" fillId="20" borderId="1" xfId="0" applyFill="1" applyBorder="1" applyAlignment="1" applyProtection="1">
      <alignment vertical="center" wrapText="1"/>
      <protection hidden="1"/>
    </xf>
    <xf numFmtId="0" fontId="17" fillId="5" borderId="1" xfId="0" applyFont="1" applyFill="1" applyBorder="1" applyAlignment="1" applyProtection="1">
      <alignment horizontal="right" vertical="center" wrapText="1"/>
      <protection locked="0"/>
    </xf>
    <xf numFmtId="0" fontId="9" fillId="20" borderId="1" xfId="0" applyFont="1" applyFill="1" applyBorder="1" applyAlignment="1" applyProtection="1">
      <alignment wrapText="1"/>
      <protection hidden="1"/>
    </xf>
    <xf numFmtId="0" fontId="10" fillId="4" borderId="1" xfId="0" applyFont="1" applyFill="1" applyBorder="1" applyAlignment="1" applyProtection="1">
      <alignment vertical="center" wrapText="1"/>
      <protection hidden="1"/>
    </xf>
    <xf numFmtId="0" fontId="9" fillId="20" borderId="1" xfId="0" applyFont="1" applyFill="1" applyBorder="1" applyAlignment="1" applyProtection="1">
      <alignment horizontal="center" wrapText="1"/>
      <protection hidden="1"/>
    </xf>
    <xf numFmtId="0" fontId="17" fillId="5" borderId="9" xfId="0" applyFont="1" applyFill="1" applyBorder="1" applyAlignment="1" applyProtection="1">
      <alignment vertical="center"/>
      <protection locked="0"/>
    </xf>
    <xf numFmtId="0" fontId="9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21" fillId="4" borderId="1" xfId="0" applyFont="1" applyFill="1" applyBorder="1" applyAlignment="1" applyProtection="1">
      <alignment horizontal="center"/>
      <protection hidden="1"/>
    </xf>
    <xf numFmtId="167" fontId="9" fillId="5" borderId="1" xfId="0" applyNumberFormat="1" applyFont="1" applyFill="1" applyBorder="1" applyAlignment="1" applyProtection="1">
      <alignment horizontal="center"/>
      <protection locked="0"/>
    </xf>
    <xf numFmtId="0" fontId="9" fillId="13" borderId="6" xfId="0" applyFont="1" applyFill="1" applyBorder="1" applyAlignment="1" applyProtection="1">
      <alignment horizontal="center"/>
      <protection hidden="1"/>
    </xf>
    <xf numFmtId="0" fontId="9" fillId="13" borderId="7" xfId="0" applyFont="1" applyFill="1" applyBorder="1" applyAlignment="1" applyProtection="1">
      <alignment horizontal="center"/>
      <protection hidden="1"/>
    </xf>
    <xf numFmtId="0" fontId="9" fillId="13" borderId="10" xfId="0" applyFont="1" applyFill="1" applyBorder="1" applyAlignment="1" applyProtection="1">
      <alignment horizontal="center"/>
      <protection hidden="1"/>
    </xf>
    <xf numFmtId="0" fontId="9" fillId="15" borderId="6" xfId="0" applyFont="1" applyFill="1" applyBorder="1" applyAlignment="1" applyProtection="1">
      <alignment horizontal="center"/>
      <protection hidden="1"/>
    </xf>
    <xf numFmtId="0" fontId="9" fillId="15" borderId="7" xfId="0" applyFont="1" applyFill="1" applyBorder="1" applyAlignment="1" applyProtection="1">
      <alignment horizontal="center"/>
      <protection hidden="1"/>
    </xf>
    <xf numFmtId="0" fontId="9" fillId="15" borderId="10" xfId="0" applyFont="1" applyFill="1" applyBorder="1" applyAlignment="1" applyProtection="1">
      <alignment horizontal="center"/>
      <protection hidden="1"/>
    </xf>
    <xf numFmtId="0" fontId="18" fillId="2" borderId="0" xfId="0" applyFont="1" applyFill="1" applyAlignment="1" applyProtection="1">
      <alignment horizontal="center"/>
      <protection hidden="1"/>
    </xf>
    <xf numFmtId="0" fontId="10" fillId="4" borderId="12" xfId="0" applyFont="1" applyFill="1" applyBorder="1" applyAlignment="1" applyProtection="1">
      <alignment horizontal="center" vertical="center"/>
      <protection hidden="1"/>
    </xf>
    <xf numFmtId="0" fontId="10" fillId="4" borderId="11" xfId="0" applyFont="1" applyFill="1" applyBorder="1" applyAlignment="1" applyProtection="1">
      <alignment horizontal="center" vertical="center"/>
      <protection hidden="1"/>
    </xf>
    <xf numFmtId="165" fontId="9" fillId="5" borderId="1" xfId="0" applyNumberFormat="1" applyFont="1" applyFill="1" applyBorder="1" applyAlignment="1" applyProtection="1">
      <alignment horizontal="center"/>
      <protection locked="0"/>
    </xf>
    <xf numFmtId="0" fontId="19" fillId="4" borderId="12" xfId="0" applyFont="1" applyFill="1" applyBorder="1" applyAlignment="1" applyProtection="1">
      <alignment horizontal="center" vertical="center"/>
      <protection hidden="1"/>
    </xf>
    <xf numFmtId="0" fontId="19" fillId="4" borderId="11" xfId="0" applyFont="1" applyFill="1" applyBorder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2" fillId="4" borderId="1" xfId="0" applyFont="1" applyFill="1" applyBorder="1" applyAlignment="1" applyProtection="1">
      <alignment vertical="center"/>
      <protection hidden="1"/>
    </xf>
    <xf numFmtId="165" fontId="1" fillId="5" borderId="1" xfId="0" applyNumberFormat="1" applyFont="1" applyFill="1" applyBorder="1" applyAlignment="1" applyProtection="1">
      <alignment horizontal="center" vertical="center"/>
      <protection locked="0"/>
    </xf>
    <xf numFmtId="0" fontId="19" fillId="4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0" fontId="16" fillId="4" borderId="1" xfId="0" applyFont="1" applyFill="1" applyBorder="1" applyAlignment="1" applyProtection="1">
      <alignment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16" fillId="4" borderId="1" xfId="0" applyFont="1" applyFill="1" applyBorder="1" applyAlignment="1" applyProtection="1">
      <alignment horizontal="center" vertical="center"/>
      <protection hidden="1"/>
    </xf>
    <xf numFmtId="165" fontId="1" fillId="5" borderId="1" xfId="0" applyNumberFormat="1" applyFont="1" applyFill="1" applyBorder="1" applyAlignment="1" applyProtection="1">
      <alignment horizontal="center" vertical="center"/>
      <protection locked="0" hidden="1"/>
    </xf>
    <xf numFmtId="165" fontId="3" fillId="5" borderId="1" xfId="0" applyNumberFormat="1" applyFont="1" applyFill="1" applyBorder="1" applyAlignment="1" applyProtection="1">
      <alignment vertical="center"/>
      <protection locked="0" hidden="1"/>
    </xf>
    <xf numFmtId="0" fontId="10" fillId="4" borderId="1" xfId="0" applyFont="1" applyFill="1" applyBorder="1" applyAlignment="1" applyProtection="1">
      <alignment horizontal="center" vertical="center"/>
      <protection hidden="1"/>
    </xf>
    <xf numFmtId="0" fontId="6" fillId="10" borderId="8" xfId="0" applyFont="1" applyFill="1" applyBorder="1" applyAlignment="1" applyProtection="1">
      <alignment horizontal="center" vertical="center"/>
      <protection hidden="1"/>
    </xf>
    <xf numFmtId="0" fontId="6" fillId="10" borderId="2" xfId="0" applyFont="1" applyFill="1" applyBorder="1" applyAlignment="1" applyProtection="1">
      <alignment horizontal="center" vertical="center"/>
      <protection hidden="1"/>
    </xf>
    <xf numFmtId="0" fontId="6" fillId="12" borderId="8" xfId="0" applyFont="1" applyFill="1" applyBorder="1" applyAlignment="1" applyProtection="1">
      <alignment horizontal="center" vertical="center"/>
      <protection hidden="1"/>
    </xf>
    <xf numFmtId="0" fontId="6" fillId="12" borderId="2" xfId="0" applyFont="1" applyFill="1" applyBorder="1" applyAlignment="1" applyProtection="1">
      <alignment horizontal="center" vertical="center"/>
      <protection hidden="1"/>
    </xf>
    <xf numFmtId="165" fontId="3" fillId="5" borderId="1" xfId="0" applyNumberFormat="1" applyFont="1" applyFill="1" applyBorder="1" applyAlignment="1" applyProtection="1">
      <alignment vertical="center"/>
      <protection locked="0"/>
    </xf>
    <xf numFmtId="0" fontId="1" fillId="10" borderId="8" xfId="0" applyFont="1" applyFill="1" applyBorder="1" applyAlignment="1" applyProtection="1">
      <alignment horizontal="center" vertical="center"/>
      <protection hidden="1"/>
    </xf>
    <xf numFmtId="0" fontId="1" fillId="10" borderId="2" xfId="0" applyFont="1" applyFill="1" applyBorder="1" applyAlignment="1" applyProtection="1">
      <alignment horizontal="center" vertical="center"/>
      <protection hidden="1"/>
    </xf>
    <xf numFmtId="0" fontId="1" fillId="12" borderId="8" xfId="0" applyFont="1" applyFill="1" applyBorder="1" applyAlignment="1" applyProtection="1">
      <alignment horizontal="center" vertical="center"/>
      <protection hidden="1"/>
    </xf>
    <xf numFmtId="0" fontId="1" fillId="12" borderId="2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1101437</xdr:colOff>
      <xdr:row>73</xdr:row>
      <xdr:rowOff>40409</xdr:rowOff>
    </xdr:from>
    <xdr:to>
      <xdr:col>3</xdr:col>
      <xdr:colOff>23092</xdr:colOff>
      <xdr:row>79</xdr:row>
      <xdr:rowOff>138162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090" y="16407765"/>
          <a:ext cx="2193290" cy="1438910"/>
        </a:xfrm>
        <a:prstGeom prst="rect">
          <a:avLst/>
        </a:prstGeom>
      </xdr:spPr>
    </xdr:pic>
    <xdr:clientData/>
  </xdr:twoCellAnchor>
  <xdr:twoCellAnchor editAs="oneCell">
    <xdr:from>
      <xdr:col>5</xdr:col>
      <xdr:colOff>974826</xdr:colOff>
      <xdr:row>2</xdr:row>
      <xdr:rowOff>161637</xdr:rowOff>
    </xdr:from>
    <xdr:to>
      <xdr:col>7</xdr:col>
      <xdr:colOff>260928</xdr:colOff>
      <xdr:row>7</xdr:row>
      <xdr:rowOff>57727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3975" y="608330"/>
          <a:ext cx="1762760" cy="1023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1124527</xdr:colOff>
      <xdr:row>73</xdr:row>
      <xdr:rowOff>75046</xdr:rowOff>
    </xdr:from>
    <xdr:to>
      <xdr:col>3</xdr:col>
      <xdr:colOff>0</xdr:colOff>
      <xdr:row>79</xdr:row>
      <xdr:rowOff>172797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" y="16663670"/>
          <a:ext cx="2206625" cy="1438910"/>
        </a:xfrm>
        <a:prstGeom prst="rect">
          <a:avLst/>
        </a:prstGeom>
      </xdr:spPr>
    </xdr:pic>
    <xdr:clientData/>
  </xdr:twoCellAnchor>
  <xdr:twoCellAnchor editAs="oneCell">
    <xdr:from>
      <xdr:col>6</xdr:col>
      <xdr:colOff>819728</xdr:colOff>
      <xdr:row>2</xdr:row>
      <xdr:rowOff>173183</xdr:rowOff>
    </xdr:from>
    <xdr:to>
      <xdr:col>8</xdr:col>
      <xdr:colOff>322119</xdr:colOff>
      <xdr:row>7</xdr:row>
      <xdr:rowOff>62103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5335" y="619760"/>
          <a:ext cx="1588770" cy="12376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835891</xdr:colOff>
      <xdr:row>73</xdr:row>
      <xdr:rowOff>40410</xdr:rowOff>
    </xdr:from>
    <xdr:to>
      <xdr:col>3</xdr:col>
      <xdr:colOff>264391</xdr:colOff>
      <xdr:row>79</xdr:row>
      <xdr:rowOff>138162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660" y="16367125"/>
          <a:ext cx="2225675" cy="1438910"/>
        </a:xfrm>
        <a:prstGeom prst="rect">
          <a:avLst/>
        </a:prstGeom>
      </xdr:spPr>
    </xdr:pic>
    <xdr:clientData/>
  </xdr:twoCellAnchor>
  <xdr:twoCellAnchor editAs="oneCell">
    <xdr:from>
      <xdr:col>8</xdr:col>
      <xdr:colOff>658090</xdr:colOff>
      <xdr:row>3</xdr:row>
      <xdr:rowOff>34637</xdr:rowOff>
    </xdr:from>
    <xdr:to>
      <xdr:col>10</xdr:col>
      <xdr:colOff>279401</xdr:colOff>
      <xdr:row>7</xdr:row>
      <xdr:rowOff>12334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4555" y="704850"/>
          <a:ext cx="1340485" cy="8718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789709</xdr:colOff>
      <xdr:row>74</xdr:row>
      <xdr:rowOff>63501</xdr:rowOff>
    </xdr:from>
    <xdr:to>
      <xdr:col>3</xdr:col>
      <xdr:colOff>218209</xdr:colOff>
      <xdr:row>80</xdr:row>
      <xdr:rowOff>161253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" y="16603980"/>
          <a:ext cx="2225675" cy="1438275"/>
        </a:xfrm>
        <a:prstGeom prst="rect">
          <a:avLst/>
        </a:prstGeom>
      </xdr:spPr>
    </xdr:pic>
    <xdr:clientData/>
  </xdr:twoCellAnchor>
  <xdr:twoCellAnchor editAs="oneCell">
    <xdr:from>
      <xdr:col>8</xdr:col>
      <xdr:colOff>658091</xdr:colOff>
      <xdr:row>3</xdr:row>
      <xdr:rowOff>46182</xdr:rowOff>
    </xdr:from>
    <xdr:to>
      <xdr:col>10</xdr:col>
      <xdr:colOff>256310</xdr:colOff>
      <xdr:row>7</xdr:row>
      <xdr:rowOff>9162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4555" y="716280"/>
          <a:ext cx="1316990" cy="857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789709</xdr:colOff>
      <xdr:row>74</xdr:row>
      <xdr:rowOff>63501</xdr:rowOff>
    </xdr:from>
    <xdr:to>
      <xdr:col>3</xdr:col>
      <xdr:colOff>218209</xdr:colOff>
      <xdr:row>80</xdr:row>
      <xdr:rowOff>161253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" y="16603980"/>
          <a:ext cx="2225675" cy="1438275"/>
        </a:xfrm>
        <a:prstGeom prst="rect">
          <a:avLst/>
        </a:prstGeom>
      </xdr:spPr>
    </xdr:pic>
    <xdr:clientData/>
  </xdr:twoCellAnchor>
  <xdr:twoCellAnchor editAs="oneCell">
    <xdr:from>
      <xdr:col>8</xdr:col>
      <xdr:colOff>658091</xdr:colOff>
      <xdr:row>3</xdr:row>
      <xdr:rowOff>46182</xdr:rowOff>
    </xdr:from>
    <xdr:to>
      <xdr:col>10</xdr:col>
      <xdr:colOff>256310</xdr:colOff>
      <xdr:row>7</xdr:row>
      <xdr:rowOff>9162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4555" y="716280"/>
          <a:ext cx="1316990" cy="857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847437</xdr:colOff>
      <xdr:row>74</xdr:row>
      <xdr:rowOff>51956</xdr:rowOff>
    </xdr:from>
    <xdr:to>
      <xdr:col>3</xdr:col>
      <xdr:colOff>275937</xdr:colOff>
      <xdr:row>80</xdr:row>
      <xdr:rowOff>149708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090" y="16591915"/>
          <a:ext cx="2225675" cy="1438910"/>
        </a:xfrm>
        <a:prstGeom prst="rect">
          <a:avLst/>
        </a:prstGeom>
      </xdr:spPr>
    </xdr:pic>
    <xdr:clientData/>
  </xdr:twoCellAnchor>
  <xdr:twoCellAnchor editAs="oneCell">
    <xdr:from>
      <xdr:col>8</xdr:col>
      <xdr:colOff>646545</xdr:colOff>
      <xdr:row>3</xdr:row>
      <xdr:rowOff>11548</xdr:rowOff>
    </xdr:from>
    <xdr:to>
      <xdr:col>10</xdr:col>
      <xdr:colOff>302493</xdr:colOff>
      <xdr:row>7</xdr:row>
      <xdr:rowOff>11320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3125" y="681990"/>
          <a:ext cx="1374775" cy="8934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835891</xdr:colOff>
      <xdr:row>73</xdr:row>
      <xdr:rowOff>63501</xdr:rowOff>
    </xdr:from>
    <xdr:to>
      <xdr:col>3</xdr:col>
      <xdr:colOff>264391</xdr:colOff>
      <xdr:row>79</xdr:row>
      <xdr:rowOff>161253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660" y="16380460"/>
          <a:ext cx="2225675" cy="1438275"/>
        </a:xfrm>
        <a:prstGeom prst="rect">
          <a:avLst/>
        </a:prstGeom>
      </xdr:spPr>
    </xdr:pic>
    <xdr:clientData/>
  </xdr:twoCellAnchor>
  <xdr:twoCellAnchor editAs="oneCell">
    <xdr:from>
      <xdr:col>8</xdr:col>
      <xdr:colOff>669636</xdr:colOff>
      <xdr:row>3</xdr:row>
      <xdr:rowOff>34637</xdr:rowOff>
    </xdr:from>
    <xdr:to>
      <xdr:col>10</xdr:col>
      <xdr:colOff>302492</xdr:colOff>
      <xdr:row>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5985" y="704850"/>
          <a:ext cx="1351915" cy="8597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1182254</xdr:colOff>
      <xdr:row>73</xdr:row>
      <xdr:rowOff>51957</xdr:rowOff>
    </xdr:from>
    <xdr:to>
      <xdr:col>3</xdr:col>
      <xdr:colOff>233217</xdr:colOff>
      <xdr:row>79</xdr:row>
      <xdr:rowOff>149709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735" y="16368395"/>
          <a:ext cx="2204720" cy="1438910"/>
        </a:xfrm>
        <a:prstGeom prst="rect">
          <a:avLst/>
        </a:prstGeom>
      </xdr:spPr>
    </xdr:pic>
    <xdr:clientData/>
  </xdr:twoCellAnchor>
  <xdr:twoCellAnchor editAs="oneCell">
    <xdr:from>
      <xdr:col>8</xdr:col>
      <xdr:colOff>646546</xdr:colOff>
      <xdr:row>3</xdr:row>
      <xdr:rowOff>34637</xdr:rowOff>
    </xdr:from>
    <xdr:to>
      <xdr:col>10</xdr:col>
      <xdr:colOff>210129</xdr:colOff>
      <xdr:row>6</xdr:row>
      <xdr:rowOff>199064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50" y="704850"/>
          <a:ext cx="1282065" cy="8350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1251527</xdr:colOff>
      <xdr:row>73</xdr:row>
      <xdr:rowOff>75047</xdr:rowOff>
    </xdr:from>
    <xdr:to>
      <xdr:col>3</xdr:col>
      <xdr:colOff>210127</xdr:colOff>
      <xdr:row>79</xdr:row>
      <xdr:rowOff>172799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950" y="16391890"/>
          <a:ext cx="2194560" cy="1438910"/>
        </a:xfrm>
        <a:prstGeom prst="rect">
          <a:avLst/>
        </a:prstGeom>
      </xdr:spPr>
    </xdr:pic>
    <xdr:clientData/>
  </xdr:twoCellAnchor>
  <xdr:twoCellAnchor editAs="oneCell">
    <xdr:from>
      <xdr:col>7</xdr:col>
      <xdr:colOff>1280976</xdr:colOff>
      <xdr:row>2</xdr:row>
      <xdr:rowOff>196274</xdr:rowOff>
    </xdr:from>
    <xdr:to>
      <xdr:col>9</xdr:col>
      <xdr:colOff>285174</xdr:colOff>
      <xdr:row>7</xdr:row>
      <xdr:rowOff>11545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1810" y="643255"/>
          <a:ext cx="1398905" cy="93281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1147618</xdr:colOff>
      <xdr:row>73</xdr:row>
      <xdr:rowOff>40411</xdr:rowOff>
    </xdr:from>
    <xdr:to>
      <xdr:col>3</xdr:col>
      <xdr:colOff>187036</xdr:colOff>
      <xdr:row>79</xdr:row>
      <xdr:rowOff>138163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445" y="16356965"/>
          <a:ext cx="2204085" cy="1438910"/>
        </a:xfrm>
        <a:prstGeom prst="rect">
          <a:avLst/>
        </a:prstGeom>
      </xdr:spPr>
    </xdr:pic>
    <xdr:clientData/>
  </xdr:twoCellAnchor>
  <xdr:twoCellAnchor editAs="oneCell">
    <xdr:from>
      <xdr:col>7</xdr:col>
      <xdr:colOff>1212274</xdr:colOff>
      <xdr:row>2</xdr:row>
      <xdr:rowOff>196274</xdr:rowOff>
    </xdr:from>
    <xdr:to>
      <xdr:col>9</xdr:col>
      <xdr:colOff>303647</xdr:colOff>
      <xdr:row>7</xdr:row>
      <xdr:rowOff>39942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2110" y="643255"/>
          <a:ext cx="1438275" cy="960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zoomScale="150" zoomScaleNormal="150" workbookViewId="0">
      <selection activeCell="C7" sqref="C7"/>
    </sheetView>
  </sheetViews>
  <sheetFormatPr baseColWidth="10" defaultColWidth="9" defaultRowHeight="16" x14ac:dyDescent="0.2"/>
  <cols>
    <col min="1" max="1" width="15.83203125" customWidth="1"/>
    <col min="2" max="2" width="15" customWidth="1"/>
    <col min="3" max="5" width="15.1640625" customWidth="1"/>
    <col min="6" max="6" width="16.5" customWidth="1"/>
    <col min="7" max="7" width="18.33203125" customWidth="1"/>
    <col min="8" max="8" width="16.33203125" customWidth="1"/>
    <col min="9" max="9" width="13.33203125" customWidth="1"/>
    <col min="10" max="10" width="14.1640625" customWidth="1"/>
    <col min="11" max="11" width="15" customWidth="1"/>
    <col min="12" max="12" width="14.1640625" customWidth="1"/>
    <col min="13" max="13" width="15.6640625" customWidth="1"/>
    <col min="15" max="15" width="13.83203125" hidden="1" customWidth="1"/>
  </cols>
  <sheetData>
    <row r="1" spans="1:15" x14ac:dyDescent="0.2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</row>
    <row r="2" spans="1:15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5" x14ac:dyDescent="0.2">
      <c r="A3" s="141" t="s">
        <v>1</v>
      </c>
      <c r="B3" s="141"/>
      <c r="C3" s="142"/>
      <c r="D3" s="142"/>
      <c r="E3" s="33"/>
      <c r="F3" s="33"/>
      <c r="G3" s="33"/>
      <c r="H3" s="33"/>
      <c r="I3" s="33"/>
      <c r="J3" s="33"/>
      <c r="K3" s="33"/>
      <c r="L3" s="33"/>
      <c r="M3" s="33"/>
      <c r="O3" t="s">
        <v>2</v>
      </c>
    </row>
    <row r="4" spans="1:15" ht="19" x14ac:dyDescent="0.25">
      <c r="A4" s="111"/>
      <c r="B4" s="111"/>
      <c r="C4" s="131"/>
      <c r="D4" s="33"/>
      <c r="E4" s="33"/>
      <c r="F4" s="33"/>
      <c r="G4" s="51"/>
      <c r="H4" s="52" t="s">
        <v>3</v>
      </c>
      <c r="I4" s="53"/>
      <c r="K4" s="33"/>
      <c r="L4" s="33"/>
      <c r="M4" s="33"/>
      <c r="O4" t="s">
        <v>4</v>
      </c>
    </row>
    <row r="5" spans="1:15" ht="19" x14ac:dyDescent="0.25">
      <c r="A5" s="113" t="s">
        <v>5</v>
      </c>
      <c r="B5" s="132"/>
      <c r="C5" s="114"/>
      <c r="D5" s="24"/>
      <c r="E5" s="33"/>
      <c r="F5" s="33"/>
      <c r="G5" s="51"/>
      <c r="H5" s="54" t="s">
        <v>6</v>
      </c>
      <c r="K5" s="33"/>
      <c r="L5" s="33"/>
      <c r="M5" s="33"/>
      <c r="O5" t="s">
        <v>7</v>
      </c>
    </row>
    <row r="6" spans="1:15" ht="19" x14ac:dyDescent="0.25">
      <c r="A6" s="133" t="s">
        <v>8</v>
      </c>
      <c r="B6" s="133" t="s">
        <v>9</v>
      </c>
      <c r="C6" s="133" t="s">
        <v>10</v>
      </c>
      <c r="D6" s="133" t="s">
        <v>11</v>
      </c>
      <c r="E6" s="33"/>
      <c r="F6" s="33"/>
      <c r="G6" s="51"/>
      <c r="H6" s="54" t="s">
        <v>12</v>
      </c>
      <c r="I6" s="53"/>
      <c r="K6" s="33"/>
      <c r="L6" s="33"/>
      <c r="M6" s="33"/>
    </row>
    <row r="7" spans="1:15" ht="19" x14ac:dyDescent="0.25">
      <c r="A7" s="116" t="s">
        <v>13</v>
      </c>
      <c r="B7" s="134">
        <v>24315.5</v>
      </c>
      <c r="C7" s="134">
        <v>24390</v>
      </c>
      <c r="D7" s="118">
        <f>MAX(B7:C7)</f>
        <v>24390</v>
      </c>
      <c r="E7" s="33"/>
      <c r="F7" s="33"/>
      <c r="G7" s="51"/>
      <c r="H7" s="54" t="s">
        <v>14</v>
      </c>
      <c r="I7" s="53"/>
      <c r="K7" s="33"/>
      <c r="L7" s="33"/>
      <c r="M7" s="33"/>
    </row>
    <row r="8" spans="1:15" ht="17" x14ac:dyDescent="0.2">
      <c r="A8" s="116" t="s">
        <v>15</v>
      </c>
      <c r="B8" s="134">
        <v>24180</v>
      </c>
      <c r="C8" s="134">
        <v>24114</v>
      </c>
      <c r="D8" s="118">
        <f>MIN(B8:C8)</f>
        <v>24114</v>
      </c>
      <c r="E8" s="33"/>
      <c r="F8" s="33"/>
      <c r="G8" s="33"/>
      <c r="H8" s="33"/>
      <c r="I8" s="33"/>
      <c r="J8" s="33"/>
      <c r="K8" s="33"/>
      <c r="L8" s="33"/>
      <c r="M8" s="33"/>
    </row>
    <row r="9" spans="1:15" x14ac:dyDescent="0.2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</row>
    <row r="10" spans="1:15" x14ac:dyDescent="0.2">
      <c r="A10" s="33"/>
      <c r="B10" s="33"/>
      <c r="C10" s="33"/>
      <c r="D10" s="33"/>
      <c r="E10" s="136" t="s">
        <v>16</v>
      </c>
      <c r="F10" s="136" t="s">
        <v>17</v>
      </c>
      <c r="G10" s="33"/>
      <c r="H10" s="33"/>
      <c r="I10" s="33"/>
      <c r="J10" s="33"/>
      <c r="K10" s="33"/>
      <c r="L10" s="33"/>
      <c r="M10" s="33"/>
    </row>
    <row r="11" spans="1:15" ht="17" x14ac:dyDescent="0.2">
      <c r="A11" s="120"/>
      <c r="B11" s="135" t="s">
        <v>18</v>
      </c>
      <c r="C11" s="135" t="s">
        <v>19</v>
      </c>
      <c r="D11" s="135" t="s">
        <v>20</v>
      </c>
      <c r="E11" s="135" t="s">
        <v>21</v>
      </c>
      <c r="F11" s="135" t="s">
        <v>22</v>
      </c>
      <c r="G11" s="135" t="s">
        <v>23</v>
      </c>
      <c r="H11" s="33"/>
      <c r="I11" s="137" t="s">
        <v>24</v>
      </c>
      <c r="J11" s="137" t="s">
        <v>25</v>
      </c>
      <c r="K11" s="128" t="s">
        <v>26</v>
      </c>
      <c r="L11" s="33"/>
      <c r="M11" s="33"/>
    </row>
    <row r="12" spans="1:15" ht="17" x14ac:dyDescent="0.2">
      <c r="A12" s="121" t="s">
        <v>27</v>
      </c>
      <c r="B12" s="122">
        <f>MROUND(D7*(1+0.125%),0.05)</f>
        <v>24420.5</v>
      </c>
      <c r="C12" s="123"/>
      <c r="D12" s="122">
        <f>MROUND(B12*(1+1.25%),0.05)</f>
        <v>24725.75</v>
      </c>
      <c r="E12" s="122">
        <f>MAX(I12:J12)</f>
        <v>24115.25</v>
      </c>
      <c r="F12" s="122">
        <f>MAX(B12,J12)</f>
        <v>24420.5</v>
      </c>
      <c r="G12" s="44" t="s">
        <v>2</v>
      </c>
      <c r="H12" s="33"/>
      <c r="I12" s="129">
        <f>MROUND(B12*(1-1.25%),0.05)</f>
        <v>24115.25</v>
      </c>
      <c r="J12" s="129">
        <f>MROUND(D8*(1-0.125%),0.05)</f>
        <v>24083.850000000002</v>
      </c>
      <c r="K12" s="44">
        <v>25</v>
      </c>
      <c r="L12" s="33"/>
      <c r="M12" s="33"/>
    </row>
    <row r="13" spans="1:15" ht="17" x14ac:dyDescent="0.2">
      <c r="A13" s="124" t="s">
        <v>28</v>
      </c>
      <c r="B13" s="125">
        <f>MROUND(D8*(1-0.125%),0.05)</f>
        <v>24083.850000000002</v>
      </c>
      <c r="C13" s="123"/>
      <c r="D13" s="125">
        <f>MROUND(B13*(1-1.25%),0.05)</f>
        <v>23782.800000000003</v>
      </c>
      <c r="E13" s="125">
        <f>MIN(I13:J13)</f>
        <v>24384.9</v>
      </c>
      <c r="F13" s="125">
        <f>MIN(B13,J13)</f>
        <v>24083.850000000002</v>
      </c>
      <c r="G13" s="44" t="s">
        <v>2</v>
      </c>
      <c r="H13" s="33"/>
      <c r="I13" s="129">
        <f>MROUND(B13*(1+1.25%),0.05)</f>
        <v>24384.9</v>
      </c>
      <c r="J13" s="129">
        <f>MROUND(D7*(1+0.125%),0.05)</f>
        <v>24420.5</v>
      </c>
      <c r="K13" s="33"/>
      <c r="L13" s="33"/>
      <c r="M13" s="33"/>
    </row>
    <row r="14" spans="1:15" x14ac:dyDescent="0.2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spans="1:15" x14ac:dyDescent="0.2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6" spans="1:15" x14ac:dyDescent="0.2">
      <c r="A16" s="143" t="s">
        <v>29</v>
      </c>
      <c r="B16" s="144"/>
      <c r="C16" s="144"/>
      <c r="D16" s="144"/>
      <c r="E16" s="144"/>
      <c r="F16" s="145"/>
      <c r="G16" s="33"/>
      <c r="H16" s="146" t="s">
        <v>30</v>
      </c>
      <c r="I16" s="147"/>
      <c r="J16" s="147"/>
      <c r="K16" s="147"/>
      <c r="L16" s="147"/>
      <c r="M16" s="148"/>
    </row>
    <row r="17" spans="1:13" x14ac:dyDescent="0.2">
      <c r="A17" s="23" t="s">
        <v>31</v>
      </c>
      <c r="B17" s="23" t="s">
        <v>32</v>
      </c>
      <c r="C17" s="23" t="s">
        <v>33</v>
      </c>
      <c r="D17" s="23" t="s">
        <v>34</v>
      </c>
      <c r="E17" s="23" t="s">
        <v>35</v>
      </c>
      <c r="F17" s="23" t="s">
        <v>36</v>
      </c>
      <c r="G17" s="33"/>
      <c r="H17" s="23" t="s">
        <v>31</v>
      </c>
      <c r="I17" s="23" t="s">
        <v>32</v>
      </c>
      <c r="J17" s="23" t="s">
        <v>33</v>
      </c>
      <c r="K17" s="23" t="s">
        <v>34</v>
      </c>
      <c r="L17" s="23" t="s">
        <v>35</v>
      </c>
      <c r="M17" s="23" t="s">
        <v>36</v>
      </c>
    </row>
    <row r="18" spans="1:13" x14ac:dyDescent="0.2">
      <c r="A18" s="23" t="s">
        <v>37</v>
      </c>
      <c r="B18" s="23" t="str">
        <f>IF($G$12="NO Holdings","Yes","No")</f>
        <v>Yes</v>
      </c>
      <c r="C18" s="23" t="str">
        <f>IF($G$12="No Holdings","Buy Order","-")</f>
        <v>Buy Order</v>
      </c>
      <c r="D18" s="23">
        <f>IF($G$12="No Holdings",(K12*2),"-")</f>
        <v>50</v>
      </c>
      <c r="E18" s="23">
        <f>IF(F18="-","-",MROUND(F18*(1+0.05%),0.05))</f>
        <v>24432.7</v>
      </c>
      <c r="F18" s="23">
        <f>IF($G$12="No Holdings",$B$12,"-")</f>
        <v>24420.5</v>
      </c>
      <c r="G18" s="33"/>
      <c r="H18" s="23" t="s">
        <v>37</v>
      </c>
      <c r="I18" s="23" t="str">
        <f>IF($G$13="NO Holdings","Yes","No")</f>
        <v>Yes</v>
      </c>
      <c r="J18" s="23" t="str">
        <f>IF($G$13="No Holdings","Sell Order","-")</f>
        <v>Sell Order</v>
      </c>
      <c r="K18" s="23">
        <f>IF($G$13="No Holdings",(K12*2),"-")</f>
        <v>50</v>
      </c>
      <c r="L18" s="23">
        <f>IF(M18="-","-",MROUND(M18*(1-0.05%),0.05))</f>
        <v>24071.800000000003</v>
      </c>
      <c r="M18" s="23">
        <f>IF($G$13="No Holdings",$B$13,"-")</f>
        <v>24083.850000000002</v>
      </c>
    </row>
    <row r="19" spans="1:13" x14ac:dyDescent="0.2">
      <c r="A19" s="23" t="s">
        <v>20</v>
      </c>
      <c r="B19" s="23" t="str">
        <f>IF($G$12="Entry Trigger","Yes","No")</f>
        <v>No</v>
      </c>
      <c r="C19" s="23" t="str">
        <f>IF($G$12="Entry Trigger","Sell Order","-")</f>
        <v>-</v>
      </c>
      <c r="D19" s="23" t="str">
        <f>IF($G$12="Entry Trigger",K12,"-")</f>
        <v>-</v>
      </c>
      <c r="E19" s="23" t="str">
        <f>IF(F19="-","-","Use Limit")</f>
        <v>-</v>
      </c>
      <c r="F19" s="23" t="str">
        <f>IF(G12="Entry Trigger",IF(C12="",IF($G$12="Entry Trigger",$D$12,"-"),MROUND(C12*(1+1.25%),0.05)),"-")</f>
        <v>-</v>
      </c>
      <c r="G19" s="33"/>
      <c r="H19" s="23" t="s">
        <v>20</v>
      </c>
      <c r="I19" s="23" t="str">
        <f>IF($G$13="Entry Trigger","Yes","No")</f>
        <v>No</v>
      </c>
      <c r="J19" s="23" t="str">
        <f>IF($G$13="Entry Trigger","Buy Order","-")</f>
        <v>-</v>
      </c>
      <c r="K19" s="23" t="str">
        <f>IF($G$13="Entry Trigger",K12,"-")</f>
        <v>-</v>
      </c>
      <c r="L19" s="23" t="str">
        <f>IF(M19="-","-","Use Limit")</f>
        <v>-</v>
      </c>
      <c r="M19" s="23" t="str">
        <f>IF(G13="Entry Trigger",IF(C13="",IF($G$13="Entry Trigger",$D$13,"-"),MROUND(C13*(1-1.25%),0.05)),"-")</f>
        <v>-</v>
      </c>
    </row>
    <row r="20" spans="1:13" x14ac:dyDescent="0.2">
      <c r="A20" s="23" t="s">
        <v>38</v>
      </c>
      <c r="B20" s="23" t="str">
        <f>IF($G$12="Entry Trigger","Yes","No")</f>
        <v>No</v>
      </c>
      <c r="C20" s="23" t="str">
        <f>IF($G$12="Entry Trigger","Sell Order","-")</f>
        <v>-</v>
      </c>
      <c r="D20" s="23" t="str">
        <f>IF($G$12="Entry Trigger",(K12*2),"-")</f>
        <v>-</v>
      </c>
      <c r="E20" s="23" t="str">
        <f>IF(F20="-","-",MROUND(F20*(1-0.05%),0.05))</f>
        <v>-</v>
      </c>
      <c r="F20" s="23" t="str">
        <f>IF($G$12="Entry Trigger",$E$12,"-")</f>
        <v>-</v>
      </c>
      <c r="G20" s="33"/>
      <c r="H20" s="23" t="s">
        <v>38</v>
      </c>
      <c r="I20" s="23" t="str">
        <f>IF($G$13="Entry Trigger","Yes","No")</f>
        <v>No</v>
      </c>
      <c r="J20" s="23" t="str">
        <f>IF($G$13="Entry Trigger","Buy Order","-")</f>
        <v>-</v>
      </c>
      <c r="K20" s="23" t="str">
        <f>IF($G$13="Entry Trigger",(K12*2),"-")</f>
        <v>-</v>
      </c>
      <c r="L20" s="23" t="str">
        <f>IF(M20="-","-",MROUND(M20*(1+0.05%),0.05))</f>
        <v>-</v>
      </c>
      <c r="M20" s="23" t="str">
        <f>IF($G$13="Entry Trigger",$E$13,"-")</f>
        <v>-</v>
      </c>
    </row>
    <row r="21" spans="1:13" x14ac:dyDescent="0.2">
      <c r="A21" s="23" t="s">
        <v>39</v>
      </c>
      <c r="B21" s="23" t="str">
        <f>IF($G$12="Target Triggered","Yes","No")</f>
        <v>No</v>
      </c>
      <c r="C21" s="23" t="str">
        <f>IF($G$12="Target Triggered","Sell Order","-")</f>
        <v>-</v>
      </c>
      <c r="D21" s="23" t="str">
        <f>IF($G$12="Target Triggered",K12,"-")</f>
        <v>-</v>
      </c>
      <c r="E21" s="23" t="str">
        <f>IF(F21="-","-",MROUND(F21*(1-0.05%),0.05))</f>
        <v>-</v>
      </c>
      <c r="F21" s="23" t="str">
        <f>IF($G$12="Target Triggered",$F$12,"-")</f>
        <v>-</v>
      </c>
      <c r="G21" s="33"/>
      <c r="H21" s="23" t="s">
        <v>39</v>
      </c>
      <c r="I21" s="23" t="str">
        <f>IF($G$13="Target Triggered","Yes","No")</f>
        <v>No</v>
      </c>
      <c r="J21" s="23" t="str">
        <f>IF($G$13="Target Triggered","Buy Order","-")</f>
        <v>-</v>
      </c>
      <c r="K21" s="23" t="str">
        <f>IF($G$13="Target Triggered",K12,"-")</f>
        <v>-</v>
      </c>
      <c r="L21" s="23" t="str">
        <f>IF(M21="-","-",MROUND(M21*(1+0.05%),0.05))</f>
        <v>-</v>
      </c>
      <c r="M21" s="23" t="str">
        <f>IF($G$13="Target Triggered",$F$13,"-")</f>
        <v>-</v>
      </c>
    </row>
    <row r="22" spans="1:13" x14ac:dyDescent="0.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x14ac:dyDescent="0.2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x14ac:dyDescent="0.2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1:13" x14ac:dyDescent="0.2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</row>
    <row r="26" spans="1:13" x14ac:dyDescent="0.2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</row>
    <row r="27" spans="1:13" x14ac:dyDescent="0.2">
      <c r="A27" s="149" t="s">
        <v>40</v>
      </c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</row>
    <row r="28" spans="1:13" x14ac:dyDescent="0.2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</row>
    <row r="29" spans="1:13" x14ac:dyDescent="0.2">
      <c r="A29" s="150" t="s">
        <v>41</v>
      </c>
      <c r="B29" s="100" t="s">
        <v>42</v>
      </c>
      <c r="C29" s="100" t="s">
        <v>43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</row>
    <row r="30" spans="1:13" x14ac:dyDescent="0.2">
      <c r="A30" s="151"/>
      <c r="B30" s="27">
        <v>23347</v>
      </c>
      <c r="C30" s="27">
        <v>22610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</row>
    <row r="31" spans="1:13" x14ac:dyDescent="0.2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</row>
    <row r="32" spans="1:13" x14ac:dyDescent="0.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</row>
    <row r="33" spans="1:13" x14ac:dyDescent="0.2">
      <c r="A33" s="33"/>
      <c r="B33" s="33"/>
      <c r="C33" s="33"/>
      <c r="D33" s="33"/>
      <c r="E33" s="126" t="s">
        <v>16</v>
      </c>
      <c r="F33" s="126" t="s">
        <v>17</v>
      </c>
      <c r="G33" s="33"/>
      <c r="H33" s="33"/>
      <c r="I33" s="33"/>
      <c r="J33" s="33"/>
      <c r="K33" s="33"/>
      <c r="L33" s="33"/>
      <c r="M33" s="33"/>
    </row>
    <row r="34" spans="1:13" ht="17" x14ac:dyDescent="0.2">
      <c r="A34" s="120"/>
      <c r="B34" s="120" t="s">
        <v>18</v>
      </c>
      <c r="C34" s="120" t="s">
        <v>19</v>
      </c>
      <c r="D34" s="120" t="s">
        <v>20</v>
      </c>
      <c r="E34" s="120" t="s">
        <v>21</v>
      </c>
      <c r="F34" s="120" t="s">
        <v>22</v>
      </c>
      <c r="G34" s="120" t="s">
        <v>23</v>
      </c>
      <c r="H34" s="33"/>
      <c r="I34" s="120" t="s">
        <v>24</v>
      </c>
      <c r="J34" s="120" t="s">
        <v>25</v>
      </c>
      <c r="K34" s="33"/>
      <c r="L34" s="33"/>
      <c r="M34" s="33"/>
    </row>
    <row r="35" spans="1:13" ht="17" x14ac:dyDescent="0.2">
      <c r="A35" s="121" t="s">
        <v>27</v>
      </c>
      <c r="B35" s="122">
        <f>MROUND(B30*(1+0.125%),0.05)</f>
        <v>23376.2</v>
      </c>
      <c r="C35" s="123">
        <v>22938</v>
      </c>
      <c r="D35" s="122">
        <f>MROUND(B35*(1+1.25%),0.05)</f>
        <v>23668.400000000001</v>
      </c>
      <c r="E35" s="122">
        <f>MAX(I35:J35)</f>
        <v>23084</v>
      </c>
      <c r="F35" s="122">
        <f>MAX(B35,J35)</f>
        <v>23376.2</v>
      </c>
      <c r="G35" s="44" t="s">
        <v>7</v>
      </c>
      <c r="H35" s="33"/>
      <c r="I35" s="129">
        <f>MROUND(B35*(1-1.25%),0.05)</f>
        <v>23084</v>
      </c>
      <c r="J35" s="129">
        <f>MROUND(C30*(1-0.125%),0.05)</f>
        <v>22581.75</v>
      </c>
      <c r="K35" s="33"/>
      <c r="L35" s="33"/>
      <c r="M35" s="33"/>
    </row>
    <row r="36" spans="1:13" x14ac:dyDescent="0.2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</row>
    <row r="37" spans="1:13" x14ac:dyDescent="0.2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</row>
    <row r="38" spans="1:13" x14ac:dyDescent="0.2">
      <c r="A38" s="143" t="s">
        <v>29</v>
      </c>
      <c r="B38" s="144"/>
      <c r="C38" s="144"/>
      <c r="D38" s="144"/>
      <c r="E38" s="144"/>
      <c r="F38" s="145"/>
      <c r="G38" s="33"/>
      <c r="H38" s="33"/>
      <c r="I38" s="33"/>
      <c r="J38" s="33"/>
      <c r="K38" s="33"/>
      <c r="L38" s="33"/>
      <c r="M38" s="33"/>
    </row>
    <row r="39" spans="1:13" x14ac:dyDescent="0.2">
      <c r="A39" s="23" t="s">
        <v>31</v>
      </c>
      <c r="B39" s="23" t="s">
        <v>32</v>
      </c>
      <c r="C39" s="23" t="s">
        <v>33</v>
      </c>
      <c r="D39" s="23" t="s">
        <v>34</v>
      </c>
      <c r="E39" s="23" t="s">
        <v>35</v>
      </c>
      <c r="F39" s="23" t="s">
        <v>36</v>
      </c>
      <c r="G39" s="33"/>
      <c r="H39" s="33"/>
      <c r="I39" s="33"/>
      <c r="J39" s="33"/>
      <c r="K39" s="33"/>
      <c r="L39" s="33"/>
      <c r="M39" s="33"/>
    </row>
    <row r="40" spans="1:13" x14ac:dyDescent="0.2">
      <c r="A40" s="23" t="s">
        <v>37</v>
      </c>
      <c r="B40" s="23" t="str">
        <f>IF($G$35="NO Holdings","Yes","No")</f>
        <v>No</v>
      </c>
      <c r="C40" s="23" t="str">
        <f>IF($G$35="No Holdings","Buy Order","-")</f>
        <v>-</v>
      </c>
      <c r="D40" s="23" t="str">
        <f>IF($G$35="No Holdings",(K12*2),"-")</f>
        <v>-</v>
      </c>
      <c r="E40" s="23" t="str">
        <f>IF(F40="-","-",MROUND(F40*(1+0.05%),0.05))</f>
        <v>-</v>
      </c>
      <c r="F40" s="23" t="str">
        <f>IF($G$35="No Holdings",$B$35,"-")</f>
        <v>-</v>
      </c>
      <c r="G40" s="33"/>
      <c r="H40" s="33"/>
      <c r="I40" s="33"/>
      <c r="J40" s="33"/>
      <c r="K40" s="33"/>
      <c r="L40" s="33"/>
      <c r="M40" s="33"/>
    </row>
    <row r="41" spans="1:13" x14ac:dyDescent="0.2">
      <c r="A41" s="23" t="s">
        <v>20</v>
      </c>
      <c r="B41" s="23" t="str">
        <f>IF($G$35="Entry Trigger","Yes","No")</f>
        <v>No</v>
      </c>
      <c r="C41" s="23" t="str">
        <f>IF($G$35="Entry Trigger","Sell Order","-")</f>
        <v>-</v>
      </c>
      <c r="D41" s="23" t="str">
        <f>IF($G$35="Entry Trigger",K12,"-")</f>
        <v>-</v>
      </c>
      <c r="E41" s="23" t="str">
        <f>IF(F41="-","-","Use Limit")</f>
        <v>-</v>
      </c>
      <c r="F41" s="23" t="str">
        <f>IF(G35="Entry Trigger",IF(C35="",IF($G$35="Entry Trigger",$D$35,"-"),MROUND(C35*(1+1.25%),0.05)),"-")</f>
        <v>-</v>
      </c>
      <c r="G41" s="33"/>
      <c r="H41" s="33"/>
      <c r="I41" s="33"/>
      <c r="J41" s="33"/>
      <c r="K41" s="33"/>
      <c r="L41" s="33"/>
      <c r="M41" s="33"/>
    </row>
    <row r="42" spans="1:13" x14ac:dyDescent="0.2">
      <c r="A42" s="23" t="s">
        <v>38</v>
      </c>
      <c r="B42" s="23" t="str">
        <f>IF($G$35="Entry Trigger","Yes","No")</f>
        <v>No</v>
      </c>
      <c r="C42" s="23" t="str">
        <f>IF($G$35="Entry Trigger","Sell Order","-")</f>
        <v>-</v>
      </c>
      <c r="D42" s="23" t="str">
        <f>IF($G$35="Entry Trigger",(K12*2),"-")</f>
        <v>-</v>
      </c>
      <c r="E42" s="23" t="str">
        <f>IF(F42="-","-",MROUND(F42*(1-0.05%),0.05))</f>
        <v>-</v>
      </c>
      <c r="F42" s="23" t="str">
        <f>IF($G$35="Entry Trigger",$E$35,"-")</f>
        <v>-</v>
      </c>
      <c r="G42" s="33"/>
      <c r="H42" s="33"/>
      <c r="I42" s="33"/>
      <c r="J42" s="33"/>
      <c r="K42" s="33"/>
      <c r="L42" s="33"/>
      <c r="M42" s="33"/>
    </row>
    <row r="43" spans="1:13" x14ac:dyDescent="0.2">
      <c r="A43" s="23" t="s">
        <v>39</v>
      </c>
      <c r="B43" s="23" t="str">
        <f>IF($G$35="Target Triggered","Yes","No")</f>
        <v>Yes</v>
      </c>
      <c r="C43" s="23" t="str">
        <f>IF($G$35="Target Triggered","Sell Order","-")</f>
        <v>Sell Order</v>
      </c>
      <c r="D43" s="23">
        <f>IF($G$35="Target Triggered",K12,"-")</f>
        <v>25</v>
      </c>
      <c r="E43" s="23">
        <f>IF(F43="-","-",MROUND(F43*(1+0.05%),0.05))</f>
        <v>23387.9</v>
      </c>
      <c r="F43" s="23">
        <f>IF($G$35="Target Triggered",$F$35,"-")</f>
        <v>23376.2</v>
      </c>
      <c r="G43" s="33"/>
      <c r="H43" s="33"/>
      <c r="I43" s="33"/>
      <c r="J43" s="33"/>
      <c r="K43" s="33"/>
      <c r="L43" s="33"/>
      <c r="M43" s="33"/>
    </row>
    <row r="44" spans="1:13" x14ac:dyDescent="0.2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</row>
    <row r="45" spans="1:13" x14ac:dyDescent="0.2">
      <c r="A45" s="149" t="s">
        <v>44</v>
      </c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</row>
    <row r="46" spans="1:13" x14ac:dyDescent="0.2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</row>
    <row r="47" spans="1:13" x14ac:dyDescent="0.2">
      <c r="A47" s="150" t="s">
        <v>45</v>
      </c>
      <c r="B47" s="102" t="s">
        <v>46</v>
      </c>
      <c r="C47" s="102" t="s">
        <v>47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</row>
    <row r="48" spans="1:13" x14ac:dyDescent="0.2">
      <c r="A48" s="151"/>
      <c r="B48" s="30">
        <v>23000</v>
      </c>
      <c r="C48" s="31">
        <f>MROUND(B48*(1+0.125%),0.05)</f>
        <v>23028.75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</row>
    <row r="49" spans="1:13" x14ac:dyDescent="0.2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</row>
    <row r="50" spans="1:13" x14ac:dyDescent="0.2">
      <c r="A50" s="149" t="s">
        <v>48</v>
      </c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</row>
    <row r="51" spans="1:13" x14ac:dyDescent="0.2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</row>
    <row r="52" spans="1:13" x14ac:dyDescent="0.2">
      <c r="A52" s="150" t="s">
        <v>41</v>
      </c>
      <c r="B52" s="100" t="s">
        <v>49</v>
      </c>
      <c r="C52" s="100" t="s">
        <v>50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</row>
    <row r="53" spans="1:13" x14ac:dyDescent="0.2">
      <c r="A53" s="151"/>
      <c r="B53" s="30">
        <v>22312.6</v>
      </c>
      <c r="C53" s="27">
        <v>23035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</row>
    <row r="54" spans="1:13" x14ac:dyDescent="0.2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</row>
    <row r="55" spans="1:13" x14ac:dyDescent="0.2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</row>
    <row r="56" spans="1:13" x14ac:dyDescent="0.2">
      <c r="A56" s="33"/>
      <c r="B56" s="33"/>
      <c r="C56" s="33"/>
      <c r="D56" s="33"/>
      <c r="E56" s="126" t="s">
        <v>16</v>
      </c>
      <c r="F56" s="126" t="s">
        <v>17</v>
      </c>
      <c r="G56" s="33"/>
      <c r="H56" s="33"/>
      <c r="I56" s="33"/>
      <c r="J56" s="33"/>
      <c r="K56" s="33"/>
      <c r="L56" s="33"/>
      <c r="M56" s="33"/>
    </row>
    <row r="57" spans="1:13" ht="17" x14ac:dyDescent="0.2">
      <c r="A57" s="120"/>
      <c r="B57" s="120" t="s">
        <v>18</v>
      </c>
      <c r="C57" s="120" t="s">
        <v>19</v>
      </c>
      <c r="D57" s="120" t="s">
        <v>20</v>
      </c>
      <c r="E57" s="120" t="s">
        <v>21</v>
      </c>
      <c r="F57" s="120" t="s">
        <v>22</v>
      </c>
      <c r="G57" s="120" t="s">
        <v>23</v>
      </c>
      <c r="H57" s="33"/>
      <c r="I57" s="120" t="s">
        <v>24</v>
      </c>
      <c r="J57" s="120" t="s">
        <v>25</v>
      </c>
      <c r="K57" s="33"/>
      <c r="L57" s="33"/>
      <c r="M57" s="33"/>
    </row>
    <row r="58" spans="1:13" ht="17" x14ac:dyDescent="0.2">
      <c r="A58" s="124" t="s">
        <v>28</v>
      </c>
      <c r="B58" s="125">
        <f>MROUND(B53*(1-0.125%),0.05)</f>
        <v>22284.7</v>
      </c>
      <c r="C58" s="123"/>
      <c r="D58" s="125">
        <f>MROUND(B58*(1-1.25%),0.05)</f>
        <v>22006.15</v>
      </c>
      <c r="E58" s="125">
        <f>MIN(I58:J58)</f>
        <v>22563.25</v>
      </c>
      <c r="F58" s="125">
        <f>MIN(B58,J58)</f>
        <v>22284.7</v>
      </c>
      <c r="G58" s="44" t="s">
        <v>2</v>
      </c>
      <c r="H58" s="33"/>
      <c r="I58" s="129">
        <f>MROUND(B58*(1+1.25%),0.05)</f>
        <v>22563.25</v>
      </c>
      <c r="J58" s="129">
        <f>MROUND(C53*(1+0.125%),0.05)</f>
        <v>23063.800000000003</v>
      </c>
      <c r="K58" s="33"/>
      <c r="L58" s="33"/>
      <c r="M58" s="33"/>
    </row>
    <row r="59" spans="1:13" x14ac:dyDescent="0.2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</row>
    <row r="60" spans="1:13" x14ac:dyDescent="0.2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 spans="1:13" x14ac:dyDescent="0.2">
      <c r="A61" s="146" t="s">
        <v>30</v>
      </c>
      <c r="B61" s="147"/>
      <c r="C61" s="147"/>
      <c r="D61" s="147"/>
      <c r="E61" s="147"/>
      <c r="F61" s="148"/>
      <c r="G61" s="33"/>
      <c r="H61" s="33"/>
      <c r="I61" s="33"/>
      <c r="J61" s="33"/>
      <c r="K61" s="33"/>
      <c r="L61" s="33"/>
      <c r="M61" s="33"/>
    </row>
    <row r="62" spans="1:13" x14ac:dyDescent="0.2">
      <c r="A62" s="23" t="s">
        <v>31</v>
      </c>
      <c r="B62" s="23" t="s">
        <v>32</v>
      </c>
      <c r="C62" s="23" t="s">
        <v>33</v>
      </c>
      <c r="D62" s="23" t="s">
        <v>34</v>
      </c>
      <c r="E62" s="23" t="s">
        <v>35</v>
      </c>
      <c r="F62" s="23" t="s">
        <v>36</v>
      </c>
      <c r="G62" s="33"/>
      <c r="H62" s="33"/>
      <c r="I62" s="33"/>
      <c r="J62" s="33"/>
      <c r="K62" s="33"/>
      <c r="L62" s="33"/>
      <c r="M62" s="33"/>
    </row>
    <row r="63" spans="1:13" x14ac:dyDescent="0.2">
      <c r="A63" s="23" t="s">
        <v>37</v>
      </c>
      <c r="B63" s="23" t="str">
        <f>IF($G$58="NO Holdings","Yes","No")</f>
        <v>Yes</v>
      </c>
      <c r="C63" s="23" t="str">
        <f>IF($G$58="No Holdings","Sell Order","-")</f>
        <v>Sell Order</v>
      </c>
      <c r="D63" s="23">
        <f>IF($G$58="No Holdings",(K12*2),"-")</f>
        <v>50</v>
      </c>
      <c r="E63" s="23">
        <f>IF(F63="-","-",MROUND(F63*(1-0.05%),0.05))</f>
        <v>22273.550000000003</v>
      </c>
      <c r="F63" s="23">
        <f>IF($G$58="No Holdings",$B$58,"-")</f>
        <v>22284.7</v>
      </c>
      <c r="G63" s="33"/>
      <c r="H63" s="33"/>
      <c r="I63" s="33"/>
      <c r="J63" s="33"/>
      <c r="K63" s="33"/>
      <c r="L63" s="33"/>
      <c r="M63" s="33"/>
    </row>
    <row r="64" spans="1:13" x14ac:dyDescent="0.2">
      <c r="A64" s="23" t="s">
        <v>20</v>
      </c>
      <c r="B64" s="23" t="str">
        <f>IF($G$58="Entry Trigger","Yes","No")</f>
        <v>No</v>
      </c>
      <c r="C64" s="23" t="str">
        <f>IF($G$58="Entry Trigger","Buy Order","-")</f>
        <v>-</v>
      </c>
      <c r="D64" s="23" t="str">
        <f>IF($G$58="Entry Trigger",K12,"-")</f>
        <v>-</v>
      </c>
      <c r="E64" s="23" t="str">
        <f>IF(F64="-","-","Use Limit")</f>
        <v>-</v>
      </c>
      <c r="F64" s="23" t="str">
        <f>IF(G58="Entry Trigger",IF(C58="",IF($G$58="Entry Trigger",$D$58,"-"),MROUND(C58*(1+1.25%),0.05)),"-")</f>
        <v>-</v>
      </c>
      <c r="G64" s="33"/>
      <c r="H64" s="33"/>
      <c r="I64" s="33"/>
      <c r="J64" s="33"/>
      <c r="K64" s="33"/>
      <c r="L64" s="33"/>
      <c r="M64" s="33"/>
    </row>
    <row r="65" spans="1:13" x14ac:dyDescent="0.2">
      <c r="A65" s="23" t="s">
        <v>38</v>
      </c>
      <c r="B65" s="23" t="str">
        <f>IF($G$58="Entry Trigger","Yes","No")</f>
        <v>No</v>
      </c>
      <c r="C65" s="23" t="str">
        <f>IF($G$58="Entry Trigger","Buy Order","-")</f>
        <v>-</v>
      </c>
      <c r="D65" s="23" t="str">
        <f>IF($G$58="Entry Trigger",(K12*2),"-")</f>
        <v>-</v>
      </c>
      <c r="E65" s="23" t="str">
        <f>IF(F65="-","-",MROUND(F65*(1+0.05%),0.05))</f>
        <v>-</v>
      </c>
      <c r="F65" s="23" t="str">
        <f>IF($G$58="Entry Trigger",$E$58,"-")</f>
        <v>-</v>
      </c>
      <c r="G65" s="33"/>
      <c r="H65" s="33"/>
      <c r="I65" s="33"/>
      <c r="J65" s="33"/>
      <c r="K65" s="33"/>
      <c r="L65" s="33"/>
      <c r="M65" s="33"/>
    </row>
    <row r="66" spans="1:13" x14ac:dyDescent="0.2">
      <c r="A66" s="23" t="s">
        <v>39</v>
      </c>
      <c r="B66" s="23" t="str">
        <f>IF($G$58="Target Triggered","Yes","No")</f>
        <v>No</v>
      </c>
      <c r="C66" s="23" t="str">
        <f>IF($G$58="Target Triggered","Buy Order","-")</f>
        <v>-</v>
      </c>
      <c r="D66" s="23" t="str">
        <f>IF($G$58="Target Triggered",K12,"-")</f>
        <v>-</v>
      </c>
      <c r="E66" s="23" t="str">
        <f>IF(F66="-","-",MROUND(F66*(1+0.05%),0.05))</f>
        <v>-</v>
      </c>
      <c r="F66" s="23" t="str">
        <f>IF($G$58="Target Triggered",$F$58,"-")</f>
        <v>-</v>
      </c>
      <c r="G66" s="33"/>
      <c r="H66" s="33"/>
      <c r="I66" s="33"/>
      <c r="J66" s="33"/>
      <c r="K66" s="33"/>
      <c r="L66" s="33"/>
      <c r="M66" s="33"/>
    </row>
    <row r="67" spans="1:13" x14ac:dyDescent="0.2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</row>
    <row r="68" spans="1:13" x14ac:dyDescent="0.2">
      <c r="A68" s="149" t="s">
        <v>51</v>
      </c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</row>
    <row r="69" spans="1:13" x14ac:dyDescent="0.2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</row>
    <row r="70" spans="1:13" x14ac:dyDescent="0.2">
      <c r="A70" s="150" t="s">
        <v>52</v>
      </c>
      <c r="B70" s="102" t="s">
        <v>53</v>
      </c>
      <c r="C70" s="130" t="s">
        <v>47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</row>
    <row r="71" spans="1:13" x14ac:dyDescent="0.2">
      <c r="A71" s="151"/>
      <c r="B71" s="30">
        <v>23491.45</v>
      </c>
      <c r="C71" s="31">
        <f>MROUND(B71*(1-0.125%),0.05)</f>
        <v>23462.100000000002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</row>
    <row r="74" spans="1:13" x14ac:dyDescent="0.2">
      <c r="B74" s="58"/>
      <c r="C74" s="58"/>
    </row>
    <row r="75" spans="1:13" x14ac:dyDescent="0.2">
      <c r="B75" s="58"/>
      <c r="C75" s="58"/>
    </row>
    <row r="76" spans="1:13" x14ac:dyDescent="0.2">
      <c r="B76" s="58"/>
      <c r="C76" s="58"/>
    </row>
    <row r="77" spans="1:13" x14ac:dyDescent="0.2">
      <c r="B77" s="58"/>
      <c r="C77" s="58"/>
    </row>
    <row r="78" spans="1:13" x14ac:dyDescent="0.2">
      <c r="A78" s="59"/>
      <c r="B78" s="60"/>
      <c r="C78" s="60"/>
      <c r="D78" s="59"/>
      <c r="E78" s="59"/>
    </row>
    <row r="79" spans="1:13" x14ac:dyDescent="0.2">
      <c r="A79" s="59"/>
      <c r="B79" s="60"/>
      <c r="C79" s="60"/>
      <c r="D79" s="59"/>
      <c r="E79" s="59"/>
    </row>
    <row r="80" spans="1:13" x14ac:dyDescent="0.2">
      <c r="A80" s="59"/>
      <c r="B80" s="60"/>
      <c r="C80" s="60"/>
      <c r="D80" s="59"/>
      <c r="E80" s="59"/>
    </row>
    <row r="81" spans="1:5" x14ac:dyDescent="0.2">
      <c r="A81" s="59"/>
      <c r="B81" s="59"/>
      <c r="C81" s="59"/>
      <c r="D81" s="59"/>
      <c r="E81" s="59"/>
    </row>
    <row r="82" spans="1:5" ht="19" x14ac:dyDescent="0.25">
      <c r="B82" s="52" t="s">
        <v>3</v>
      </c>
      <c r="C82" s="53"/>
      <c r="D82" s="53"/>
      <c r="E82" s="59"/>
    </row>
    <row r="83" spans="1:5" ht="19" x14ac:dyDescent="0.25">
      <c r="B83" s="54" t="s">
        <v>6</v>
      </c>
      <c r="E83" s="59"/>
    </row>
    <row r="84" spans="1:5" ht="19" x14ac:dyDescent="0.25">
      <c r="B84" s="54" t="s">
        <v>12</v>
      </c>
      <c r="C84" s="53"/>
      <c r="D84" s="53"/>
      <c r="E84" s="59"/>
    </row>
    <row r="85" spans="1:5" ht="19" x14ac:dyDescent="0.25">
      <c r="B85" s="54" t="s">
        <v>14</v>
      </c>
      <c r="C85" s="53"/>
      <c r="E85" s="59"/>
    </row>
  </sheetData>
  <sheetProtection algorithmName="SHA-512" hashValue="p/FCnGkeAqrwCAgH3k5GOvYSHIfHAx0d9XI1MSoOCvtuemaiVUwJJIHb2mXr1Xisr2RTZ+bBLcldlniFuAN/KA==" saltValue="4z0nbBMBGQxrNUjNLtrjCg==" spinCount="100000" sheet="1" objects="1" scenarios="1"/>
  <mergeCells count="15">
    <mergeCell ref="A68:M68"/>
    <mergeCell ref="A29:A30"/>
    <mergeCell ref="A47:A48"/>
    <mergeCell ref="A52:A53"/>
    <mergeCell ref="A70:A71"/>
    <mergeCell ref="A27:M27"/>
    <mergeCell ref="A38:F38"/>
    <mergeCell ref="A45:M45"/>
    <mergeCell ref="A50:M50"/>
    <mergeCell ref="A61:F61"/>
    <mergeCell ref="A1:M1"/>
    <mergeCell ref="A3:B3"/>
    <mergeCell ref="C3:D3"/>
    <mergeCell ref="A16:F16"/>
    <mergeCell ref="H16:M16"/>
  </mergeCells>
  <dataValidations disablePrompts="1" count="1">
    <dataValidation type="list" allowBlank="1" showInputMessage="1" showErrorMessage="1" sqref="G35 G58 G12:G13" xr:uid="{00000000-0002-0000-0000-000000000000}">
      <formula1>$O$3:$O$5</formula1>
    </dataValidation>
  </dataValidations>
  <pageMargins left="0.69930555555555596" right="0.69930555555555596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5"/>
  <sheetViews>
    <sheetView zoomScale="130" zoomScaleNormal="130" workbookViewId="0">
      <selection activeCell="C9" sqref="C9"/>
    </sheetView>
  </sheetViews>
  <sheetFormatPr baseColWidth="10" defaultColWidth="9" defaultRowHeight="16" x14ac:dyDescent="0.2"/>
  <cols>
    <col min="1" max="1" width="15.6640625" customWidth="1"/>
    <col min="2" max="2" width="15" customWidth="1"/>
    <col min="3" max="3" width="16.1640625" customWidth="1"/>
    <col min="4" max="4" width="15.6640625" customWidth="1"/>
    <col min="5" max="5" width="12.83203125" customWidth="1"/>
    <col min="6" max="6" width="13.33203125" customWidth="1"/>
    <col min="7" max="7" width="14.5" customWidth="1"/>
    <col min="8" max="8" width="14.83203125" customWidth="1"/>
    <col min="9" max="9" width="12.83203125" customWidth="1"/>
    <col min="10" max="10" width="13.83203125" customWidth="1"/>
    <col min="11" max="11" width="14.5" customWidth="1"/>
    <col min="12" max="12" width="13.6640625" customWidth="1"/>
    <col min="13" max="13" width="14.6640625" customWidth="1"/>
    <col min="15" max="15" width="15" hidden="1" customWidth="1"/>
  </cols>
  <sheetData>
    <row r="1" spans="1:15" x14ac:dyDescent="0.2">
      <c r="A1" s="139" t="s">
        <v>54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5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5" x14ac:dyDescent="0.2">
      <c r="A3" s="141" t="s">
        <v>55</v>
      </c>
      <c r="B3" s="141"/>
      <c r="C3" s="152">
        <v>46020</v>
      </c>
      <c r="D3" s="152"/>
      <c r="E3" s="33"/>
      <c r="F3" s="33"/>
      <c r="G3" s="33"/>
      <c r="H3" s="33"/>
      <c r="I3" s="33"/>
      <c r="J3" s="33"/>
      <c r="K3" s="33"/>
      <c r="L3" s="33"/>
      <c r="M3" s="33"/>
      <c r="O3" t="s">
        <v>2</v>
      </c>
    </row>
    <row r="4" spans="1:15" ht="17" customHeight="1" x14ac:dyDescent="0.25">
      <c r="A4" s="111"/>
      <c r="B4" s="111"/>
      <c r="C4" s="112"/>
      <c r="D4" s="112"/>
      <c r="E4" s="33"/>
      <c r="F4" s="33"/>
      <c r="G4" s="33"/>
      <c r="H4" s="51"/>
      <c r="I4" s="52" t="s">
        <v>3</v>
      </c>
      <c r="J4" s="53"/>
      <c r="K4" s="33"/>
      <c r="L4" s="33"/>
      <c r="M4" s="33"/>
      <c r="O4" t="s">
        <v>4</v>
      </c>
    </row>
    <row r="5" spans="1:15" ht="19" x14ac:dyDescent="0.25">
      <c r="A5" s="113" t="s">
        <v>5</v>
      </c>
      <c r="B5" s="114">
        <v>46015</v>
      </c>
      <c r="C5" s="114">
        <v>46017</v>
      </c>
      <c r="D5" s="24"/>
      <c r="E5" s="33"/>
      <c r="F5" s="33"/>
      <c r="G5" s="33"/>
      <c r="H5" s="51"/>
      <c r="I5" s="54" t="s">
        <v>6</v>
      </c>
      <c r="K5" s="33"/>
      <c r="L5" s="33"/>
      <c r="M5" s="33"/>
      <c r="O5" t="s">
        <v>7</v>
      </c>
    </row>
    <row r="6" spans="1:15" ht="19" x14ac:dyDescent="0.25">
      <c r="A6" s="115" t="s">
        <v>56</v>
      </c>
      <c r="B6" s="115" t="s">
        <v>9</v>
      </c>
      <c r="C6" s="115" t="s">
        <v>10</v>
      </c>
      <c r="D6" s="115" t="s">
        <v>11</v>
      </c>
      <c r="E6" s="33"/>
      <c r="F6" s="33"/>
      <c r="G6" s="33"/>
      <c r="H6" s="51"/>
      <c r="I6" s="54" t="s">
        <v>12</v>
      </c>
      <c r="J6" s="53"/>
      <c r="K6" s="33"/>
      <c r="L6" s="33"/>
      <c r="M6" s="33"/>
    </row>
    <row r="7" spans="1:15" ht="19" x14ac:dyDescent="0.25">
      <c r="A7" s="116" t="s">
        <v>13</v>
      </c>
      <c r="B7" s="117">
        <v>60439</v>
      </c>
      <c r="C7" s="117">
        <v>60290.2</v>
      </c>
      <c r="D7" s="118">
        <f>MAX(B7:C7)</f>
        <v>60439</v>
      </c>
      <c r="E7" s="33"/>
      <c r="F7" s="33"/>
      <c r="G7" s="33"/>
      <c r="H7" s="51"/>
      <c r="I7" s="54" t="s">
        <v>14</v>
      </c>
      <c r="J7" s="53"/>
      <c r="K7" s="33"/>
      <c r="L7" s="33"/>
      <c r="M7" s="33"/>
    </row>
    <row r="8" spans="1:15" ht="17" x14ac:dyDescent="0.2">
      <c r="A8" s="116" t="s">
        <v>15</v>
      </c>
      <c r="B8" s="117">
        <v>60121</v>
      </c>
      <c r="C8" s="119">
        <v>59836</v>
      </c>
      <c r="D8" s="118">
        <f>MIN(B8:C8)</f>
        <v>59836</v>
      </c>
      <c r="E8" s="33"/>
      <c r="F8" s="33"/>
      <c r="G8" s="33"/>
      <c r="H8" s="33"/>
      <c r="I8" s="33"/>
      <c r="J8" s="33"/>
      <c r="K8" s="33"/>
      <c r="L8" s="33"/>
      <c r="M8" s="33"/>
    </row>
    <row r="9" spans="1:15" x14ac:dyDescent="0.2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</row>
    <row r="10" spans="1:15" x14ac:dyDescent="0.2">
      <c r="A10" s="33"/>
      <c r="B10" s="33"/>
      <c r="C10" s="33"/>
      <c r="D10" s="33"/>
      <c r="E10" s="126" t="s">
        <v>16</v>
      </c>
      <c r="F10" s="126" t="s">
        <v>17</v>
      </c>
      <c r="G10" s="33"/>
      <c r="H10" s="33"/>
      <c r="I10" s="33"/>
      <c r="J10" s="33"/>
      <c r="K10" s="33"/>
      <c r="L10" s="33"/>
      <c r="M10" s="33"/>
    </row>
    <row r="11" spans="1:15" ht="17" x14ac:dyDescent="0.2">
      <c r="A11" s="120"/>
      <c r="B11" s="120" t="s">
        <v>18</v>
      </c>
      <c r="C11" s="120" t="s">
        <v>19</v>
      </c>
      <c r="D11" s="120" t="s">
        <v>20</v>
      </c>
      <c r="E11" s="120" t="s">
        <v>21</v>
      </c>
      <c r="F11" s="120" t="s">
        <v>22</v>
      </c>
      <c r="G11" s="120" t="s">
        <v>23</v>
      </c>
      <c r="H11" s="33"/>
      <c r="I11" s="127" t="s">
        <v>24</v>
      </c>
      <c r="J11" s="127" t="s">
        <v>25</v>
      </c>
      <c r="K11" s="128" t="s">
        <v>26</v>
      </c>
      <c r="L11" s="33"/>
      <c r="M11" s="33"/>
    </row>
    <row r="12" spans="1:15" ht="17" x14ac:dyDescent="0.2">
      <c r="A12" s="121" t="s">
        <v>27</v>
      </c>
      <c r="B12" s="122">
        <f>MROUND(D7*(1+0.15%),0.05)</f>
        <v>60529.65</v>
      </c>
      <c r="C12" s="123"/>
      <c r="D12" s="122">
        <f>MROUND(B12*(1+1.5%),0.05)</f>
        <v>61437.600000000006</v>
      </c>
      <c r="E12" s="122">
        <f>MAX(I12:J12)</f>
        <v>59746.25</v>
      </c>
      <c r="F12" s="122">
        <f>MAX(B12,J12)</f>
        <v>60529.65</v>
      </c>
      <c r="G12" s="44" t="s">
        <v>2</v>
      </c>
      <c r="H12" s="33"/>
      <c r="I12" s="129">
        <f>MROUND(B12*(1-1.5%),0.05)</f>
        <v>59621.700000000004</v>
      </c>
      <c r="J12" s="129">
        <f>MROUND(D8*(1-0.15%),0.05)</f>
        <v>59746.25</v>
      </c>
      <c r="K12" s="44">
        <v>30</v>
      </c>
      <c r="L12" s="33"/>
      <c r="M12" s="33"/>
    </row>
    <row r="13" spans="1:15" ht="17" x14ac:dyDescent="0.2">
      <c r="A13" s="124" t="s">
        <v>28</v>
      </c>
      <c r="B13" s="125">
        <f>MROUND(D8*(1-0.15%),0.05)</f>
        <v>59746.25</v>
      </c>
      <c r="C13" s="123"/>
      <c r="D13" s="125">
        <f>MROUND(B13*(1-1.5%),0.05)</f>
        <v>58850.05</v>
      </c>
      <c r="E13" s="125">
        <f>MIN(I13:J13)</f>
        <v>60529.65</v>
      </c>
      <c r="F13" s="125">
        <f>MIN(B13,J13)</f>
        <v>59746.25</v>
      </c>
      <c r="G13" s="44" t="s">
        <v>2</v>
      </c>
      <c r="H13" s="33"/>
      <c r="I13" s="129">
        <f>MROUND(B13*(1+1.5%),0.05)</f>
        <v>60642.450000000004</v>
      </c>
      <c r="J13" s="129">
        <f>MROUND(D7*(1+0.15%),0.05)</f>
        <v>60529.65</v>
      </c>
      <c r="K13" s="33"/>
      <c r="L13" s="33"/>
      <c r="M13" s="33"/>
    </row>
    <row r="14" spans="1:15" x14ac:dyDescent="0.2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spans="1:15" x14ac:dyDescent="0.2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6" spans="1:15" x14ac:dyDescent="0.2">
      <c r="A16" s="143" t="s">
        <v>29</v>
      </c>
      <c r="B16" s="144"/>
      <c r="C16" s="144"/>
      <c r="D16" s="144"/>
      <c r="E16" s="144"/>
      <c r="F16" s="145"/>
      <c r="G16" s="33"/>
      <c r="H16" s="146" t="s">
        <v>30</v>
      </c>
      <c r="I16" s="147"/>
      <c r="J16" s="147"/>
      <c r="K16" s="147"/>
      <c r="L16" s="147"/>
      <c r="M16" s="148"/>
    </row>
    <row r="17" spans="1:13" x14ac:dyDescent="0.2">
      <c r="A17" s="23" t="s">
        <v>31</v>
      </c>
      <c r="B17" s="23" t="s">
        <v>32</v>
      </c>
      <c r="C17" s="23" t="s">
        <v>33</v>
      </c>
      <c r="D17" s="23" t="s">
        <v>34</v>
      </c>
      <c r="E17" s="23" t="s">
        <v>35</v>
      </c>
      <c r="F17" s="23" t="s">
        <v>36</v>
      </c>
      <c r="G17" s="33"/>
      <c r="H17" s="23" t="s">
        <v>31</v>
      </c>
      <c r="I17" s="23" t="s">
        <v>32</v>
      </c>
      <c r="J17" s="23" t="s">
        <v>33</v>
      </c>
      <c r="K17" s="23" t="s">
        <v>34</v>
      </c>
      <c r="L17" s="23" t="s">
        <v>35</v>
      </c>
      <c r="M17" s="23" t="s">
        <v>36</v>
      </c>
    </row>
    <row r="18" spans="1:13" x14ac:dyDescent="0.2">
      <c r="A18" s="23" t="s">
        <v>37</v>
      </c>
      <c r="B18" s="23" t="str">
        <f>IF($G$12="NO Holdings","Yes","No")</f>
        <v>Yes</v>
      </c>
      <c r="C18" s="23" t="str">
        <f>IF($G$12="No Holdings","Buy Order","-")</f>
        <v>Buy Order</v>
      </c>
      <c r="D18" s="23">
        <f>IF($G$12="No Holdings",(K12*2),"-")</f>
        <v>60</v>
      </c>
      <c r="E18" s="23">
        <f>IF(F18="-","-",MROUND(F18*(1+0.05%),0.05))</f>
        <v>60559.9</v>
      </c>
      <c r="F18" s="23">
        <f>IF($G$12="No Holdings",$B$12,"-")</f>
        <v>60529.65</v>
      </c>
      <c r="G18" s="33"/>
      <c r="H18" s="23" t="s">
        <v>37</v>
      </c>
      <c r="I18" s="23" t="str">
        <f>IF($G$13="NO Holdings","Yes","No")</f>
        <v>Yes</v>
      </c>
      <c r="J18" s="23" t="str">
        <f>IF($G$13="No Holdings","Sell Order","-")</f>
        <v>Sell Order</v>
      </c>
      <c r="K18" s="23">
        <f>IF($G$13="No Holdings",(2*K12),"-")</f>
        <v>60</v>
      </c>
      <c r="L18" s="23">
        <f>IF(M18="-","-",M18*(1-0.05%))</f>
        <v>59716.376875000002</v>
      </c>
      <c r="M18" s="23">
        <f>IF($G$13="No Holdings",$B$13,"-")</f>
        <v>59746.25</v>
      </c>
    </row>
    <row r="19" spans="1:13" x14ac:dyDescent="0.2">
      <c r="A19" s="23" t="s">
        <v>20</v>
      </c>
      <c r="B19" s="23" t="str">
        <f>IF($G$12="Entry Trigger","Yes","No")</f>
        <v>No</v>
      </c>
      <c r="C19" s="23" t="str">
        <f>IF($G$12="Entry Trigger","Sell Order","-")</f>
        <v>-</v>
      </c>
      <c r="D19" s="23" t="str">
        <f>IF($G$12="Entry Trigger",K12,"-")</f>
        <v>-</v>
      </c>
      <c r="E19" s="23" t="str">
        <f>IF(F19="-","-","Use Limit")</f>
        <v>-</v>
      </c>
      <c r="F19" s="23" t="str">
        <f>IF(G12="Entry Trigger",IF(C12="",IF($G$12="Entry Trigger",$D$12,"-"),MROUND(C12*(1+1.25%),0.05)),"-")</f>
        <v>-</v>
      </c>
      <c r="G19" s="33"/>
      <c r="H19" s="23" t="s">
        <v>20</v>
      </c>
      <c r="I19" s="23" t="str">
        <f>IF($G$13="Entry Trigger","Yes","No")</f>
        <v>No</v>
      </c>
      <c r="J19" s="23" t="str">
        <f>IF($G$13="Entry Trigger","Buy Order","-")</f>
        <v>-</v>
      </c>
      <c r="K19" s="23" t="str">
        <f>IF($G$13="Entry Trigger",K12,"-")</f>
        <v>-</v>
      </c>
      <c r="L19" s="23" t="str">
        <f>IF(M19="-","-","Use Limit")</f>
        <v>-</v>
      </c>
      <c r="M19" s="23" t="str">
        <f>IF(G13="Entry Trigger",IF(C13="",IF($G$13="Entry Trigger",$D$13,"-"),MROUND(C13*(1-1.25%),0.05)),"-")</f>
        <v>-</v>
      </c>
    </row>
    <row r="20" spans="1:13" x14ac:dyDescent="0.2">
      <c r="A20" s="23" t="s">
        <v>38</v>
      </c>
      <c r="B20" s="23" t="str">
        <f>IF($G$12="Entry Trigger","Yes","No")</f>
        <v>No</v>
      </c>
      <c r="C20" s="23" t="str">
        <f>IF($G$12="Entry Trigger","Sell Order","-")</f>
        <v>-</v>
      </c>
      <c r="D20" s="23" t="str">
        <f>IF($G$12="Entry Trigger",(K12*2),"-")</f>
        <v>-</v>
      </c>
      <c r="E20" s="23" t="str">
        <f>IF(F20="-","-",MROUND(F20*(1+0.05%),0.05))</f>
        <v>-</v>
      </c>
      <c r="F20" s="23" t="str">
        <f>IF($G$12="Entry Trigger",$E$12,"-")</f>
        <v>-</v>
      </c>
      <c r="G20" s="33"/>
      <c r="H20" s="23" t="s">
        <v>38</v>
      </c>
      <c r="I20" s="23" t="str">
        <f>IF($G$13="Entry Trigger","Yes","No")</f>
        <v>No</v>
      </c>
      <c r="J20" s="23" t="str">
        <f>IF($G$13="Entry Trigger","Buy Order","-")</f>
        <v>-</v>
      </c>
      <c r="K20" s="23" t="str">
        <f>IF($G$13="Entry Trigger",(2*K12),"-")</f>
        <v>-</v>
      </c>
      <c r="L20" s="23" t="str">
        <f>IF(M20="-","-",M20*(1+0.05%))</f>
        <v>-</v>
      </c>
      <c r="M20" s="23" t="str">
        <f>IF($G$13="Entry Trigger",$E$13,"-")</f>
        <v>-</v>
      </c>
    </row>
    <row r="21" spans="1:13" x14ac:dyDescent="0.2">
      <c r="A21" s="23" t="s">
        <v>39</v>
      </c>
      <c r="B21" s="23" t="str">
        <f>IF($G$12="Target Triggered","Yes","No")</f>
        <v>No</v>
      </c>
      <c r="C21" s="23" t="str">
        <f>IF($G$12="Target Triggered","Sell Order","-")</f>
        <v>-</v>
      </c>
      <c r="D21" s="23" t="str">
        <f>IF($G$12="Target Triggered",K12,"-")</f>
        <v>-</v>
      </c>
      <c r="E21" s="23" t="str">
        <f>IF(F21="-","-",MROUND(F21*(1+0.05%),0.05))</f>
        <v>-</v>
      </c>
      <c r="F21" s="23" t="str">
        <f>IF($G$12="Target Triggered",$F$12,"-")</f>
        <v>-</v>
      </c>
      <c r="G21" s="33"/>
      <c r="H21" s="23" t="s">
        <v>39</v>
      </c>
      <c r="I21" s="23" t="str">
        <f>IF($G$13="Target Triggered","Yes","No")</f>
        <v>No</v>
      </c>
      <c r="J21" s="23" t="str">
        <f>IF($G$13="Target Triggered","Buy Order","-")</f>
        <v>-</v>
      </c>
      <c r="K21" s="23" t="str">
        <f>IF($G$13="Target Triggered",K12,"-")</f>
        <v>-</v>
      </c>
      <c r="L21" s="23" t="str">
        <f>IF(M21="-","-",M21*(1+0.05%))</f>
        <v>-</v>
      </c>
      <c r="M21" s="23" t="str">
        <f>IF($G$13="Target Triggered",$F$13,"-")</f>
        <v>-</v>
      </c>
    </row>
    <row r="22" spans="1:13" x14ac:dyDescent="0.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x14ac:dyDescent="0.2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x14ac:dyDescent="0.2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1:13" x14ac:dyDescent="0.2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</row>
    <row r="26" spans="1:13" x14ac:dyDescent="0.2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</row>
    <row r="27" spans="1:13" x14ac:dyDescent="0.2">
      <c r="A27" s="149" t="s">
        <v>40</v>
      </c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</row>
    <row r="28" spans="1:13" x14ac:dyDescent="0.2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</row>
    <row r="29" spans="1:13" x14ac:dyDescent="0.2">
      <c r="A29" s="99" t="s">
        <v>57</v>
      </c>
      <c r="B29" s="100" t="s">
        <v>42</v>
      </c>
      <c r="C29" s="100" t="s">
        <v>43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</row>
    <row r="30" spans="1:13" x14ac:dyDescent="0.2">
      <c r="A30" s="99"/>
      <c r="B30" s="30">
        <v>50665</v>
      </c>
      <c r="C30" s="27">
        <v>49950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</row>
    <row r="31" spans="1:13" x14ac:dyDescent="0.2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</row>
    <row r="32" spans="1:13" x14ac:dyDescent="0.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</row>
    <row r="33" spans="1:13" x14ac:dyDescent="0.2">
      <c r="A33" s="33"/>
      <c r="B33" s="33"/>
      <c r="C33" s="33"/>
      <c r="D33" s="33"/>
      <c r="E33" s="126" t="s">
        <v>16</v>
      </c>
      <c r="F33" s="126" t="s">
        <v>17</v>
      </c>
      <c r="G33" s="33"/>
      <c r="H33" s="33"/>
      <c r="I33" s="33"/>
      <c r="J33" s="33"/>
      <c r="K33" s="33"/>
      <c r="L33" s="33"/>
      <c r="M33" s="33"/>
    </row>
    <row r="34" spans="1:13" ht="17" x14ac:dyDescent="0.2">
      <c r="A34" s="120"/>
      <c r="B34" s="120" t="s">
        <v>18</v>
      </c>
      <c r="C34" s="120" t="s">
        <v>19</v>
      </c>
      <c r="D34" s="120" t="s">
        <v>20</v>
      </c>
      <c r="E34" s="120" t="s">
        <v>21</v>
      </c>
      <c r="F34" s="120" t="s">
        <v>22</v>
      </c>
      <c r="G34" s="120" t="s">
        <v>23</v>
      </c>
      <c r="H34" s="33"/>
      <c r="I34" s="120" t="s">
        <v>24</v>
      </c>
      <c r="J34" s="120" t="s">
        <v>25</v>
      </c>
      <c r="K34" s="33"/>
      <c r="L34" s="33"/>
      <c r="M34" s="33"/>
    </row>
    <row r="35" spans="1:13" ht="17" x14ac:dyDescent="0.2">
      <c r="A35" s="121" t="s">
        <v>27</v>
      </c>
      <c r="B35" s="122">
        <f>MROUND(B30*(1+0.15%),0.05)</f>
        <v>50741</v>
      </c>
      <c r="C35" s="123"/>
      <c r="D35" s="122">
        <f>MROUND(B35*(1+1.5%),0.05)</f>
        <v>51502.100000000006</v>
      </c>
      <c r="E35" s="122">
        <f>MAX(I35:J35)</f>
        <v>49979.9</v>
      </c>
      <c r="F35" s="122">
        <f>MAX(B35,J35)</f>
        <v>50741</v>
      </c>
      <c r="G35" s="44" t="s">
        <v>4</v>
      </c>
      <c r="H35" s="33"/>
      <c r="I35" s="129">
        <f>MROUND(B35*(1-1.5%),0.05)</f>
        <v>49979.9</v>
      </c>
      <c r="J35" s="129">
        <f>MROUND(C30*(1-0.15%),0.05)</f>
        <v>49875.100000000006</v>
      </c>
      <c r="K35" s="33"/>
      <c r="L35" s="33"/>
      <c r="M35" s="33"/>
    </row>
    <row r="36" spans="1:13" x14ac:dyDescent="0.2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</row>
    <row r="37" spans="1:13" x14ac:dyDescent="0.2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</row>
    <row r="38" spans="1:13" x14ac:dyDescent="0.2">
      <c r="A38" s="143" t="s">
        <v>29</v>
      </c>
      <c r="B38" s="144"/>
      <c r="C38" s="144"/>
      <c r="D38" s="144"/>
      <c r="E38" s="144"/>
      <c r="F38" s="145"/>
      <c r="G38" s="33"/>
      <c r="H38" s="33"/>
      <c r="I38" s="33"/>
      <c r="J38" s="33"/>
      <c r="K38" s="33"/>
      <c r="L38" s="33"/>
      <c r="M38" s="33"/>
    </row>
    <row r="39" spans="1:13" x14ac:dyDescent="0.2">
      <c r="A39" s="23" t="s">
        <v>31</v>
      </c>
      <c r="B39" s="23" t="s">
        <v>32</v>
      </c>
      <c r="C39" s="23" t="s">
        <v>33</v>
      </c>
      <c r="D39" s="23" t="s">
        <v>34</v>
      </c>
      <c r="E39" s="23" t="s">
        <v>35</v>
      </c>
      <c r="F39" s="23" t="s">
        <v>36</v>
      </c>
      <c r="G39" s="33"/>
      <c r="H39" s="33"/>
      <c r="I39" s="33"/>
      <c r="J39" s="33"/>
      <c r="K39" s="33"/>
      <c r="L39" s="33"/>
      <c r="M39" s="33"/>
    </row>
    <row r="40" spans="1:13" x14ac:dyDescent="0.2">
      <c r="A40" s="23" t="s">
        <v>37</v>
      </c>
      <c r="B40" s="23" t="str">
        <f>IF($G$35="NO Holdings","Yes","No")</f>
        <v>No</v>
      </c>
      <c r="C40" s="23" t="str">
        <f>IF($G$35="No Holdings","Buy Order","-")</f>
        <v>-</v>
      </c>
      <c r="D40" s="23" t="str">
        <f>IF($G$35="No Holdings",(K12*2),"-")</f>
        <v>-</v>
      </c>
      <c r="E40" s="23" t="str">
        <f>IF(F40="-","-",MROUND(F40*(1+0.05%),0.05))</f>
        <v>-</v>
      </c>
      <c r="F40" s="23" t="str">
        <f>IF($G$35="No Holdings",$B$35,"-")</f>
        <v>-</v>
      </c>
      <c r="G40" s="33"/>
      <c r="H40" s="33"/>
      <c r="I40" s="33"/>
      <c r="J40" s="33"/>
      <c r="K40" s="33"/>
      <c r="L40" s="33"/>
      <c r="M40" s="33"/>
    </row>
    <row r="41" spans="1:13" x14ac:dyDescent="0.2">
      <c r="A41" s="23" t="s">
        <v>20</v>
      </c>
      <c r="B41" s="23" t="str">
        <f>IF($G$35="Entry Trigger","Yes","No")</f>
        <v>Yes</v>
      </c>
      <c r="C41" s="23" t="str">
        <f>IF($G$35="Entry Trigger","Sell Order","-")</f>
        <v>Sell Order</v>
      </c>
      <c r="D41" s="23">
        <f>IF($G$35="Entry Trigger",K12,"-")</f>
        <v>30</v>
      </c>
      <c r="E41" s="23" t="str">
        <f>IF(F41="-","-","Use Limit")</f>
        <v>Use Limit</v>
      </c>
      <c r="F41" s="23">
        <f>IF(G35="Entry Trigger",IF(C35="",IF($G$35="Entry Trigger",$D$35,"-"),MROUND(C35*(1+1.25%),0.05)),"-")</f>
        <v>51502.100000000006</v>
      </c>
      <c r="G41" s="33"/>
      <c r="H41" s="33"/>
      <c r="I41" s="33"/>
      <c r="J41" s="33"/>
      <c r="K41" s="33"/>
      <c r="L41" s="33"/>
      <c r="M41" s="33"/>
    </row>
    <row r="42" spans="1:13" x14ac:dyDescent="0.2">
      <c r="A42" s="23" t="s">
        <v>38</v>
      </c>
      <c r="B42" s="23" t="str">
        <f>IF($G$35="Entry Trigger","Yes","No")</f>
        <v>Yes</v>
      </c>
      <c r="C42" s="23" t="str">
        <f>IF($G$35="Entry Trigger","Sell Order","-")</f>
        <v>Sell Order</v>
      </c>
      <c r="D42" s="23">
        <f>IF($G$35="Entry Trigger",(K12*2),"-")</f>
        <v>60</v>
      </c>
      <c r="E42" s="23">
        <f>IF(F42="-","-",MROUND(F42*(1-0.05%),0.05))</f>
        <v>49954.9</v>
      </c>
      <c r="F42" s="23">
        <f>IF($G$35="Entry Trigger",$E$35,"-")</f>
        <v>49979.9</v>
      </c>
      <c r="G42" s="33"/>
      <c r="H42" s="33"/>
      <c r="I42" s="33"/>
      <c r="J42" s="33"/>
      <c r="K42" s="33"/>
      <c r="L42" s="33"/>
      <c r="M42" s="33"/>
    </row>
    <row r="43" spans="1:13" x14ac:dyDescent="0.2">
      <c r="A43" s="23" t="s">
        <v>39</v>
      </c>
      <c r="B43" s="23" t="str">
        <f>IF($G$35="Target Triggered","Yes","No")</f>
        <v>No</v>
      </c>
      <c r="C43" s="23" t="str">
        <f>IF($G$35="Target Triggered","Sell Order","-")</f>
        <v>-</v>
      </c>
      <c r="D43" s="23" t="str">
        <f>IF($G$35="Target Triggered",K12,"-")</f>
        <v>-</v>
      </c>
      <c r="E43" s="23" t="str">
        <f>IF(F43="-","-",MROUND(F43*(1-0.05%),0.05))</f>
        <v>-</v>
      </c>
      <c r="F43" s="23" t="str">
        <f>IF($G$35="Target Triggered",$F$35,"-")</f>
        <v>-</v>
      </c>
      <c r="G43" s="33"/>
      <c r="H43" s="33"/>
      <c r="I43" s="33"/>
      <c r="J43" s="33"/>
      <c r="K43" s="33"/>
      <c r="L43" s="33"/>
      <c r="M43" s="33"/>
    </row>
    <row r="44" spans="1:13" x14ac:dyDescent="0.2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</row>
    <row r="45" spans="1:13" x14ac:dyDescent="0.2">
      <c r="A45" s="149" t="s">
        <v>44</v>
      </c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</row>
    <row r="46" spans="1:13" x14ac:dyDescent="0.2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</row>
    <row r="47" spans="1:13" x14ac:dyDescent="0.2">
      <c r="A47" s="99" t="s">
        <v>45</v>
      </c>
      <c r="B47" s="102" t="s">
        <v>46</v>
      </c>
      <c r="C47" s="102" t="s">
        <v>47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</row>
    <row r="48" spans="1:13" x14ac:dyDescent="0.2">
      <c r="A48" s="99"/>
      <c r="B48" s="30">
        <v>51843.4</v>
      </c>
      <c r="C48" s="31">
        <f>(MROUND(B48*(1+0.15%),0.05))</f>
        <v>51921.15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</row>
    <row r="49" spans="1:13" x14ac:dyDescent="0.2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</row>
    <row r="50" spans="1:13" x14ac:dyDescent="0.2">
      <c r="A50" s="149" t="s">
        <v>48</v>
      </c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</row>
    <row r="51" spans="1:13" x14ac:dyDescent="0.2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</row>
    <row r="52" spans="1:13" x14ac:dyDescent="0.2">
      <c r="A52" s="99" t="s">
        <v>57</v>
      </c>
      <c r="B52" s="100" t="s">
        <v>49</v>
      </c>
      <c r="C52" s="100" t="s">
        <v>50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</row>
    <row r="53" spans="1:13" x14ac:dyDescent="0.2">
      <c r="A53" s="99"/>
      <c r="B53" s="27">
        <v>50550</v>
      </c>
      <c r="C53" s="27">
        <v>52080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</row>
    <row r="54" spans="1:13" x14ac:dyDescent="0.2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</row>
    <row r="55" spans="1:13" x14ac:dyDescent="0.2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</row>
    <row r="56" spans="1:13" x14ac:dyDescent="0.2">
      <c r="A56" s="33"/>
      <c r="B56" s="33"/>
      <c r="C56" s="33"/>
      <c r="D56" s="33"/>
      <c r="E56" s="126" t="s">
        <v>16</v>
      </c>
      <c r="F56" s="126" t="s">
        <v>17</v>
      </c>
      <c r="G56" s="33"/>
      <c r="H56" s="33"/>
      <c r="I56" s="33"/>
      <c r="J56" s="33"/>
      <c r="K56" s="33"/>
      <c r="L56" s="33"/>
      <c r="M56" s="33"/>
    </row>
    <row r="57" spans="1:13" ht="17" x14ac:dyDescent="0.2">
      <c r="A57" s="120"/>
      <c r="B57" s="120" t="s">
        <v>18</v>
      </c>
      <c r="C57" s="120" t="s">
        <v>19</v>
      </c>
      <c r="D57" s="120" t="s">
        <v>20</v>
      </c>
      <c r="E57" s="120" t="s">
        <v>21</v>
      </c>
      <c r="F57" s="120" t="s">
        <v>22</v>
      </c>
      <c r="G57" s="120" t="s">
        <v>23</v>
      </c>
      <c r="H57" s="33"/>
      <c r="I57" s="120" t="s">
        <v>24</v>
      </c>
      <c r="J57" s="120" t="s">
        <v>25</v>
      </c>
      <c r="K57" s="33"/>
      <c r="L57" s="33"/>
      <c r="M57" s="33"/>
    </row>
    <row r="58" spans="1:13" ht="17" x14ac:dyDescent="0.2">
      <c r="A58" s="124" t="s">
        <v>28</v>
      </c>
      <c r="B58" s="125">
        <f>MROUND(B53*(1-0.15%),0.05)</f>
        <v>50474.200000000004</v>
      </c>
      <c r="C58" s="123"/>
      <c r="D58" s="125">
        <f>MROUND(B58*(1-1.5%),0.05)</f>
        <v>49717.100000000006</v>
      </c>
      <c r="E58" s="125">
        <f>MAX(I58:J58)</f>
        <v>52158.100000000006</v>
      </c>
      <c r="F58" s="125">
        <f>MAX(B58,J58)</f>
        <v>52158.100000000006</v>
      </c>
      <c r="G58" s="44" t="s">
        <v>4</v>
      </c>
      <c r="H58" s="33"/>
      <c r="I58" s="129">
        <f>MROUND(B58*(1+1.5%),0.05)</f>
        <v>51231.3</v>
      </c>
      <c r="J58" s="129">
        <f>MROUND(C53*(1+0.15%),0.05)</f>
        <v>52158.100000000006</v>
      </c>
      <c r="K58" s="33"/>
      <c r="L58" s="33"/>
      <c r="M58" s="33"/>
    </row>
    <row r="59" spans="1:13" x14ac:dyDescent="0.2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</row>
    <row r="60" spans="1:13" x14ac:dyDescent="0.2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 spans="1:13" x14ac:dyDescent="0.2">
      <c r="A61" s="146" t="s">
        <v>30</v>
      </c>
      <c r="B61" s="147"/>
      <c r="C61" s="147"/>
      <c r="D61" s="147"/>
      <c r="E61" s="147"/>
      <c r="F61" s="148"/>
      <c r="G61" s="33"/>
      <c r="H61" s="33"/>
      <c r="I61" s="33"/>
      <c r="J61" s="33"/>
      <c r="K61" s="33"/>
      <c r="L61" s="33"/>
      <c r="M61" s="33"/>
    </row>
    <row r="62" spans="1:13" x14ac:dyDescent="0.2">
      <c r="A62" s="23" t="s">
        <v>31</v>
      </c>
      <c r="B62" s="23" t="s">
        <v>32</v>
      </c>
      <c r="C62" s="23" t="s">
        <v>33</v>
      </c>
      <c r="D62" s="23" t="s">
        <v>34</v>
      </c>
      <c r="E62" s="23" t="s">
        <v>35</v>
      </c>
      <c r="F62" s="23" t="s">
        <v>36</v>
      </c>
      <c r="G62" s="33"/>
      <c r="H62" s="33"/>
      <c r="I62" s="33"/>
      <c r="J62" s="33"/>
      <c r="K62" s="33"/>
      <c r="L62" s="33"/>
      <c r="M62" s="33"/>
    </row>
    <row r="63" spans="1:13" x14ac:dyDescent="0.2">
      <c r="A63" s="23" t="s">
        <v>37</v>
      </c>
      <c r="B63" s="23" t="str">
        <f>IF($G$58="NO Holdings","Yes","No")</f>
        <v>No</v>
      </c>
      <c r="C63" s="23" t="str">
        <f>IF($G$58="No Holdings","Sell Order","-")</f>
        <v>-</v>
      </c>
      <c r="D63" s="23" t="str">
        <f>IF($G$58="No Holdings",(K12*2),"-")</f>
        <v>-</v>
      </c>
      <c r="E63" s="23" t="str">
        <f>IF(F63="-","-",MROUND(F63*(1-0.05%),0.05))</f>
        <v>-</v>
      </c>
      <c r="F63" s="23" t="str">
        <f>IF($G$58="No Holdings",$B$58,"-")</f>
        <v>-</v>
      </c>
      <c r="G63" s="33"/>
      <c r="H63" s="33"/>
      <c r="I63" s="33"/>
      <c r="J63" s="33"/>
      <c r="K63" s="33"/>
      <c r="L63" s="33"/>
      <c r="M63" s="33"/>
    </row>
    <row r="64" spans="1:13" x14ac:dyDescent="0.2">
      <c r="A64" s="23" t="s">
        <v>20</v>
      </c>
      <c r="B64" s="23" t="str">
        <f>IF($G$58="Entry Trigger","Yes","No")</f>
        <v>Yes</v>
      </c>
      <c r="C64" s="23" t="str">
        <f>IF($G$58="Entry Trigger","Buy Order","-")</f>
        <v>Buy Order</v>
      </c>
      <c r="D64" s="23">
        <f>IF($G$58="Entry Trigger",K12,"-")</f>
        <v>30</v>
      </c>
      <c r="E64" s="23" t="str">
        <f>IF(F64="-","-","Use Limit")</f>
        <v>Use Limit</v>
      </c>
      <c r="F64" s="23">
        <f>IF(G58="Entry Trigger",IF(C58="",IF($G$58="Entry Trigger",$D$58,"-"),MROUND(C58*(1+1.25%),0.05)),"-")</f>
        <v>49717.100000000006</v>
      </c>
      <c r="G64" s="33"/>
      <c r="H64" s="33"/>
      <c r="I64" s="33"/>
      <c r="J64" s="33"/>
      <c r="K64" s="33"/>
      <c r="L64" s="33"/>
      <c r="M64" s="33"/>
    </row>
    <row r="65" spans="1:13" x14ac:dyDescent="0.2">
      <c r="A65" s="23" t="s">
        <v>38</v>
      </c>
      <c r="B65" s="23" t="str">
        <f>IF($G$58="Entry Trigger","Yes","No")</f>
        <v>Yes</v>
      </c>
      <c r="C65" s="23" t="str">
        <f>IF($G$58="Entry Trigger","Buy Order","-")</f>
        <v>Buy Order</v>
      </c>
      <c r="D65" s="23">
        <f>IF($G$58="Entry Trigger",(K12*2),"-")</f>
        <v>60</v>
      </c>
      <c r="E65" s="23">
        <f>IF(F65="-","-",MROUND(F65*(1+0.05%),0.05))</f>
        <v>52184.200000000004</v>
      </c>
      <c r="F65" s="23">
        <f>IF($G$58="Entry Trigger",$E$58,"-")</f>
        <v>52158.100000000006</v>
      </c>
      <c r="G65" s="33"/>
      <c r="H65" s="33"/>
      <c r="I65" s="33"/>
      <c r="J65" s="33"/>
      <c r="K65" s="33"/>
      <c r="L65" s="33"/>
      <c r="M65" s="33"/>
    </row>
    <row r="66" spans="1:13" x14ac:dyDescent="0.2">
      <c r="A66" s="23" t="s">
        <v>39</v>
      </c>
      <c r="B66" s="23" t="str">
        <f>IF($G$58="Target Triggered","Yes","No")</f>
        <v>No</v>
      </c>
      <c r="C66" s="23" t="str">
        <f>IF($G$58="Target Triggered","Buy Order","-")</f>
        <v>-</v>
      </c>
      <c r="D66" s="23" t="str">
        <f>IF($G$58="Target Triggered",K12,"-")</f>
        <v>-</v>
      </c>
      <c r="E66" s="23" t="str">
        <f>IF(F66="-","-",MROUND(F66*(1+0.05%),0.05))</f>
        <v>-</v>
      </c>
      <c r="F66" s="23" t="str">
        <f>IF($G$58="Target Triggered",$F$58,"-")</f>
        <v>-</v>
      </c>
      <c r="G66" s="33"/>
      <c r="H66" s="33"/>
      <c r="I66" s="33"/>
      <c r="J66" s="33"/>
      <c r="K66" s="33"/>
      <c r="L66" s="33"/>
      <c r="M66" s="33"/>
    </row>
    <row r="67" spans="1:13" x14ac:dyDescent="0.2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</row>
    <row r="68" spans="1:13" x14ac:dyDescent="0.2">
      <c r="A68" s="149" t="s">
        <v>51</v>
      </c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</row>
    <row r="69" spans="1:13" x14ac:dyDescent="0.2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</row>
    <row r="70" spans="1:13" x14ac:dyDescent="0.2">
      <c r="A70" s="153" t="s">
        <v>52</v>
      </c>
      <c r="B70" s="102" t="s">
        <v>53</v>
      </c>
      <c r="C70" s="130" t="s">
        <v>47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</row>
    <row r="71" spans="1:13" x14ac:dyDescent="0.2">
      <c r="A71" s="154"/>
      <c r="B71" s="30">
        <v>49250.05</v>
      </c>
      <c r="C71" s="31">
        <f>MROUND(B71*(1-0.125%),0.05)</f>
        <v>49188.5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</row>
    <row r="74" spans="1:13" x14ac:dyDescent="0.2">
      <c r="B74" s="58"/>
      <c r="C74" s="58"/>
    </row>
    <row r="75" spans="1:13" x14ac:dyDescent="0.2">
      <c r="B75" s="58"/>
      <c r="C75" s="58"/>
    </row>
    <row r="76" spans="1:13" x14ac:dyDescent="0.2">
      <c r="B76" s="58"/>
      <c r="C76" s="58"/>
    </row>
    <row r="77" spans="1:13" x14ac:dyDescent="0.2">
      <c r="B77" s="58"/>
      <c r="C77" s="58"/>
    </row>
    <row r="78" spans="1:13" x14ac:dyDescent="0.2">
      <c r="A78" s="59"/>
      <c r="B78" s="60"/>
      <c r="C78" s="60"/>
      <c r="D78" s="59"/>
      <c r="E78" s="59"/>
    </row>
    <row r="79" spans="1:13" x14ac:dyDescent="0.2">
      <c r="A79" s="59"/>
      <c r="B79" s="60"/>
      <c r="C79" s="60"/>
      <c r="D79" s="59"/>
      <c r="E79" s="59"/>
    </row>
    <row r="80" spans="1:13" x14ac:dyDescent="0.2">
      <c r="A80" s="59"/>
      <c r="B80" s="60"/>
      <c r="C80" s="60"/>
      <c r="D80" s="59"/>
      <c r="E80" s="59"/>
    </row>
    <row r="81" spans="1:5" x14ac:dyDescent="0.2">
      <c r="A81" s="59"/>
      <c r="B81" s="59"/>
      <c r="C81" s="59"/>
      <c r="D81" s="59"/>
      <c r="E81" s="59"/>
    </row>
    <row r="82" spans="1:5" ht="19" x14ac:dyDescent="0.25">
      <c r="B82" s="52" t="s">
        <v>3</v>
      </c>
      <c r="C82" s="53"/>
      <c r="D82" s="53"/>
      <c r="E82" s="59"/>
    </row>
    <row r="83" spans="1:5" ht="19" x14ac:dyDescent="0.25">
      <c r="B83" s="54" t="s">
        <v>6</v>
      </c>
      <c r="E83" s="59"/>
    </row>
    <row r="84" spans="1:5" ht="19" x14ac:dyDescent="0.25">
      <c r="B84" s="54" t="s">
        <v>12</v>
      </c>
      <c r="C84" s="53"/>
      <c r="D84" s="53"/>
      <c r="E84" s="59"/>
    </row>
    <row r="85" spans="1:5" ht="19" x14ac:dyDescent="0.25">
      <c r="B85" s="54" t="s">
        <v>14</v>
      </c>
      <c r="C85" s="53"/>
      <c r="E85" s="59"/>
    </row>
  </sheetData>
  <sheetProtection algorithmName="SHA-512" hashValue="HwjFii1lzyzLAOl5RhYxXzGcIqRRRrpZArflwCVvxMg6EDuxqXjdnvf0+el0cXa94KQ2yS9iwsLTbVVLI/1mzg==" saltValue="OSl3FDjQMisZAypyRhhzvA==" spinCount="100000" sheet="1" objects="1" scenarios="1"/>
  <mergeCells count="12">
    <mergeCell ref="A68:M68"/>
    <mergeCell ref="A70:A71"/>
    <mergeCell ref="A27:M27"/>
    <mergeCell ref="A38:F38"/>
    <mergeCell ref="A45:M45"/>
    <mergeCell ref="A50:M50"/>
    <mergeCell ref="A61:F61"/>
    <mergeCell ref="A1:M1"/>
    <mergeCell ref="A3:B3"/>
    <mergeCell ref="C3:D3"/>
    <mergeCell ref="A16:F16"/>
    <mergeCell ref="H16:M16"/>
  </mergeCells>
  <dataValidations count="1">
    <dataValidation type="list" allowBlank="1" showInputMessage="1" showErrorMessage="1" sqref="G35 G58 G12:G13" xr:uid="{00000000-0002-0000-0100-000000000000}">
      <formula1>$O$3:$O$5</formula1>
    </dataValidation>
  </dataValidations>
  <pageMargins left="0.69930555555555596" right="0.69930555555555596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2"/>
  <sheetViews>
    <sheetView zoomScale="140" zoomScaleNormal="140" workbookViewId="0">
      <selection activeCell="E9" sqref="E9"/>
    </sheetView>
  </sheetViews>
  <sheetFormatPr baseColWidth="10" defaultColWidth="9" defaultRowHeight="16" x14ac:dyDescent="0.2"/>
  <cols>
    <col min="1" max="1" width="14.83203125" customWidth="1"/>
    <col min="2" max="2" width="12.33203125" customWidth="1"/>
    <col min="3" max="3" width="12.1640625" customWidth="1"/>
    <col min="4" max="4" width="12.5" customWidth="1"/>
    <col min="5" max="5" width="12.6640625" customWidth="1"/>
    <col min="6" max="7" width="13.5" customWidth="1"/>
    <col min="8" max="8" width="18.83203125" customWidth="1"/>
    <col min="9" max="9" width="12" customWidth="1"/>
    <col min="10" max="11" width="12.1640625" customWidth="1"/>
    <col min="12" max="12" width="12" customWidth="1"/>
    <col min="13" max="13" width="13.5" customWidth="1"/>
    <col min="15" max="15" width="10.33203125" customWidth="1"/>
    <col min="16" max="16" width="13.83203125" hidden="1" customWidth="1"/>
  </cols>
  <sheetData>
    <row r="1" spans="1:17" x14ac:dyDescent="0.2">
      <c r="A1" s="155" t="s">
        <v>58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33"/>
      <c r="O1" s="33"/>
      <c r="P1" s="33" t="s">
        <v>2</v>
      </c>
      <c r="Q1" s="33"/>
    </row>
    <row r="2" spans="1:1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3"/>
      <c r="O2" s="33"/>
      <c r="P2" s="33" t="s">
        <v>4</v>
      </c>
      <c r="Q2" s="33"/>
    </row>
    <row r="3" spans="1:17" x14ac:dyDescent="0.2">
      <c r="A3" s="156" t="s">
        <v>59</v>
      </c>
      <c r="B3" s="157"/>
      <c r="C3" s="158">
        <v>46020</v>
      </c>
      <c r="D3" s="158"/>
      <c r="E3" s="158"/>
      <c r="F3" s="15"/>
      <c r="G3" s="15"/>
      <c r="H3" s="15"/>
      <c r="I3" s="15"/>
      <c r="J3" s="15"/>
      <c r="K3" s="15"/>
      <c r="L3" s="15"/>
      <c r="M3" s="2"/>
      <c r="N3" s="33"/>
      <c r="O3" s="33"/>
      <c r="P3" s="33" t="s">
        <v>7</v>
      </c>
      <c r="Q3" s="33"/>
    </row>
    <row r="4" spans="1:17" ht="19" x14ac:dyDescent="0.25">
      <c r="A4" s="3"/>
      <c r="B4" s="4"/>
      <c r="C4" s="94"/>
      <c r="D4" s="94"/>
      <c r="E4" s="94"/>
      <c r="F4" s="15"/>
      <c r="G4" s="15"/>
      <c r="H4" s="15"/>
      <c r="I4" s="33"/>
      <c r="J4" s="51"/>
      <c r="K4" s="52" t="s">
        <v>3</v>
      </c>
      <c r="L4" s="53"/>
      <c r="M4" s="2"/>
      <c r="N4" s="33"/>
      <c r="O4" s="33"/>
      <c r="P4" s="33"/>
      <c r="Q4" s="33"/>
    </row>
    <row r="5" spans="1:17" ht="19" x14ac:dyDescent="0.25">
      <c r="A5" s="7" t="s">
        <v>5</v>
      </c>
      <c r="B5" s="9">
        <v>46013</v>
      </c>
      <c r="C5" s="9">
        <v>46014</v>
      </c>
      <c r="D5" s="83">
        <v>46015</v>
      </c>
      <c r="E5" s="8">
        <v>46017</v>
      </c>
      <c r="F5" s="15"/>
      <c r="G5" s="15"/>
      <c r="H5" s="15"/>
      <c r="I5" s="33"/>
      <c r="J5" s="51"/>
      <c r="K5" s="54" t="s">
        <v>6</v>
      </c>
      <c r="M5" s="2"/>
      <c r="N5" s="33"/>
      <c r="O5" s="33"/>
      <c r="P5" s="33"/>
      <c r="Q5" s="33"/>
    </row>
    <row r="6" spans="1:17" ht="19" x14ac:dyDescent="0.25">
      <c r="A6" s="95" t="s">
        <v>60</v>
      </c>
      <c r="B6" s="96" t="s">
        <v>9</v>
      </c>
      <c r="C6" s="96" t="s">
        <v>10</v>
      </c>
      <c r="D6" s="96" t="s">
        <v>61</v>
      </c>
      <c r="E6" s="95" t="s">
        <v>62</v>
      </c>
      <c r="F6" s="103" t="s">
        <v>63</v>
      </c>
      <c r="G6" s="104" t="s">
        <v>64</v>
      </c>
      <c r="H6" s="15"/>
      <c r="I6" s="33"/>
      <c r="J6" s="51"/>
      <c r="K6" s="54" t="s">
        <v>12</v>
      </c>
      <c r="L6" s="53"/>
      <c r="M6" s="2"/>
      <c r="N6" s="33"/>
      <c r="O6" s="33"/>
      <c r="P6" s="33"/>
      <c r="Q6" s="33"/>
    </row>
    <row r="7" spans="1:17" ht="19" x14ac:dyDescent="0.25">
      <c r="A7" s="12" t="s">
        <v>13</v>
      </c>
      <c r="B7" s="13">
        <v>157185</v>
      </c>
      <c r="C7" s="14">
        <v>157399</v>
      </c>
      <c r="D7" s="14">
        <v>161729</v>
      </c>
      <c r="E7" s="97">
        <v>161233</v>
      </c>
      <c r="F7" s="12">
        <f>MAX(B7:E7)</f>
        <v>161729</v>
      </c>
      <c r="G7" s="91">
        <f>MAX(D7:E7)</f>
        <v>161729</v>
      </c>
      <c r="H7" s="15"/>
      <c r="I7" s="33"/>
      <c r="J7" s="51"/>
      <c r="K7" s="54" t="s">
        <v>14</v>
      </c>
      <c r="L7" s="53"/>
      <c r="M7" s="2"/>
      <c r="N7" s="33"/>
      <c r="O7" s="33"/>
      <c r="P7" s="33"/>
      <c r="Q7" s="33"/>
    </row>
    <row r="8" spans="1:17" x14ac:dyDescent="0.2">
      <c r="A8" s="12" t="s">
        <v>15</v>
      </c>
      <c r="B8" s="13">
        <v>154546</v>
      </c>
      <c r="C8" s="14">
        <v>154890</v>
      </c>
      <c r="D8" s="14">
        <v>158117</v>
      </c>
      <c r="E8" s="97">
        <v>158285</v>
      </c>
      <c r="F8" s="12">
        <f>MIN(B8:E8)</f>
        <v>154546</v>
      </c>
      <c r="G8" s="91">
        <f>MIN(D8:E8)</f>
        <v>158117</v>
      </c>
      <c r="H8" s="15"/>
      <c r="I8" s="15"/>
      <c r="J8" s="15"/>
      <c r="K8" s="15"/>
      <c r="L8" s="15"/>
      <c r="M8" s="2"/>
      <c r="N8" s="33"/>
      <c r="O8" s="33"/>
      <c r="P8" s="33"/>
      <c r="Q8" s="33"/>
    </row>
    <row r="9" spans="1:17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2"/>
      <c r="N9" s="33"/>
      <c r="O9" s="33"/>
      <c r="P9" s="33"/>
      <c r="Q9" s="33"/>
    </row>
    <row r="10" spans="1:17" x14ac:dyDescent="0.2">
      <c r="A10" s="15"/>
      <c r="B10" s="15"/>
      <c r="C10" s="15"/>
      <c r="D10" s="15"/>
      <c r="E10" s="105" t="s">
        <v>16</v>
      </c>
      <c r="F10" s="106" t="s">
        <v>17</v>
      </c>
      <c r="G10" s="15"/>
      <c r="H10" s="15"/>
      <c r="I10" s="15"/>
      <c r="J10" s="15"/>
      <c r="K10" s="15"/>
      <c r="L10" s="15"/>
      <c r="M10" s="2"/>
      <c r="N10" s="33"/>
      <c r="O10" s="33"/>
      <c r="P10" s="33"/>
      <c r="Q10" s="33"/>
    </row>
    <row r="11" spans="1:17" x14ac:dyDescent="0.2">
      <c r="A11" s="98"/>
      <c r="B11" s="98" t="s">
        <v>18</v>
      </c>
      <c r="C11" s="98" t="s">
        <v>19</v>
      </c>
      <c r="D11" s="98" t="s">
        <v>20</v>
      </c>
      <c r="E11" s="107" t="s">
        <v>21</v>
      </c>
      <c r="F11" s="108" t="s">
        <v>22</v>
      </c>
      <c r="G11" s="41"/>
      <c r="H11" s="108" t="s">
        <v>65</v>
      </c>
      <c r="I11" s="109" t="s">
        <v>26</v>
      </c>
      <c r="J11" s="56"/>
      <c r="K11" s="15"/>
      <c r="L11" s="15"/>
      <c r="M11" s="2"/>
      <c r="N11" s="33"/>
      <c r="O11" s="33"/>
      <c r="P11" s="33"/>
      <c r="Q11" s="33"/>
    </row>
    <row r="12" spans="1:17" x14ac:dyDescent="0.2">
      <c r="A12" s="19" t="s">
        <v>27</v>
      </c>
      <c r="B12" s="19">
        <f>MROUND(F7*(1+0.12%),1)</f>
        <v>161923</v>
      </c>
      <c r="C12" s="20"/>
      <c r="D12" s="19">
        <f>IF(H12="TGT","N.A.",MROUND(B12*(1+1.5%),1))</f>
        <v>164352</v>
      </c>
      <c r="E12" s="42">
        <f>IF(OR(G12="NO TGT",G12=""),MROUND(MAX((B12*(1-1.5%)),(G8*(1-0.12%))),1),"N.A.")</f>
        <v>159494</v>
      </c>
      <c r="F12" s="43">
        <f>MROUND(MAX((B12*(1-1.5%)),(F8*(1-0.12%))),1)</f>
        <v>159494</v>
      </c>
      <c r="G12" s="41"/>
      <c r="H12" s="44" t="s">
        <v>2</v>
      </c>
      <c r="I12" s="30">
        <v>100</v>
      </c>
      <c r="J12" s="56"/>
      <c r="K12" s="15"/>
      <c r="L12" s="15"/>
      <c r="M12" s="2"/>
      <c r="N12" s="33"/>
      <c r="O12" s="33"/>
      <c r="P12" s="33"/>
      <c r="Q12" s="33"/>
    </row>
    <row r="13" spans="1:17" x14ac:dyDescent="0.2">
      <c r="A13" s="22" t="s">
        <v>28</v>
      </c>
      <c r="B13" s="22">
        <f>MROUND(F8*(1-0.12%),1)</f>
        <v>154361</v>
      </c>
      <c r="C13" s="20"/>
      <c r="D13" s="22">
        <f>IF(H13="TGT","N.A.",MROUND(B13*(1-1.5%),1))</f>
        <v>152046</v>
      </c>
      <c r="E13" s="45">
        <f>IF(OR(G13="NO TGT",G13=""),MROUND(MIN((B13*(1+1.5%)),(G7*(1+0.12%))),1),"N.A.")</f>
        <v>156676</v>
      </c>
      <c r="F13" s="46">
        <f>MROUND(MIN((B13*(1+1.5%)),(F7*(1+0.12%))),1)</f>
        <v>156676</v>
      </c>
      <c r="G13" s="41"/>
      <c r="H13" s="44" t="s">
        <v>2</v>
      </c>
      <c r="I13" s="56"/>
      <c r="J13" s="56"/>
      <c r="K13" s="15"/>
      <c r="L13" s="15"/>
      <c r="M13" s="2"/>
      <c r="N13" s="33"/>
      <c r="O13" s="33"/>
      <c r="P13" s="33"/>
      <c r="Q13" s="33"/>
    </row>
    <row r="14" spans="1:17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3"/>
      <c r="O14" s="33"/>
      <c r="P14" s="33"/>
      <c r="Q14" s="33"/>
    </row>
    <row r="15" spans="1:17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3"/>
      <c r="O15" s="33"/>
      <c r="P15" s="33"/>
      <c r="Q15" s="33"/>
    </row>
    <row r="16" spans="1:17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3"/>
      <c r="O16" s="33"/>
      <c r="P16" s="33"/>
      <c r="Q16" s="33"/>
    </row>
    <row r="17" spans="1:17" x14ac:dyDescent="0.2">
      <c r="A17" s="143" t="s">
        <v>29</v>
      </c>
      <c r="B17" s="144"/>
      <c r="C17" s="144"/>
      <c r="D17" s="144"/>
      <c r="E17" s="144"/>
      <c r="F17" s="145"/>
      <c r="G17" s="33"/>
      <c r="H17" s="146" t="s">
        <v>30</v>
      </c>
      <c r="I17" s="147"/>
      <c r="J17" s="147"/>
      <c r="K17" s="147"/>
      <c r="L17" s="147"/>
      <c r="M17" s="148"/>
      <c r="N17" s="33"/>
      <c r="O17" s="33"/>
      <c r="P17" s="33"/>
      <c r="Q17" s="33"/>
    </row>
    <row r="18" spans="1:17" x14ac:dyDescent="0.2">
      <c r="A18" s="23" t="s">
        <v>31</v>
      </c>
      <c r="B18" s="23" t="s">
        <v>32</v>
      </c>
      <c r="C18" s="23" t="s">
        <v>33</v>
      </c>
      <c r="D18" s="23" t="s">
        <v>34</v>
      </c>
      <c r="E18" s="23" t="s">
        <v>35</v>
      </c>
      <c r="F18" s="23" t="s">
        <v>36</v>
      </c>
      <c r="G18" s="33"/>
      <c r="H18" s="23" t="s">
        <v>31</v>
      </c>
      <c r="I18" s="23" t="s">
        <v>32</v>
      </c>
      <c r="J18" s="23" t="s">
        <v>33</v>
      </c>
      <c r="K18" s="23" t="s">
        <v>34</v>
      </c>
      <c r="L18" s="23" t="s">
        <v>35</v>
      </c>
      <c r="M18" s="23" t="s">
        <v>36</v>
      </c>
      <c r="N18" s="33"/>
      <c r="O18" s="33"/>
      <c r="P18" s="33"/>
      <c r="Q18" s="33"/>
    </row>
    <row r="19" spans="1:17" x14ac:dyDescent="0.2">
      <c r="A19" s="23" t="s">
        <v>37</v>
      </c>
      <c r="B19" s="23" t="str">
        <f>IF($H$12="NO Holdings","Yes","No")</f>
        <v>Yes</v>
      </c>
      <c r="C19" s="23" t="str">
        <f>IF($H$12="No Holdings","Buy Order","-")</f>
        <v>Buy Order</v>
      </c>
      <c r="D19" s="23">
        <f>IF($H$12="No Holdings",(I12*2),"-")</f>
        <v>200</v>
      </c>
      <c r="E19" s="23">
        <f>IF(F19="-","-",MROUND(F19*(1+0.1%),1))</f>
        <v>162085</v>
      </c>
      <c r="F19" s="23">
        <f>IF($H$12="No Holdings",$B$12,"-")</f>
        <v>161923</v>
      </c>
      <c r="G19" s="33"/>
      <c r="H19" s="23" t="s">
        <v>37</v>
      </c>
      <c r="I19" s="23" t="str">
        <f>IF($H$13="NO Holdings","Yes","No")</f>
        <v>Yes</v>
      </c>
      <c r="J19" s="23" t="str">
        <f>IF($H$13="No Holdings","Sell Order","-")</f>
        <v>Sell Order</v>
      </c>
      <c r="K19" s="23">
        <f>IF($H$13="No Holdings",(I12*2),"-")</f>
        <v>200</v>
      </c>
      <c r="L19" s="23">
        <f>IF(M19="-","-",MROUND(M19*(1-0.1%),1))</f>
        <v>154207</v>
      </c>
      <c r="M19" s="23">
        <f>IF($H$13="No Holdings",$B$13,"-")</f>
        <v>154361</v>
      </c>
      <c r="N19" s="33"/>
      <c r="O19" s="33"/>
      <c r="P19" s="33"/>
      <c r="Q19" s="33"/>
    </row>
    <row r="20" spans="1:17" x14ac:dyDescent="0.2">
      <c r="A20" s="23" t="s">
        <v>20</v>
      </c>
      <c r="B20" s="23" t="str">
        <f>IF($H$12="Entry Trigger","Yes","No")</f>
        <v>No</v>
      </c>
      <c r="C20" s="23" t="str">
        <f>IF($H$12="Entry Trigger","Sell Order","-")</f>
        <v>-</v>
      </c>
      <c r="D20" s="23" t="str">
        <f>IF($H$12="Entry Trigger",I12,"-")</f>
        <v>-</v>
      </c>
      <c r="E20" s="23" t="str">
        <f>IF(F20="-","-","Use Limit")</f>
        <v>-</v>
      </c>
      <c r="F20" s="23" t="str">
        <f>IF(H12="Entry Trigger",IF(C12="",IF($H$12="Entry Trigger",$D$12,"-"),MROUND(C12*(1+1.25%),0.05)),"-")</f>
        <v>-</v>
      </c>
      <c r="G20" s="33"/>
      <c r="H20" s="23" t="s">
        <v>20</v>
      </c>
      <c r="I20" s="23" t="str">
        <f>IF($H$13="Entry Trigger","Yes","No")</f>
        <v>No</v>
      </c>
      <c r="J20" s="23" t="str">
        <f>IF($H$13="Entry Trigger","Buy Order","-")</f>
        <v>-</v>
      </c>
      <c r="K20" s="23" t="str">
        <f>IF($H$13="Entry Trigger",I12,"-")</f>
        <v>-</v>
      </c>
      <c r="L20" s="23" t="str">
        <f>IF(M20="-","-","Use Limit")</f>
        <v>-</v>
      </c>
      <c r="M20" s="23" t="str">
        <f>IF(H13="Entry Trigger",IF(C13="",IF($H$13="Entry Trigger",$D$13,"-"),MROUND(C13*(1-1.25%),0.05)),"-")</f>
        <v>-</v>
      </c>
      <c r="N20" s="33"/>
      <c r="O20" s="33"/>
      <c r="P20" s="33"/>
      <c r="Q20" s="33"/>
    </row>
    <row r="21" spans="1:17" x14ac:dyDescent="0.2">
      <c r="A21" s="23" t="s">
        <v>38</v>
      </c>
      <c r="B21" s="23" t="str">
        <f>IF($H$12="Entry Trigger","Yes","No")</f>
        <v>No</v>
      </c>
      <c r="C21" s="23" t="str">
        <f>IF($H$12="Entry Trigger","Sell Order","-")</f>
        <v>-</v>
      </c>
      <c r="D21" s="23" t="str">
        <f>IF($H$12="Entry Trigger",(I12*2),"-")</f>
        <v>-</v>
      </c>
      <c r="E21" s="23" t="str">
        <f>IFERROR(IF(F21="-","-",MROUND(F21*(1-0.1%),1)),"NA")</f>
        <v>-</v>
      </c>
      <c r="F21" s="23" t="str">
        <f>IF($H$12="Entry Trigger",$E$12,"-")</f>
        <v>-</v>
      </c>
      <c r="G21" s="33"/>
      <c r="H21" s="23" t="s">
        <v>38</v>
      </c>
      <c r="I21" s="23" t="str">
        <f>IF($H$13="Entry Trigger","Yes","No")</f>
        <v>No</v>
      </c>
      <c r="J21" s="23" t="str">
        <f>IF($H$13="Entry Trigger","Buy Order","-")</f>
        <v>-</v>
      </c>
      <c r="K21" s="23" t="str">
        <f>IF($H$13="Entry Trigger",(I12*2),"-")</f>
        <v>-</v>
      </c>
      <c r="L21" s="23" t="str">
        <f>IFERROR(IF(M21="-","-",MROUND(M21*(1+0.1%),1)),"NA")</f>
        <v>-</v>
      </c>
      <c r="M21" s="23" t="str">
        <f>IF($H$13="Entry Trigger",$E$13,"-")</f>
        <v>-</v>
      </c>
      <c r="N21" s="33"/>
      <c r="O21" s="33"/>
      <c r="P21" s="33"/>
      <c r="Q21" s="33"/>
    </row>
    <row r="22" spans="1:17" x14ac:dyDescent="0.2">
      <c r="A22" s="23" t="s">
        <v>39</v>
      </c>
      <c r="B22" s="23" t="str">
        <f>IF($H$12="Target Triggered","Yes","No")</f>
        <v>No</v>
      </c>
      <c r="C22" s="23" t="str">
        <f>IF($H$12="Target Triggered","Sell Order","-")</f>
        <v>-</v>
      </c>
      <c r="D22" s="23" t="str">
        <f>IF($H$12="Target Triggered",I12,"-")</f>
        <v>-</v>
      </c>
      <c r="E22" s="23" t="str">
        <f>IF(F22="-","-",MROUND(F22*(1-0.1%),1))</f>
        <v>-</v>
      </c>
      <c r="F22" s="23" t="str">
        <f>IF($H$12="Target Triggered",$F$12,"-")</f>
        <v>-</v>
      </c>
      <c r="G22" s="33"/>
      <c r="H22" s="23" t="s">
        <v>39</v>
      </c>
      <c r="I22" s="23" t="str">
        <f>IF($H$13="Target Triggered","Yes","No")</f>
        <v>No</v>
      </c>
      <c r="J22" s="23" t="str">
        <f>IF($H$13="Target Triggered","Buy Order","-")</f>
        <v>-</v>
      </c>
      <c r="K22" s="23" t="str">
        <f>IF($H$13="Target Triggered",I12,"-")</f>
        <v>-</v>
      </c>
      <c r="L22" s="23" t="str">
        <f>IF(M22="-","-",MROUND(M22*(1+0.1%),1))</f>
        <v>-</v>
      </c>
      <c r="M22" s="23" t="str">
        <f>IF($H$13="Target Triggered",$F$13,"-")</f>
        <v>-</v>
      </c>
      <c r="N22" s="33"/>
      <c r="O22" s="33"/>
      <c r="P22" s="33"/>
      <c r="Q22" s="33"/>
    </row>
    <row r="23" spans="1:17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3"/>
      <c r="O23" s="33"/>
      <c r="P23" s="33"/>
      <c r="Q23" s="33"/>
    </row>
    <row r="24" spans="1:17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3"/>
      <c r="O24" s="33"/>
      <c r="P24" s="33"/>
      <c r="Q24" s="33"/>
    </row>
    <row r="25" spans="1:17" x14ac:dyDescent="0.2">
      <c r="A25" s="149" t="s">
        <v>40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33"/>
      <c r="O25" s="33"/>
      <c r="P25" s="33"/>
      <c r="Q25" s="33"/>
    </row>
    <row r="26" spans="1:17" x14ac:dyDescent="0.2">
      <c r="A26" s="24"/>
      <c r="B26" s="24"/>
      <c r="C26" s="24"/>
      <c r="D26" s="24"/>
      <c r="E26" s="24"/>
      <c r="F26" s="24"/>
      <c r="G26" s="33"/>
      <c r="H26" s="24"/>
      <c r="I26" s="24"/>
      <c r="J26" s="24"/>
      <c r="K26" s="24"/>
      <c r="L26" s="24"/>
      <c r="M26" s="24"/>
      <c r="N26" s="33"/>
      <c r="O26" s="33"/>
      <c r="P26" s="33"/>
      <c r="Q26" s="33"/>
    </row>
    <row r="27" spans="1:17" x14ac:dyDescent="0.2">
      <c r="A27" s="159" t="s">
        <v>66</v>
      </c>
      <c r="B27" s="100" t="s">
        <v>67</v>
      </c>
      <c r="C27" s="100" t="s">
        <v>43</v>
      </c>
      <c r="D27" s="101" t="s">
        <v>68</v>
      </c>
      <c r="E27" s="24"/>
      <c r="F27" s="24"/>
      <c r="G27" s="33"/>
      <c r="H27" s="24"/>
      <c r="I27" s="24"/>
      <c r="J27" s="24"/>
      <c r="K27" s="24"/>
      <c r="L27" s="24"/>
      <c r="M27" s="24"/>
      <c r="N27" s="33"/>
      <c r="O27" s="33"/>
      <c r="P27" s="33"/>
      <c r="Q27" s="33"/>
    </row>
    <row r="28" spans="1:17" x14ac:dyDescent="0.2">
      <c r="A28" s="159"/>
      <c r="B28" s="27">
        <v>61678</v>
      </c>
      <c r="C28" s="27">
        <v>61042</v>
      </c>
      <c r="D28" s="28">
        <v>60922</v>
      </c>
      <c r="E28" s="24"/>
      <c r="F28" s="24"/>
      <c r="G28" s="33"/>
      <c r="H28" s="24"/>
      <c r="I28" s="24"/>
      <c r="J28" s="24"/>
      <c r="K28" s="24"/>
      <c r="L28" s="24"/>
      <c r="M28" s="24"/>
      <c r="N28" s="33"/>
      <c r="O28" s="33"/>
      <c r="P28" s="33"/>
      <c r="Q28" s="33"/>
    </row>
    <row r="29" spans="1:17" x14ac:dyDescent="0.2">
      <c r="A29" s="24"/>
      <c r="B29" s="24"/>
      <c r="C29" s="24"/>
      <c r="D29" s="24"/>
      <c r="E29" s="24"/>
      <c r="F29" s="24"/>
      <c r="G29" s="33"/>
      <c r="H29" s="24"/>
      <c r="I29" s="24"/>
      <c r="J29" s="24"/>
      <c r="K29" s="24"/>
      <c r="L29" s="24"/>
      <c r="M29" s="24"/>
      <c r="N29" s="33"/>
      <c r="O29" s="33"/>
      <c r="P29" s="33"/>
      <c r="Q29" s="33"/>
    </row>
    <row r="30" spans="1:17" x14ac:dyDescent="0.2">
      <c r="A30" s="24"/>
      <c r="B30" s="24"/>
      <c r="C30" s="24"/>
      <c r="D30" s="24"/>
      <c r="E30" s="24"/>
      <c r="F30" s="24"/>
      <c r="G30" s="33"/>
      <c r="H30" s="24"/>
      <c r="I30" s="24"/>
      <c r="J30" s="24"/>
      <c r="K30" s="24"/>
      <c r="L30" s="24"/>
      <c r="M30" s="24"/>
      <c r="N30" s="33"/>
      <c r="O30" s="33"/>
      <c r="P30" s="33"/>
      <c r="Q30" s="33"/>
    </row>
    <row r="31" spans="1:17" x14ac:dyDescent="0.2">
      <c r="A31" s="15"/>
      <c r="B31" s="15"/>
      <c r="C31" s="15"/>
      <c r="D31" s="15"/>
      <c r="E31" s="49" t="s">
        <v>16</v>
      </c>
      <c r="F31" s="50" t="s">
        <v>17</v>
      </c>
      <c r="G31" s="15"/>
      <c r="H31" s="15"/>
      <c r="I31" s="24"/>
      <c r="J31" s="24"/>
      <c r="K31" s="24"/>
      <c r="L31" s="24"/>
      <c r="M31" s="24"/>
      <c r="N31" s="33"/>
      <c r="O31" s="33"/>
      <c r="P31" s="33"/>
      <c r="Q31" s="33"/>
    </row>
    <row r="32" spans="1:17" x14ac:dyDescent="0.2">
      <c r="A32" s="98"/>
      <c r="B32" s="98" t="s">
        <v>18</v>
      </c>
      <c r="C32" s="98" t="s">
        <v>19</v>
      </c>
      <c r="D32" s="98" t="s">
        <v>20</v>
      </c>
      <c r="E32" s="107" t="s">
        <v>21</v>
      </c>
      <c r="F32" s="108" t="s">
        <v>22</v>
      </c>
      <c r="G32" s="41"/>
      <c r="H32" s="108" t="s">
        <v>65</v>
      </c>
      <c r="I32" s="24"/>
      <c r="J32" s="24"/>
      <c r="K32" s="24"/>
      <c r="L32" s="24"/>
      <c r="M32" s="24"/>
      <c r="N32" s="33"/>
      <c r="O32" s="33"/>
      <c r="P32" s="33"/>
      <c r="Q32" s="33"/>
    </row>
    <row r="33" spans="1:17" x14ac:dyDescent="0.2">
      <c r="A33" s="19" t="s">
        <v>27</v>
      </c>
      <c r="B33" s="19">
        <f>MROUND(B28*(1+0.12%),1)</f>
        <v>61752</v>
      </c>
      <c r="C33" s="20"/>
      <c r="D33" s="19">
        <f>IF(H33="TGT","N.A.",MROUND(B33*(1+1.5%),1))</f>
        <v>62678</v>
      </c>
      <c r="E33" s="42">
        <f>IF(OR(G33="NO TGT",G33=""),MROUND(MAX((B33*(1-1.5%)),(C28*(1-0.12%))),1),"N.A.")</f>
        <v>60969</v>
      </c>
      <c r="F33" s="43">
        <f>MROUND(MAX((B33*(1-1.5%)),(D28*(1-0.12%))),1)</f>
        <v>60849</v>
      </c>
      <c r="G33" s="41"/>
      <c r="H33" s="44" t="s">
        <v>2</v>
      </c>
      <c r="I33" s="24"/>
      <c r="J33" s="24"/>
      <c r="K33" s="24"/>
      <c r="L33" s="24"/>
      <c r="M33" s="24"/>
      <c r="N33" s="33"/>
      <c r="O33" s="33"/>
      <c r="P33" s="33"/>
      <c r="Q33" s="33"/>
    </row>
    <row r="34" spans="1:17" x14ac:dyDescent="0.2">
      <c r="A34" s="24"/>
      <c r="B34" s="24"/>
      <c r="C34" s="24"/>
      <c r="D34" s="24"/>
      <c r="E34" s="24"/>
      <c r="F34" s="24"/>
      <c r="G34" s="33"/>
      <c r="H34" s="24"/>
      <c r="I34" s="24"/>
      <c r="J34" s="24"/>
      <c r="K34" s="24"/>
      <c r="L34" s="24"/>
      <c r="M34" s="24"/>
      <c r="N34" s="33"/>
      <c r="O34" s="33"/>
      <c r="P34" s="33"/>
      <c r="Q34" s="33"/>
    </row>
    <row r="35" spans="1:17" x14ac:dyDescent="0.2">
      <c r="A35" s="24"/>
      <c r="B35" s="24"/>
      <c r="C35" s="24"/>
      <c r="D35" s="24"/>
      <c r="E35" s="24"/>
      <c r="F35" s="24"/>
      <c r="G35" s="33"/>
      <c r="H35" s="24"/>
      <c r="I35" s="24"/>
      <c r="J35" s="24"/>
      <c r="K35" s="24"/>
      <c r="L35" s="24"/>
      <c r="M35" s="24"/>
      <c r="N35" s="33"/>
      <c r="O35" s="33"/>
      <c r="P35" s="33"/>
      <c r="Q35" s="33"/>
    </row>
    <row r="36" spans="1:17" x14ac:dyDescent="0.2">
      <c r="A36" s="24"/>
      <c r="B36" s="24"/>
      <c r="C36" s="24"/>
      <c r="D36" s="24"/>
      <c r="E36" s="24"/>
      <c r="F36" s="24"/>
      <c r="G36" s="33"/>
      <c r="H36" s="24"/>
      <c r="I36" s="24"/>
      <c r="J36" s="24"/>
      <c r="K36" s="24"/>
      <c r="L36" s="24"/>
      <c r="M36" s="24"/>
      <c r="N36" s="33"/>
      <c r="O36" s="33"/>
      <c r="P36" s="33"/>
      <c r="Q36" s="33"/>
    </row>
    <row r="37" spans="1:17" x14ac:dyDescent="0.2">
      <c r="A37" s="143" t="s">
        <v>29</v>
      </c>
      <c r="B37" s="144"/>
      <c r="C37" s="144"/>
      <c r="D37" s="144"/>
      <c r="E37" s="144"/>
      <c r="F37" s="145"/>
      <c r="G37" s="33"/>
      <c r="H37" s="24"/>
      <c r="I37" s="24"/>
      <c r="J37" s="24"/>
      <c r="K37" s="24"/>
      <c r="L37" s="24"/>
      <c r="M37" s="24"/>
      <c r="N37" s="33"/>
      <c r="O37" s="33"/>
      <c r="P37" s="33"/>
      <c r="Q37" s="33"/>
    </row>
    <row r="38" spans="1:17" x14ac:dyDescent="0.2">
      <c r="A38" s="23" t="s">
        <v>31</v>
      </c>
      <c r="B38" s="23" t="s">
        <v>32</v>
      </c>
      <c r="C38" s="23" t="s">
        <v>33</v>
      </c>
      <c r="D38" s="23" t="s">
        <v>34</v>
      </c>
      <c r="E38" s="23" t="s">
        <v>35</v>
      </c>
      <c r="F38" s="23" t="s">
        <v>36</v>
      </c>
      <c r="G38" s="33"/>
      <c r="H38" s="24"/>
      <c r="I38" s="24"/>
      <c r="J38" s="24"/>
      <c r="K38" s="24"/>
      <c r="L38" s="24"/>
      <c r="M38" s="24"/>
      <c r="N38" s="33"/>
      <c r="O38" s="33"/>
      <c r="P38" s="33"/>
      <c r="Q38" s="33"/>
    </row>
    <row r="39" spans="1:17" x14ac:dyDescent="0.2">
      <c r="A39" s="23" t="s">
        <v>37</v>
      </c>
      <c r="B39" s="23" t="str">
        <f>IF($H$33="NO Holdings","Yes","No")</f>
        <v>Yes</v>
      </c>
      <c r="C39" s="23" t="str">
        <f>IF($H$33="No Holdings","Buy Order","-")</f>
        <v>Buy Order</v>
      </c>
      <c r="D39" s="23">
        <f>IF($H$33="No Holdings",(I12*2),"-")</f>
        <v>200</v>
      </c>
      <c r="E39" s="23">
        <f>IF(F39="-","-",MROUND(F39*(1+0.1%),1))</f>
        <v>61814</v>
      </c>
      <c r="F39" s="23">
        <f>IF($H$33="No Holdings",$B$33,"-")</f>
        <v>61752</v>
      </c>
      <c r="G39" s="33"/>
      <c r="H39" s="24"/>
      <c r="I39" s="24"/>
      <c r="J39" s="24"/>
      <c r="K39" s="24"/>
      <c r="L39" s="24"/>
      <c r="M39" s="24"/>
      <c r="N39" s="33"/>
      <c r="O39" s="33"/>
      <c r="P39" s="33"/>
      <c r="Q39" s="33"/>
    </row>
    <row r="40" spans="1:17" x14ac:dyDescent="0.2">
      <c r="A40" s="23" t="s">
        <v>20</v>
      </c>
      <c r="B40" s="23" t="str">
        <f>IF($H$33="Entry Trigger","Yes","No")</f>
        <v>No</v>
      </c>
      <c r="C40" s="23" t="str">
        <f>IF($H$33="Entry Trigger","Sell Order","-")</f>
        <v>-</v>
      </c>
      <c r="D40" s="23" t="str">
        <f>IF($H$33="Entry Trigger",I12,"-")</f>
        <v>-</v>
      </c>
      <c r="E40" s="23" t="str">
        <f>IF(F40="-","-","Use Limit")</f>
        <v>-</v>
      </c>
      <c r="F40" s="23" t="str">
        <f>IF(H33="Entry Trigger",IF(C33="",IF($H$33="Entry Trigger",$D$33,"-"),MROUND(C33*(1+1.25%),0.05)),"-")</f>
        <v>-</v>
      </c>
      <c r="G40" s="33"/>
      <c r="H40" s="24"/>
      <c r="I40" s="24"/>
      <c r="J40" s="24"/>
      <c r="K40" s="24"/>
      <c r="L40" s="24"/>
      <c r="M40" s="24"/>
      <c r="N40" s="33"/>
      <c r="O40" s="33"/>
      <c r="P40" s="33"/>
      <c r="Q40" s="33"/>
    </row>
    <row r="41" spans="1:17" x14ac:dyDescent="0.2">
      <c r="A41" s="23" t="s">
        <v>38</v>
      </c>
      <c r="B41" s="23" t="str">
        <f>IF($H$33="Entry Trigger","Yes","No")</f>
        <v>No</v>
      </c>
      <c r="C41" s="23" t="str">
        <f>IF($H$33="Entry Trigger","Sell Order","-")</f>
        <v>-</v>
      </c>
      <c r="D41" s="23" t="str">
        <f>IF($H$33="Entry Trigger",(I12*2),"-")</f>
        <v>-</v>
      </c>
      <c r="E41" s="23" t="str">
        <f>IFERROR(IF(F41="-","-",MROUND(F41*(1-1%),1)),"NA")</f>
        <v>-</v>
      </c>
      <c r="F41" s="23" t="str">
        <f>IF($H$33="Entry Trigger",$E$33,"-")</f>
        <v>-</v>
      </c>
      <c r="G41" s="33"/>
      <c r="H41" s="24"/>
      <c r="I41" s="24"/>
      <c r="J41" s="24"/>
      <c r="K41" s="24"/>
      <c r="L41" s="24"/>
      <c r="M41" s="24"/>
      <c r="N41" s="33"/>
      <c r="O41" s="33"/>
      <c r="P41" s="33"/>
      <c r="Q41" s="33"/>
    </row>
    <row r="42" spans="1:17" x14ac:dyDescent="0.2">
      <c r="A42" s="23" t="s">
        <v>39</v>
      </c>
      <c r="B42" s="23" t="str">
        <f>IF($H$33="Target Triggered","Yes","No")</f>
        <v>No</v>
      </c>
      <c r="C42" s="23" t="str">
        <f>IF($H$33="Target Triggered","Sell Order","-")</f>
        <v>-</v>
      </c>
      <c r="D42" s="23" t="str">
        <f>IF($H$33="Target Triggered",I12,"-")</f>
        <v>-</v>
      </c>
      <c r="E42" s="23" t="str">
        <f>IF(F42="-","-",MROUND(F42*(1-0.1%),1))</f>
        <v>-</v>
      </c>
      <c r="F42" s="23" t="str">
        <f>IF($H$33="Target Triggered",$F$33,"-")</f>
        <v>-</v>
      </c>
      <c r="G42" s="33"/>
      <c r="H42" s="24"/>
      <c r="I42" s="24"/>
      <c r="J42" s="24"/>
      <c r="K42" s="24"/>
      <c r="L42" s="24"/>
      <c r="M42" s="24"/>
      <c r="N42" s="33"/>
      <c r="O42" s="33"/>
      <c r="P42" s="33"/>
      <c r="Q42" s="33"/>
    </row>
    <row r="43" spans="1:17" x14ac:dyDescent="0.2">
      <c r="A43" s="24"/>
      <c r="B43" s="24"/>
      <c r="C43" s="24"/>
      <c r="D43" s="24"/>
      <c r="E43" s="24"/>
      <c r="F43" s="24"/>
      <c r="G43" s="33"/>
      <c r="H43" s="24"/>
      <c r="I43" s="24"/>
      <c r="J43" s="24"/>
      <c r="K43" s="24"/>
      <c r="L43" s="24"/>
      <c r="M43" s="24"/>
      <c r="N43" s="33"/>
      <c r="O43" s="33"/>
      <c r="P43" s="33"/>
      <c r="Q43" s="33"/>
    </row>
    <row r="44" spans="1:17" ht="18" customHeight="1" x14ac:dyDescent="0.2">
      <c r="A44" s="149" t="s">
        <v>44</v>
      </c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</row>
    <row r="45" spans="1:17" ht="18" customHeight="1" x14ac:dyDescent="0.2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</row>
    <row r="46" spans="1:17" x14ac:dyDescent="0.2">
      <c r="A46" s="159" t="s">
        <v>45</v>
      </c>
      <c r="B46" s="102" t="s">
        <v>69</v>
      </c>
      <c r="C46" s="102" t="s">
        <v>47</v>
      </c>
      <c r="D46" s="24"/>
      <c r="E46" s="24"/>
      <c r="F46" s="24"/>
      <c r="G46" s="33"/>
      <c r="H46" s="24"/>
      <c r="I46" s="24"/>
      <c r="J46" s="24"/>
      <c r="K46" s="24"/>
      <c r="L46" s="24"/>
      <c r="M46" s="24"/>
      <c r="N46" s="33"/>
      <c r="O46" s="33"/>
      <c r="P46" s="33"/>
      <c r="Q46" s="33"/>
    </row>
    <row r="47" spans="1:17" x14ac:dyDescent="0.2">
      <c r="A47" s="159"/>
      <c r="B47" s="30">
        <v>61678</v>
      </c>
      <c r="C47" s="31">
        <f>MROUND(B47*(1+0.12%),1)</f>
        <v>61752</v>
      </c>
      <c r="D47" s="24"/>
      <c r="E47" s="24"/>
      <c r="F47" s="24"/>
      <c r="G47" s="33"/>
      <c r="H47" s="24"/>
      <c r="I47" s="24"/>
      <c r="J47" s="24"/>
      <c r="K47" s="24"/>
      <c r="L47" s="24"/>
      <c r="M47" s="24"/>
      <c r="N47" s="33"/>
      <c r="O47" s="33"/>
      <c r="P47" s="33"/>
      <c r="Q47" s="33"/>
    </row>
    <row r="48" spans="1:17" x14ac:dyDescent="0.2">
      <c r="A48" s="24"/>
      <c r="B48" s="24"/>
      <c r="C48" s="24"/>
      <c r="D48" s="24"/>
      <c r="E48" s="24"/>
      <c r="F48" s="24"/>
      <c r="G48" s="33"/>
      <c r="H48" s="24"/>
      <c r="I48" s="24"/>
      <c r="J48" s="24"/>
      <c r="K48" s="24"/>
      <c r="L48" s="24"/>
      <c r="M48" s="24"/>
      <c r="N48" s="33"/>
      <c r="O48" s="33"/>
      <c r="P48" s="33"/>
      <c r="Q48" s="33"/>
    </row>
    <row r="49" spans="1:17" x14ac:dyDescent="0.2">
      <c r="A49" s="149" t="s">
        <v>48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33"/>
      <c r="O49" s="33"/>
      <c r="P49" s="33"/>
      <c r="Q49" s="33"/>
    </row>
    <row r="50" spans="1:17" x14ac:dyDescent="0.2">
      <c r="A50" s="24"/>
      <c r="B50" s="24"/>
      <c r="C50" s="24"/>
      <c r="D50" s="24"/>
      <c r="E50" s="24"/>
      <c r="F50" s="24"/>
      <c r="G50" s="33"/>
      <c r="H50" s="24"/>
      <c r="I50" s="24"/>
      <c r="J50" s="24"/>
      <c r="K50" s="24"/>
      <c r="L50" s="24"/>
      <c r="M50" s="24"/>
      <c r="N50" s="33"/>
      <c r="O50" s="33"/>
      <c r="P50" s="33"/>
      <c r="Q50" s="33"/>
    </row>
    <row r="51" spans="1:17" x14ac:dyDescent="0.2">
      <c r="A51" s="159" t="s">
        <v>66</v>
      </c>
      <c r="B51" s="100" t="s">
        <v>70</v>
      </c>
      <c r="C51" s="100" t="s">
        <v>50</v>
      </c>
      <c r="D51" s="101" t="s">
        <v>71</v>
      </c>
      <c r="E51" s="24"/>
      <c r="F51" s="24"/>
      <c r="G51" s="33"/>
      <c r="H51" s="24"/>
      <c r="I51" s="24"/>
      <c r="J51" s="24"/>
      <c r="K51" s="24"/>
      <c r="L51" s="24"/>
      <c r="M51" s="24"/>
      <c r="N51" s="33"/>
      <c r="O51" s="33"/>
      <c r="P51" s="33"/>
      <c r="Q51" s="33"/>
    </row>
    <row r="52" spans="1:17" x14ac:dyDescent="0.2">
      <c r="A52" s="159"/>
      <c r="B52" s="27">
        <v>72685</v>
      </c>
      <c r="C52" s="27">
        <v>74444</v>
      </c>
      <c r="D52" s="28">
        <v>74540</v>
      </c>
      <c r="E52" s="24"/>
      <c r="F52" s="24"/>
      <c r="G52" s="33"/>
      <c r="H52" s="24"/>
      <c r="I52" s="24"/>
      <c r="J52" s="24"/>
      <c r="K52" s="24"/>
      <c r="L52" s="24"/>
      <c r="M52" s="24"/>
      <c r="N52" s="33"/>
      <c r="O52" s="33"/>
      <c r="P52" s="33"/>
      <c r="Q52" s="33"/>
    </row>
    <row r="53" spans="1:17" x14ac:dyDescent="0.2">
      <c r="A53" s="24"/>
      <c r="B53" s="24"/>
      <c r="C53" s="24"/>
      <c r="D53" s="24"/>
      <c r="E53" s="24"/>
      <c r="F53" s="24"/>
      <c r="G53" s="33"/>
      <c r="H53" s="24"/>
      <c r="I53" s="24"/>
      <c r="J53" s="24"/>
      <c r="K53" s="24"/>
      <c r="L53" s="24"/>
      <c r="M53" s="24"/>
      <c r="N53" s="33"/>
      <c r="O53" s="33"/>
      <c r="P53" s="33"/>
      <c r="Q53" s="33"/>
    </row>
    <row r="54" spans="1:17" x14ac:dyDescent="0.2">
      <c r="A54" s="24"/>
      <c r="B54" s="24"/>
      <c r="C54" s="24"/>
      <c r="D54" s="24"/>
      <c r="E54" s="24"/>
      <c r="F54" s="24"/>
      <c r="G54" s="33"/>
      <c r="H54" s="24"/>
      <c r="I54" s="24"/>
      <c r="J54" s="24"/>
      <c r="K54" s="24"/>
      <c r="L54" s="24"/>
      <c r="M54" s="24"/>
      <c r="N54" s="33"/>
      <c r="O54" s="33"/>
      <c r="P54" s="33"/>
      <c r="Q54" s="33"/>
    </row>
    <row r="55" spans="1:17" x14ac:dyDescent="0.2">
      <c r="A55" s="15"/>
      <c r="B55" s="15"/>
      <c r="C55" s="15"/>
      <c r="D55" s="15"/>
      <c r="E55" s="49" t="s">
        <v>16</v>
      </c>
      <c r="F55" s="50" t="s">
        <v>17</v>
      </c>
      <c r="G55" s="15"/>
      <c r="H55" s="15"/>
      <c r="I55" s="24"/>
      <c r="J55" s="24"/>
      <c r="K55" s="24"/>
      <c r="L55" s="24"/>
      <c r="M55" s="24"/>
      <c r="N55" s="33"/>
      <c r="O55" s="33"/>
      <c r="P55" s="33"/>
      <c r="Q55" s="33"/>
    </row>
    <row r="56" spans="1:17" x14ac:dyDescent="0.2">
      <c r="A56" s="98"/>
      <c r="B56" s="98" t="s">
        <v>18</v>
      </c>
      <c r="C56" s="98" t="s">
        <v>19</v>
      </c>
      <c r="D56" s="98" t="s">
        <v>20</v>
      </c>
      <c r="E56" s="107" t="s">
        <v>21</v>
      </c>
      <c r="F56" s="108" t="s">
        <v>22</v>
      </c>
      <c r="G56" s="41"/>
      <c r="H56" s="108" t="s">
        <v>65</v>
      </c>
      <c r="I56" s="24"/>
      <c r="J56" s="24"/>
      <c r="K56" s="24"/>
      <c r="L56" s="24"/>
      <c r="M56" s="24"/>
      <c r="N56" s="33"/>
      <c r="O56" s="33"/>
      <c r="P56" s="33"/>
      <c r="Q56" s="33"/>
    </row>
    <row r="57" spans="1:17" x14ac:dyDescent="0.2">
      <c r="A57" s="22" t="s">
        <v>72</v>
      </c>
      <c r="B57" s="22">
        <f>MROUND(B52*(1-0.12%),1)</f>
        <v>72598</v>
      </c>
      <c r="C57" s="20"/>
      <c r="D57" s="22">
        <f>IF(H57="TGT","N.A.",MROUND(B57*(1-1.5%),1))</f>
        <v>71509</v>
      </c>
      <c r="E57" s="45">
        <f>IF(OR(G57="NO TGT",G57=""),MROUND(MIN((B57*(1+1.5%)),(C52*(1+0.12%))),1),"N.A.")</f>
        <v>73687</v>
      </c>
      <c r="F57" s="46">
        <f>MROUND(MIN((B57*(1+1.5%)),(D52*(1+0.12%))),1)</f>
        <v>73687</v>
      </c>
      <c r="G57" s="41"/>
      <c r="H57" s="44" t="s">
        <v>7</v>
      </c>
      <c r="I57" s="24"/>
      <c r="J57" s="24"/>
      <c r="K57" s="24"/>
      <c r="L57" s="24"/>
      <c r="M57" s="24"/>
      <c r="N57" s="33"/>
      <c r="O57" s="33"/>
      <c r="P57" s="33"/>
      <c r="Q57" s="33"/>
    </row>
    <row r="58" spans="1:17" x14ac:dyDescent="0.2">
      <c r="A58" s="24"/>
      <c r="B58" s="24"/>
      <c r="C58" s="24"/>
      <c r="D58" s="24"/>
      <c r="E58" s="24"/>
      <c r="F58" s="24"/>
      <c r="G58" s="33"/>
      <c r="H58" s="24"/>
      <c r="I58" s="24"/>
      <c r="J58" s="24"/>
      <c r="K58" s="24"/>
      <c r="L58" s="24"/>
      <c r="M58" s="24"/>
      <c r="N58" s="33"/>
      <c r="O58" s="33"/>
      <c r="P58" s="33"/>
      <c r="Q58" s="33"/>
    </row>
    <row r="59" spans="1:17" x14ac:dyDescent="0.2">
      <c r="A59" s="24"/>
      <c r="B59" s="24"/>
      <c r="C59" s="24"/>
      <c r="D59" s="24"/>
      <c r="E59" s="24"/>
      <c r="F59" s="24"/>
      <c r="G59" s="33"/>
      <c r="H59" s="24"/>
      <c r="I59" s="24"/>
      <c r="J59" s="24"/>
      <c r="K59" s="24"/>
      <c r="L59" s="24"/>
      <c r="M59" s="24"/>
      <c r="N59" s="33"/>
      <c r="O59" s="33"/>
      <c r="P59" s="33"/>
      <c r="Q59" s="33"/>
    </row>
    <row r="60" spans="1:17" x14ac:dyDescent="0.2">
      <c r="A60" s="24"/>
      <c r="B60" s="24"/>
      <c r="C60" s="24"/>
      <c r="D60" s="24"/>
      <c r="E60" s="24"/>
      <c r="F60" s="24"/>
      <c r="G60" s="33"/>
      <c r="H60" s="24"/>
      <c r="I60" s="24"/>
      <c r="J60" s="24"/>
      <c r="K60" s="24"/>
      <c r="L60" s="24"/>
      <c r="M60" s="24"/>
      <c r="N60" s="33"/>
      <c r="O60" s="33"/>
      <c r="P60" s="33"/>
      <c r="Q60" s="33"/>
    </row>
    <row r="61" spans="1:17" x14ac:dyDescent="0.2">
      <c r="A61" s="146" t="s">
        <v>30</v>
      </c>
      <c r="B61" s="147"/>
      <c r="C61" s="147"/>
      <c r="D61" s="147"/>
      <c r="E61" s="147"/>
      <c r="F61" s="148"/>
      <c r="G61" s="33"/>
      <c r="H61" s="24"/>
      <c r="I61" s="24"/>
      <c r="J61" s="24"/>
      <c r="K61" s="24"/>
      <c r="L61" s="24"/>
      <c r="M61" s="24"/>
      <c r="N61" s="33"/>
      <c r="O61" s="33"/>
      <c r="P61" s="33"/>
      <c r="Q61" s="33"/>
    </row>
    <row r="62" spans="1:17" x14ac:dyDescent="0.2">
      <c r="A62" s="23" t="s">
        <v>31</v>
      </c>
      <c r="B62" s="23" t="s">
        <v>32</v>
      </c>
      <c r="C62" s="23" t="s">
        <v>33</v>
      </c>
      <c r="D62" s="23" t="s">
        <v>34</v>
      </c>
      <c r="E62" s="23" t="s">
        <v>35</v>
      </c>
      <c r="F62" s="23" t="s">
        <v>36</v>
      </c>
      <c r="G62" s="33"/>
      <c r="H62" s="24"/>
      <c r="I62" s="24"/>
      <c r="J62" s="24"/>
      <c r="K62" s="24"/>
      <c r="L62" s="24"/>
      <c r="M62" s="24"/>
      <c r="N62" s="33"/>
      <c r="O62" s="33"/>
      <c r="P62" s="33"/>
      <c r="Q62" s="33"/>
    </row>
    <row r="63" spans="1:17" x14ac:dyDescent="0.2">
      <c r="A63" s="23" t="s">
        <v>37</v>
      </c>
      <c r="B63" s="23" t="str">
        <f>IF($H$57="NO Holdings","Yes","No")</f>
        <v>No</v>
      </c>
      <c r="C63" s="23" t="str">
        <f>IF($H$57="No Holdings","Sell Order","-")</f>
        <v>-</v>
      </c>
      <c r="D63" s="23" t="str">
        <f>IF($H$57="No Holdings",(I12*2),"-")</f>
        <v>-</v>
      </c>
      <c r="E63" s="23" t="str">
        <f>IF(F63="-","-",MROUND(F63*(1+1%),1))</f>
        <v>-</v>
      </c>
      <c r="F63" s="23" t="str">
        <f>IF($H$57="No Holdings",$B$57,"-")</f>
        <v>-</v>
      </c>
      <c r="G63" s="33"/>
      <c r="H63" s="24"/>
      <c r="I63" s="24"/>
      <c r="J63" s="24"/>
      <c r="K63" s="24"/>
      <c r="L63" s="24"/>
      <c r="M63" s="24"/>
      <c r="N63" s="33"/>
      <c r="O63" s="33"/>
      <c r="P63" s="33"/>
      <c r="Q63" s="33"/>
    </row>
    <row r="64" spans="1:17" x14ac:dyDescent="0.2">
      <c r="A64" s="23" t="s">
        <v>20</v>
      </c>
      <c r="B64" s="23" t="str">
        <f>IF($H$57="Entry Trigger","Yes","No")</f>
        <v>No</v>
      </c>
      <c r="C64" s="23" t="str">
        <f>IF($H$57="Entry Trigger","Buy Order","-")</f>
        <v>-</v>
      </c>
      <c r="D64" s="23" t="str">
        <f>IF($H$57="Entry Trigger",I12,"-")</f>
        <v>-</v>
      </c>
      <c r="E64" s="23" t="str">
        <f>IF(F64="-","-","Use Limit")</f>
        <v>-</v>
      </c>
      <c r="F64" s="23" t="str">
        <f>IF(H57="Entry Trigger",IF(C57="",IF($H$57="Entry Trigger",$D$57,"-"),MROUND(C57*(1+1.25%),0.05)),"-")</f>
        <v>-</v>
      </c>
      <c r="G64" s="33"/>
      <c r="H64" s="24"/>
      <c r="I64" s="24"/>
      <c r="J64" s="24"/>
      <c r="K64" s="24"/>
      <c r="L64" s="24"/>
      <c r="M64" s="24"/>
      <c r="N64" s="33"/>
      <c r="O64" s="33"/>
      <c r="P64" s="33"/>
      <c r="Q64" s="33"/>
    </row>
    <row r="65" spans="1:17" x14ac:dyDescent="0.2">
      <c r="A65" s="23" t="s">
        <v>38</v>
      </c>
      <c r="B65" s="23" t="str">
        <f>IF($H$57="Entry Trigger","Yes","No")</f>
        <v>No</v>
      </c>
      <c r="C65" s="23" t="str">
        <f>IF($H$57="Entry Trigger","Buy Order","-")</f>
        <v>-</v>
      </c>
      <c r="D65" s="23" t="str">
        <f>IF($H$57="Entry Trigger",(I12*2),"-")</f>
        <v>-</v>
      </c>
      <c r="E65" s="23" t="str">
        <f>IFERROR(IF(F65="-","-",MROUND(F65*(1+0.1%),1)),"NA")</f>
        <v>-</v>
      </c>
      <c r="F65" s="23" t="str">
        <f>IF($H$57="Entry Trigger",$E$57,"-")</f>
        <v>-</v>
      </c>
      <c r="G65" s="33"/>
      <c r="H65" s="24"/>
      <c r="I65" s="24"/>
      <c r="J65" s="24"/>
      <c r="K65" s="24"/>
      <c r="L65" s="24"/>
      <c r="M65" s="24"/>
      <c r="N65" s="33"/>
      <c r="O65" s="33"/>
      <c r="P65" s="33"/>
      <c r="Q65" s="33"/>
    </row>
    <row r="66" spans="1:17" x14ac:dyDescent="0.2">
      <c r="A66" s="23" t="s">
        <v>39</v>
      </c>
      <c r="B66" s="23" t="str">
        <f>IF($H$57="Target Triggered","Yes","No")</f>
        <v>Yes</v>
      </c>
      <c r="C66" s="23" t="str">
        <f>IF($H$57="Target Triggered","Buy Order","-")</f>
        <v>Buy Order</v>
      </c>
      <c r="D66" s="23">
        <f>IF($H$57="Target Triggered",I12,"-")</f>
        <v>100</v>
      </c>
      <c r="E66" s="23">
        <f>IF(F66="-","-",(MROUND(F66*(1+0.1%),1)))</f>
        <v>73761</v>
      </c>
      <c r="F66" s="23">
        <f>IF($H$57="Target Triggered",$F$57,"-")</f>
        <v>73687</v>
      </c>
      <c r="G66" s="33"/>
      <c r="H66" s="24"/>
      <c r="I66" s="24"/>
      <c r="J66" s="24"/>
      <c r="K66" s="24"/>
      <c r="L66" s="24"/>
      <c r="M66" s="24"/>
      <c r="N66" s="33"/>
      <c r="O66" s="33"/>
      <c r="P66" s="33"/>
      <c r="Q66" s="33"/>
    </row>
    <row r="67" spans="1:17" x14ac:dyDescent="0.2">
      <c r="A67" s="24"/>
      <c r="B67" s="24"/>
      <c r="C67" s="24"/>
      <c r="D67" s="24"/>
      <c r="E67" s="24"/>
      <c r="F67" s="24"/>
      <c r="G67" s="33"/>
      <c r="H67" s="24"/>
      <c r="I67" s="24"/>
      <c r="J67" s="24"/>
      <c r="K67" s="24"/>
      <c r="L67" s="24"/>
      <c r="M67" s="24"/>
      <c r="N67" s="33"/>
      <c r="O67" s="33"/>
      <c r="P67" s="33"/>
      <c r="Q67" s="33"/>
    </row>
    <row r="68" spans="1:17" x14ac:dyDescent="0.2">
      <c r="A68" s="149" t="s">
        <v>51</v>
      </c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33"/>
      <c r="O68" s="33"/>
      <c r="P68" s="33"/>
      <c r="Q68" s="33"/>
    </row>
    <row r="69" spans="1:17" x14ac:dyDescent="0.2">
      <c r="A69" s="24"/>
      <c r="B69" s="24"/>
      <c r="C69" s="24"/>
      <c r="D69" s="24"/>
      <c r="E69" s="24"/>
      <c r="F69" s="24"/>
      <c r="G69" s="33"/>
      <c r="H69" s="24"/>
      <c r="I69" s="24"/>
      <c r="J69" s="24"/>
      <c r="K69" s="24"/>
      <c r="L69" s="24"/>
      <c r="M69" s="24"/>
      <c r="N69" s="33"/>
      <c r="O69" s="33"/>
      <c r="P69" s="33"/>
      <c r="Q69" s="33"/>
    </row>
    <row r="70" spans="1:17" x14ac:dyDescent="0.2">
      <c r="A70" s="159" t="s">
        <v>52</v>
      </c>
      <c r="B70" s="102" t="s">
        <v>73</v>
      </c>
      <c r="C70" s="102" t="s">
        <v>47</v>
      </c>
      <c r="D70" s="24"/>
      <c r="E70" s="24"/>
      <c r="F70" s="24"/>
      <c r="G70" s="33"/>
      <c r="H70" s="24"/>
      <c r="I70" s="24"/>
      <c r="J70" s="24"/>
      <c r="K70" s="24"/>
      <c r="L70" s="24"/>
      <c r="M70" s="24"/>
      <c r="N70" s="33"/>
      <c r="O70" s="33"/>
      <c r="P70" s="33"/>
      <c r="Q70" s="33"/>
    </row>
    <row r="71" spans="1:17" x14ac:dyDescent="0.2">
      <c r="A71" s="159"/>
      <c r="B71" s="30">
        <v>72685</v>
      </c>
      <c r="C71" s="31">
        <f>MROUND(B71*(1-0.12%),1)</f>
        <v>72598</v>
      </c>
      <c r="D71" s="24"/>
      <c r="E71" s="24"/>
      <c r="F71" s="24"/>
      <c r="G71" s="33"/>
      <c r="H71" s="24"/>
      <c r="I71" s="24"/>
      <c r="J71" s="24"/>
      <c r="K71" s="24"/>
      <c r="L71" s="24"/>
      <c r="M71" s="24"/>
      <c r="N71" s="33"/>
      <c r="O71" s="33"/>
      <c r="P71" s="33"/>
      <c r="Q71" s="33"/>
    </row>
    <row r="72" spans="1:17" x14ac:dyDescent="0.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</row>
    <row r="73" spans="1:17" x14ac:dyDescent="0.2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</row>
    <row r="74" spans="1:17" x14ac:dyDescent="0.2">
      <c r="B74" s="58"/>
      <c r="C74" s="58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</row>
    <row r="75" spans="1:17" x14ac:dyDescent="0.2">
      <c r="B75" s="58"/>
      <c r="C75" s="58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</row>
    <row r="76" spans="1:17" x14ac:dyDescent="0.2">
      <c r="B76" s="58"/>
      <c r="C76" s="58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</row>
    <row r="77" spans="1:17" x14ac:dyDescent="0.2">
      <c r="B77" s="58"/>
      <c r="C77" s="58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</row>
    <row r="78" spans="1:17" x14ac:dyDescent="0.2">
      <c r="A78" s="59"/>
      <c r="B78" s="60"/>
      <c r="C78" s="60"/>
      <c r="D78" s="59"/>
      <c r="E78" s="59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</row>
    <row r="79" spans="1:17" x14ac:dyDescent="0.2">
      <c r="A79" s="59"/>
      <c r="B79" s="60"/>
      <c r="C79" s="60"/>
      <c r="D79" s="59"/>
      <c r="E79" s="59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</row>
    <row r="80" spans="1:17" x14ac:dyDescent="0.2">
      <c r="A80" s="59"/>
      <c r="B80" s="60"/>
      <c r="C80" s="60"/>
      <c r="D80" s="59"/>
      <c r="E80" s="59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</row>
    <row r="81" spans="1:17" x14ac:dyDescent="0.2">
      <c r="A81" s="59"/>
      <c r="B81" s="59"/>
      <c r="C81" s="59"/>
      <c r="D81" s="59"/>
      <c r="E81" s="59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</row>
    <row r="82" spans="1:17" ht="19" x14ac:dyDescent="0.25">
      <c r="B82" s="52" t="s">
        <v>3</v>
      </c>
      <c r="C82" s="53"/>
      <c r="D82" s="53"/>
      <c r="E82" s="59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</row>
    <row r="83" spans="1:17" ht="19" x14ac:dyDescent="0.25">
      <c r="B83" s="54" t="s">
        <v>6</v>
      </c>
      <c r="E83" s="59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</row>
    <row r="84" spans="1:17" ht="19" x14ac:dyDescent="0.25">
      <c r="B84" s="54" t="s">
        <v>12</v>
      </c>
      <c r="C84" s="53"/>
      <c r="D84" s="53"/>
      <c r="E84" s="59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</row>
    <row r="85" spans="1:17" ht="19" x14ac:dyDescent="0.25">
      <c r="B85" s="54" t="s">
        <v>14</v>
      </c>
      <c r="C85" s="53"/>
      <c r="E85" s="59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</row>
    <row r="86" spans="1:17" x14ac:dyDescent="0.2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</row>
    <row r="87" spans="1:17" x14ac:dyDescent="0.2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</row>
    <row r="88" spans="1:17" x14ac:dyDescent="0.2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</row>
    <row r="89" spans="1:17" x14ac:dyDescent="0.2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</row>
    <row r="90" spans="1:17" x14ac:dyDescent="0.2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</row>
    <row r="91" spans="1:17" x14ac:dyDescent="0.2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</row>
    <row r="92" spans="1:17" x14ac:dyDescent="0.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</row>
    <row r="93" spans="1:17" x14ac:dyDescent="0.2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</row>
    <row r="94" spans="1:17" x14ac:dyDescent="0.2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</row>
    <row r="95" spans="1:17" x14ac:dyDescent="0.2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</row>
    <row r="96" spans="1:17" x14ac:dyDescent="0.2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</row>
    <row r="97" spans="1:17" x14ac:dyDescent="0.2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</row>
    <row r="98" spans="1:17" x14ac:dyDescent="0.2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</row>
    <row r="99" spans="1:17" x14ac:dyDescent="0.2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</row>
    <row r="100" spans="1:17" x14ac:dyDescent="0.2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</row>
    <row r="101" spans="1:17" x14ac:dyDescent="0.2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</row>
    <row r="102" spans="1:17" x14ac:dyDescent="0.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</row>
    <row r="103" spans="1:17" x14ac:dyDescent="0.2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</row>
    <row r="104" spans="1:17" x14ac:dyDescent="0.2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</row>
    <row r="105" spans="1:17" x14ac:dyDescent="0.2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</row>
    <row r="106" spans="1:17" x14ac:dyDescent="0.2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</row>
    <row r="107" spans="1:17" x14ac:dyDescent="0.2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</row>
    <row r="108" spans="1:17" x14ac:dyDescent="0.2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</row>
    <row r="109" spans="1:17" x14ac:dyDescent="0.2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</row>
    <row r="110" spans="1:17" x14ac:dyDescent="0.2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</row>
    <row r="111" spans="1:17" x14ac:dyDescent="0.2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</row>
    <row r="112" spans="1:17" x14ac:dyDescent="0.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</row>
    <row r="113" spans="1:17" x14ac:dyDescent="0.2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</row>
    <row r="114" spans="1:17" x14ac:dyDescent="0.2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</row>
    <row r="115" spans="1:17" x14ac:dyDescent="0.2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</row>
    <row r="116" spans="1:17" x14ac:dyDescent="0.2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</row>
    <row r="117" spans="1:17" x14ac:dyDescent="0.2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</row>
    <row r="118" spans="1:17" x14ac:dyDescent="0.2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</row>
    <row r="119" spans="1:17" x14ac:dyDescent="0.2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</row>
    <row r="120" spans="1:17" x14ac:dyDescent="0.2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</row>
    <row r="121" spans="1:17" x14ac:dyDescent="0.2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</row>
    <row r="122" spans="1:17" x14ac:dyDescent="0.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</row>
    <row r="123" spans="1:17" x14ac:dyDescent="0.2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</row>
    <row r="124" spans="1:17" x14ac:dyDescent="0.2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</row>
    <row r="125" spans="1:17" x14ac:dyDescent="0.2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</row>
    <row r="126" spans="1:17" x14ac:dyDescent="0.2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</row>
    <row r="127" spans="1:17" x14ac:dyDescent="0.2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</row>
    <row r="128" spans="1:17" x14ac:dyDescent="0.2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</row>
    <row r="129" spans="1:17" x14ac:dyDescent="0.2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</row>
    <row r="130" spans="1:17" x14ac:dyDescent="0.2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</row>
    <row r="131" spans="1:17" x14ac:dyDescent="0.2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</row>
    <row r="132" spans="1:17" x14ac:dyDescent="0.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</row>
    <row r="133" spans="1:17" x14ac:dyDescent="0.2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</row>
    <row r="134" spans="1:17" x14ac:dyDescent="0.2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</row>
    <row r="135" spans="1:17" x14ac:dyDescent="0.2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</row>
    <row r="136" spans="1:17" x14ac:dyDescent="0.2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</row>
    <row r="137" spans="1:17" x14ac:dyDescent="0.2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</row>
    <row r="138" spans="1:17" x14ac:dyDescent="0.2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</row>
    <row r="139" spans="1:17" x14ac:dyDescent="0.2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</row>
    <row r="140" spans="1:17" x14ac:dyDescent="0.2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</row>
    <row r="141" spans="1:17" x14ac:dyDescent="0.2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</row>
    <row r="142" spans="1:17" x14ac:dyDescent="0.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</row>
    <row r="143" spans="1:17" x14ac:dyDescent="0.2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</row>
    <row r="144" spans="1:17" x14ac:dyDescent="0.2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</row>
    <row r="145" spans="1:17" x14ac:dyDescent="0.2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</row>
    <row r="146" spans="1:17" x14ac:dyDescent="0.2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</row>
    <row r="147" spans="1:17" x14ac:dyDescent="0.2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</row>
    <row r="148" spans="1:17" x14ac:dyDescent="0.2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</row>
    <row r="149" spans="1:17" x14ac:dyDescent="0.2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</row>
    <row r="150" spans="1:17" x14ac:dyDescent="0.2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</row>
    <row r="151" spans="1:17" x14ac:dyDescent="0.2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</row>
    <row r="152" spans="1:17" x14ac:dyDescent="0.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</row>
  </sheetData>
  <sheetProtection algorithmName="SHA-512" hashValue="/gIPSvOVef5IS9ATPin5kBBXjKSe48vVpLyT1Szce6/4tjzmuR6lEgXCAZiw4dEC66m8Mq6V2BIp200c0bBdPw==" saltValue="jK1vN645fDQ02z+Ulc2jBg==" spinCount="100000" sheet="1" objects="1" scenarios="1"/>
  <mergeCells count="15">
    <mergeCell ref="A68:M68"/>
    <mergeCell ref="A27:A28"/>
    <mergeCell ref="A46:A47"/>
    <mergeCell ref="A51:A52"/>
    <mergeCell ref="A70:A71"/>
    <mergeCell ref="A25:M25"/>
    <mergeCell ref="A37:F37"/>
    <mergeCell ref="A44:M44"/>
    <mergeCell ref="A49:M49"/>
    <mergeCell ref="A61:F61"/>
    <mergeCell ref="A1:M1"/>
    <mergeCell ref="A3:B3"/>
    <mergeCell ref="C3:E3"/>
    <mergeCell ref="A17:F17"/>
    <mergeCell ref="H17:M17"/>
  </mergeCells>
  <dataValidations count="2">
    <dataValidation type="list" allowBlank="1" showInputMessage="1" showErrorMessage="1" sqref="G33 G57 G12:G13" xr:uid="{00000000-0002-0000-0200-000000000000}">
      <formula1>$O$1:$O$3</formula1>
    </dataValidation>
    <dataValidation type="list" allowBlank="1" showInputMessage="1" showErrorMessage="1" sqref="H33 H57 H12:H13" xr:uid="{00000000-0002-0000-0200-000001000000}">
      <formula1>$P$1:$P$3</formula1>
    </dataValidation>
  </dataValidations>
  <pageMargins left="0.69930555555555596" right="0.69930555555555596" top="0.75" bottom="0.75" header="0.3" footer="0.3"/>
  <ignoredErrors>
    <ignoredError sqref="G7:G8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6"/>
  <sheetViews>
    <sheetView zoomScale="150" zoomScaleNormal="150" workbookViewId="0">
      <selection activeCell="E9" sqref="E9"/>
    </sheetView>
  </sheetViews>
  <sheetFormatPr baseColWidth="10" defaultColWidth="9" defaultRowHeight="16" x14ac:dyDescent="0.2"/>
  <cols>
    <col min="1" max="1" width="14.83203125" customWidth="1"/>
    <col min="2" max="2" width="12.33203125" customWidth="1"/>
    <col min="3" max="3" width="12.1640625" customWidth="1"/>
    <col min="4" max="4" width="12.5" customWidth="1"/>
    <col min="5" max="5" width="12.6640625" customWidth="1"/>
    <col min="6" max="7" width="13.5" customWidth="1"/>
    <col min="8" max="8" width="18.83203125" customWidth="1"/>
    <col min="9" max="9" width="12" customWidth="1"/>
    <col min="10" max="11" width="12.1640625" customWidth="1"/>
    <col min="12" max="12" width="12" customWidth="1"/>
    <col min="13" max="13" width="13.5" customWidth="1"/>
    <col min="15" max="15" width="10.33203125" customWidth="1"/>
    <col min="16" max="16" width="13.83203125" hidden="1" customWidth="1"/>
  </cols>
  <sheetData>
    <row r="1" spans="1:16" x14ac:dyDescent="0.2">
      <c r="A1" s="155" t="s">
        <v>74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P1" t="s">
        <v>2</v>
      </c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t="s">
        <v>4</v>
      </c>
    </row>
    <row r="3" spans="1:16" x14ac:dyDescent="0.2">
      <c r="A3" s="156" t="s">
        <v>59</v>
      </c>
      <c r="B3" s="157"/>
      <c r="C3" s="158"/>
      <c r="D3" s="158"/>
      <c r="E3" s="158"/>
      <c r="F3" s="15"/>
      <c r="G3" s="15"/>
      <c r="H3" s="15"/>
      <c r="I3" s="15"/>
      <c r="J3" s="15"/>
      <c r="K3" s="15"/>
      <c r="L3" s="15"/>
      <c r="M3" s="2"/>
      <c r="P3" t="s">
        <v>7</v>
      </c>
    </row>
    <row r="4" spans="1:16" ht="19" x14ac:dyDescent="0.25">
      <c r="A4" s="3"/>
      <c r="B4" s="4"/>
      <c r="C4" s="94"/>
      <c r="D4" s="94"/>
      <c r="E4" s="94"/>
      <c r="F4" s="15"/>
      <c r="G4" s="15"/>
      <c r="H4" s="15"/>
      <c r="I4" s="33"/>
      <c r="J4" s="51"/>
      <c r="K4" s="52" t="s">
        <v>3</v>
      </c>
      <c r="L4" s="53"/>
      <c r="M4" s="2"/>
    </row>
    <row r="5" spans="1:16" ht="19" x14ac:dyDescent="0.25">
      <c r="A5" s="7" t="s">
        <v>5</v>
      </c>
      <c r="B5" s="9"/>
      <c r="C5" s="9"/>
      <c r="D5" s="83"/>
      <c r="E5" s="8"/>
      <c r="F5" s="15"/>
      <c r="G5" s="15"/>
      <c r="H5" s="15"/>
      <c r="I5" s="33"/>
      <c r="J5" s="51"/>
      <c r="K5" s="54" t="s">
        <v>6</v>
      </c>
      <c r="M5" s="2"/>
    </row>
    <row r="6" spans="1:16" ht="19" x14ac:dyDescent="0.25">
      <c r="A6" s="95" t="s">
        <v>75</v>
      </c>
      <c r="B6" s="96" t="s">
        <v>9</v>
      </c>
      <c r="C6" s="96" t="s">
        <v>10</v>
      </c>
      <c r="D6" s="96" t="s">
        <v>61</v>
      </c>
      <c r="E6" s="95" t="s">
        <v>62</v>
      </c>
      <c r="F6" s="103" t="s">
        <v>63</v>
      </c>
      <c r="G6" s="104" t="s">
        <v>64</v>
      </c>
      <c r="H6" s="15"/>
      <c r="I6" s="33"/>
      <c r="J6" s="51"/>
      <c r="K6" s="54" t="s">
        <v>12</v>
      </c>
      <c r="L6" s="53"/>
      <c r="M6" s="2"/>
    </row>
    <row r="7" spans="1:16" ht="19" x14ac:dyDescent="0.25">
      <c r="A7" s="12" t="s">
        <v>13</v>
      </c>
      <c r="B7" s="14">
        <v>150850</v>
      </c>
      <c r="C7" s="14">
        <v>153382</v>
      </c>
      <c r="D7" s="97">
        <v>153500</v>
      </c>
      <c r="E7" s="97">
        <v>153400</v>
      </c>
      <c r="F7" s="12">
        <f>MAX(B7:E7)</f>
        <v>153500</v>
      </c>
      <c r="G7" s="91">
        <f>MAX(D7:E7)</f>
        <v>153500</v>
      </c>
      <c r="H7" s="15"/>
      <c r="I7" s="33"/>
      <c r="J7" s="51"/>
      <c r="K7" s="54" t="s">
        <v>14</v>
      </c>
      <c r="L7" s="53"/>
      <c r="M7" s="2"/>
    </row>
    <row r="8" spans="1:16" x14ac:dyDescent="0.2">
      <c r="A8" s="12" t="s">
        <v>15</v>
      </c>
      <c r="B8" s="14">
        <v>149733</v>
      </c>
      <c r="C8" s="14">
        <v>151301</v>
      </c>
      <c r="D8" s="97">
        <v>152113</v>
      </c>
      <c r="E8" s="97">
        <v>151510</v>
      </c>
      <c r="F8" s="12">
        <f>MIN(B8:E8)</f>
        <v>149733</v>
      </c>
      <c r="G8" s="91">
        <f>MIN(D8:E8)</f>
        <v>151510</v>
      </c>
      <c r="H8" s="15"/>
      <c r="I8" s="15"/>
      <c r="J8" s="15"/>
      <c r="K8" s="15"/>
      <c r="L8" s="15"/>
      <c r="M8" s="2"/>
    </row>
    <row r="9" spans="1:16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2"/>
    </row>
    <row r="10" spans="1:16" x14ac:dyDescent="0.2">
      <c r="A10" s="15"/>
      <c r="B10" s="15"/>
      <c r="C10" s="15"/>
      <c r="D10" s="15"/>
      <c r="E10" s="105" t="s">
        <v>16</v>
      </c>
      <c r="F10" s="106" t="s">
        <v>17</v>
      </c>
      <c r="G10" s="15"/>
      <c r="H10" s="15"/>
      <c r="I10" s="15"/>
      <c r="J10" s="15"/>
      <c r="K10" s="15"/>
      <c r="L10" s="15"/>
      <c r="M10" s="2"/>
    </row>
    <row r="11" spans="1:16" x14ac:dyDescent="0.2">
      <c r="A11" s="98"/>
      <c r="B11" s="98" t="s">
        <v>18</v>
      </c>
      <c r="C11" s="98" t="s">
        <v>19</v>
      </c>
      <c r="D11" s="98" t="s">
        <v>20</v>
      </c>
      <c r="E11" s="107" t="s">
        <v>21</v>
      </c>
      <c r="F11" s="108" t="s">
        <v>22</v>
      </c>
      <c r="G11" s="41"/>
      <c r="H11" s="108" t="s">
        <v>65</v>
      </c>
      <c r="I11" s="109" t="s">
        <v>26</v>
      </c>
      <c r="J11" s="56"/>
      <c r="K11" s="15"/>
      <c r="L11" s="15"/>
      <c r="M11" s="2"/>
    </row>
    <row r="12" spans="1:16" x14ac:dyDescent="0.2">
      <c r="A12" s="19" t="s">
        <v>27</v>
      </c>
      <c r="B12" s="19">
        <f>MROUND(F7*(1+0.12%),1)</f>
        <v>153684</v>
      </c>
      <c r="C12" s="20"/>
      <c r="D12" s="19">
        <f>IF(H12="TGT","N.A.",MROUND(B12*(1+1.5%),1))</f>
        <v>155989</v>
      </c>
      <c r="E12" s="42">
        <f>IF(OR(G12="NO TGT",G12=""),MROUND(MAX((B12*(1-1.5%)),(G8*(1-0.12%))),1),"N.A.")</f>
        <v>151379</v>
      </c>
      <c r="F12" s="43">
        <f>MROUND(MAX((B12*(1-1.5%)),(F8*(1-0.12%))),1)</f>
        <v>151379</v>
      </c>
      <c r="G12" s="41"/>
      <c r="H12" s="44" t="s">
        <v>7</v>
      </c>
      <c r="I12" s="30">
        <v>10</v>
      </c>
      <c r="J12" s="56"/>
      <c r="K12" s="15"/>
      <c r="L12" s="15"/>
      <c r="M12" s="2"/>
    </row>
    <row r="13" spans="1:16" x14ac:dyDescent="0.2">
      <c r="A13" s="22" t="s">
        <v>28</v>
      </c>
      <c r="B13" s="22">
        <f>MROUND(F8*(1-0.12%),1)</f>
        <v>149553</v>
      </c>
      <c r="C13" s="20"/>
      <c r="D13" s="22">
        <f>IF(H13="TGT","N.A.",MROUND(B13*(1-1.5%),1))</f>
        <v>147310</v>
      </c>
      <c r="E13" s="45">
        <f>IF(OR(G13="NO TGT",G13=""),MROUND(MIN((B13*(1+1.5%)),(G7*(1+0.12%))),1),"N.A.")</f>
        <v>151796</v>
      </c>
      <c r="F13" s="46">
        <f>MROUND(MIN((B13*(1+1.5%)),(F7*(1+0.12%))),1)</f>
        <v>151796</v>
      </c>
      <c r="G13" s="41"/>
      <c r="H13" s="44" t="s">
        <v>2</v>
      </c>
      <c r="I13" s="56"/>
      <c r="J13" s="56"/>
      <c r="K13" s="15"/>
      <c r="L13" s="15"/>
      <c r="M13" s="2"/>
    </row>
    <row r="14" spans="1:1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143" t="s">
        <v>29</v>
      </c>
      <c r="B17" s="144"/>
      <c r="C17" s="144"/>
      <c r="D17" s="144"/>
      <c r="E17" s="144"/>
      <c r="F17" s="145"/>
      <c r="G17" s="33"/>
      <c r="H17" s="146" t="s">
        <v>30</v>
      </c>
      <c r="I17" s="147"/>
      <c r="J17" s="147"/>
      <c r="K17" s="147"/>
      <c r="L17" s="147"/>
      <c r="M17" s="148"/>
    </row>
    <row r="18" spans="1:13" x14ac:dyDescent="0.2">
      <c r="A18" s="23" t="s">
        <v>31</v>
      </c>
      <c r="B18" s="23" t="s">
        <v>32</v>
      </c>
      <c r="C18" s="23" t="s">
        <v>33</v>
      </c>
      <c r="D18" s="23" t="s">
        <v>34</v>
      </c>
      <c r="E18" s="23" t="s">
        <v>35</v>
      </c>
      <c r="F18" s="23" t="s">
        <v>36</v>
      </c>
      <c r="G18" s="33"/>
      <c r="H18" s="23" t="s">
        <v>31</v>
      </c>
      <c r="I18" s="23" t="s">
        <v>32</v>
      </c>
      <c r="J18" s="23" t="s">
        <v>33</v>
      </c>
      <c r="K18" s="23" t="s">
        <v>34</v>
      </c>
      <c r="L18" s="23" t="s">
        <v>35</v>
      </c>
      <c r="M18" s="23" t="s">
        <v>36</v>
      </c>
    </row>
    <row r="19" spans="1:13" x14ac:dyDescent="0.2">
      <c r="A19" s="23" t="s">
        <v>37</v>
      </c>
      <c r="B19" s="23" t="str">
        <f>IF($H$12="NO Holdings","Yes","No")</f>
        <v>No</v>
      </c>
      <c r="C19" s="23" t="str">
        <f>IF($H$12="No Holdings","Buy Order","-")</f>
        <v>-</v>
      </c>
      <c r="D19" s="23" t="str">
        <f>IF($H$12="No Holdings",(I12*2),"-")</f>
        <v>-</v>
      </c>
      <c r="E19" s="23" t="str">
        <f>IF(F19="-","-",MROUND(F19*(1+0.1%),1))</f>
        <v>-</v>
      </c>
      <c r="F19" s="23" t="str">
        <f>IF($H$12="No Holdings",$B$12,"-")</f>
        <v>-</v>
      </c>
      <c r="G19" s="33"/>
      <c r="H19" s="23" t="s">
        <v>37</v>
      </c>
      <c r="I19" s="23" t="str">
        <f>IF($H$13="NO Holdings","Yes","No")</f>
        <v>Yes</v>
      </c>
      <c r="J19" s="23" t="str">
        <f>IF($H$13="No Holdings","Sell Order","-")</f>
        <v>Sell Order</v>
      </c>
      <c r="K19" s="23">
        <f>IF($H$13="No Holdings",(I12*2),"-")</f>
        <v>20</v>
      </c>
      <c r="L19" s="23">
        <f>IF(M19="-","-",MROUND(M19*(1-0.1%),1))</f>
        <v>149403</v>
      </c>
      <c r="M19" s="23">
        <f>IF($H$13="No Holdings",$B$13,"-")</f>
        <v>149553</v>
      </c>
    </row>
    <row r="20" spans="1:13" x14ac:dyDescent="0.2">
      <c r="A20" s="23" t="s">
        <v>20</v>
      </c>
      <c r="B20" s="23" t="str">
        <f>IF($H$12="Entry Trigger","Yes","No")</f>
        <v>No</v>
      </c>
      <c r="C20" s="23" t="str">
        <f>IF($H$12="Entry Trigger","Sell Order","-")</f>
        <v>-</v>
      </c>
      <c r="D20" s="23" t="str">
        <f>IF($H$12="Entry Trigger",I12,"-")</f>
        <v>-</v>
      </c>
      <c r="E20" s="23" t="str">
        <f>IF(F20="-","-","Use Limit")</f>
        <v>-</v>
      </c>
      <c r="F20" s="23" t="str">
        <f>IF(H12="Entry Trigger",IF(C12="",IF($H$12="Entry Trigger",$D$12,"-"),MROUND(C12*(1+1.25%),0.05)),"-")</f>
        <v>-</v>
      </c>
      <c r="G20" s="33"/>
      <c r="H20" s="23" t="s">
        <v>20</v>
      </c>
      <c r="I20" s="23" t="str">
        <f>IF($H$13="Entry Trigger","Yes","No")</f>
        <v>No</v>
      </c>
      <c r="J20" s="23" t="str">
        <f>IF($H$13="Entry Trigger","Buy Order","-")</f>
        <v>-</v>
      </c>
      <c r="K20" s="23" t="str">
        <f>IF($H$13="Entry Trigger",I12,"-")</f>
        <v>-</v>
      </c>
      <c r="L20" s="23" t="str">
        <f>IF(M20="-","-","Use Limit")</f>
        <v>-</v>
      </c>
      <c r="M20" s="23" t="str">
        <f>IF(H13="Entry Trigger",IF(C13="",IF($H$13="Entry Trigger",$D$13,"-"),MROUND(C13*(1-1.25%),0.05)),"-")</f>
        <v>-</v>
      </c>
    </row>
    <row r="21" spans="1:13" x14ac:dyDescent="0.2">
      <c r="A21" s="23" t="s">
        <v>38</v>
      </c>
      <c r="B21" s="23" t="str">
        <f>IF($H$12="Entry Trigger","Yes","No")</f>
        <v>No</v>
      </c>
      <c r="C21" s="23" t="str">
        <f>IF($H$12="Entry Trigger","Sell Order","-")</f>
        <v>-</v>
      </c>
      <c r="D21" s="23" t="str">
        <f>IF($H$12="Entry Trigger",(I12*2),"-")</f>
        <v>-</v>
      </c>
      <c r="E21" s="23" t="str">
        <f>IFERROR(IF(F21="-","-",MROUND(F21*(1-0.1%),1)),"NA")</f>
        <v>-</v>
      </c>
      <c r="F21" s="23" t="str">
        <f>IF($H$12="Entry Trigger",$E$12,"-")</f>
        <v>-</v>
      </c>
      <c r="G21" s="33"/>
      <c r="H21" s="23" t="s">
        <v>38</v>
      </c>
      <c r="I21" s="23" t="str">
        <f>IF($H$13="Entry Trigger","Yes","No")</f>
        <v>No</v>
      </c>
      <c r="J21" s="23" t="str">
        <f>IF($H$13="Entry Trigger","Buy Order","-")</f>
        <v>-</v>
      </c>
      <c r="K21" s="23" t="str">
        <f>IF($H$13="Entry Trigger",(I12*2),"-")</f>
        <v>-</v>
      </c>
      <c r="L21" s="23" t="str">
        <f>IFERROR(IF(M21="-","-",MROUND(M21*(1+0.1%),1)),"NA")</f>
        <v>-</v>
      </c>
      <c r="M21" s="23" t="str">
        <f>IF($H$13="Entry Trigger",$E$13,"-")</f>
        <v>-</v>
      </c>
    </row>
    <row r="22" spans="1:13" x14ac:dyDescent="0.2">
      <c r="A22" s="23" t="s">
        <v>39</v>
      </c>
      <c r="B22" s="23" t="str">
        <f>IF($H$12="Target Triggered","Yes","No")</f>
        <v>Yes</v>
      </c>
      <c r="C22" s="23" t="str">
        <f>IF($H$12="Target Triggered","Sell Order","-")</f>
        <v>Sell Order</v>
      </c>
      <c r="D22" s="23">
        <f>IF($H$12="Target Triggered",I12,"-")</f>
        <v>10</v>
      </c>
      <c r="E22" s="23">
        <f>IF(F22="-","-",MROUND(F22*(1-0.1%),1))</f>
        <v>151228</v>
      </c>
      <c r="F22" s="23">
        <f>IF($H$12="Target Triggered",$F$12,"-")</f>
        <v>151379</v>
      </c>
      <c r="G22" s="33"/>
      <c r="H22" s="23" t="s">
        <v>39</v>
      </c>
      <c r="I22" s="23" t="str">
        <f>IF($H$13="Target Triggered","Yes","No")</f>
        <v>No</v>
      </c>
      <c r="J22" s="23" t="str">
        <f>IF($H$13="Target Triggered","Buy Order","-")</f>
        <v>-</v>
      </c>
      <c r="K22" s="23" t="str">
        <f>IF($H$13="Target Triggered",I12,"-")</f>
        <v>-</v>
      </c>
      <c r="L22" s="23" t="str">
        <f>IF(M22="-","-",MROUND(M22*(1+0.1%),1))</f>
        <v>-</v>
      </c>
      <c r="M22" s="23" t="str">
        <f>IF($H$13="Target Triggered",$F$13,"-")</f>
        <v>-</v>
      </c>
    </row>
    <row r="23" spans="1:13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149" t="s">
        <v>40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</row>
    <row r="26" spans="1:13" x14ac:dyDescent="0.2">
      <c r="A26" s="24"/>
      <c r="B26" s="24"/>
      <c r="C26" s="24"/>
      <c r="D26" s="24"/>
      <c r="E26" s="24"/>
      <c r="F26" s="24"/>
      <c r="G26" s="33"/>
      <c r="H26" s="24"/>
      <c r="I26" s="24"/>
      <c r="J26" s="24"/>
      <c r="K26" s="24"/>
      <c r="L26" s="24"/>
      <c r="M26" s="24"/>
    </row>
    <row r="27" spans="1:13" x14ac:dyDescent="0.2">
      <c r="A27" s="159" t="s">
        <v>76</v>
      </c>
      <c r="B27" s="100" t="s">
        <v>67</v>
      </c>
      <c r="C27" s="100" t="s">
        <v>43</v>
      </c>
      <c r="D27" s="101" t="s">
        <v>68</v>
      </c>
      <c r="E27" s="24"/>
      <c r="F27" s="24"/>
      <c r="G27" s="33"/>
      <c r="H27" s="24"/>
      <c r="I27" s="24"/>
      <c r="J27" s="24"/>
      <c r="K27" s="24"/>
      <c r="L27" s="24"/>
      <c r="M27" s="24"/>
    </row>
    <row r="28" spans="1:13" x14ac:dyDescent="0.2">
      <c r="A28" s="159"/>
      <c r="B28" s="27">
        <v>90844</v>
      </c>
      <c r="C28" s="27">
        <v>88999</v>
      </c>
      <c r="D28" s="28">
        <v>87767</v>
      </c>
      <c r="E28" s="24"/>
      <c r="F28" s="24"/>
      <c r="G28" s="33"/>
      <c r="H28" s="24"/>
      <c r="I28" s="24"/>
      <c r="J28" s="24"/>
      <c r="K28" s="24"/>
      <c r="L28" s="24"/>
      <c r="M28" s="24"/>
    </row>
    <row r="29" spans="1:13" x14ac:dyDescent="0.2">
      <c r="A29" s="24"/>
      <c r="B29" s="24"/>
      <c r="C29" s="24"/>
      <c r="D29" s="24"/>
      <c r="E29" s="24"/>
      <c r="F29" s="24"/>
      <c r="G29" s="33"/>
      <c r="H29" s="24"/>
      <c r="I29" s="24"/>
      <c r="J29" s="24"/>
      <c r="K29" s="24"/>
      <c r="L29" s="24"/>
      <c r="M29" s="24"/>
    </row>
    <row r="30" spans="1:13" x14ac:dyDescent="0.2">
      <c r="A30" s="24"/>
      <c r="B30" s="24"/>
      <c r="C30" s="24"/>
      <c r="D30" s="24"/>
      <c r="E30" s="24"/>
      <c r="F30" s="24"/>
      <c r="G30" s="33"/>
      <c r="H30" s="24"/>
      <c r="I30" s="24"/>
      <c r="J30" s="24"/>
      <c r="K30" s="24"/>
      <c r="L30" s="24"/>
      <c r="M30" s="24"/>
    </row>
    <row r="31" spans="1:13" x14ac:dyDescent="0.2">
      <c r="A31" s="15"/>
      <c r="B31" s="15"/>
      <c r="C31" s="15"/>
      <c r="D31" s="15"/>
      <c r="E31" s="49" t="s">
        <v>16</v>
      </c>
      <c r="F31" s="50" t="s">
        <v>17</v>
      </c>
      <c r="G31" s="15"/>
      <c r="H31" s="15"/>
      <c r="I31" s="24"/>
      <c r="J31" s="24"/>
      <c r="K31" s="24"/>
      <c r="L31" s="24"/>
      <c r="M31" s="24"/>
    </row>
    <row r="32" spans="1:13" x14ac:dyDescent="0.2">
      <c r="A32" s="98"/>
      <c r="B32" s="98" t="s">
        <v>18</v>
      </c>
      <c r="C32" s="98" t="s">
        <v>19</v>
      </c>
      <c r="D32" s="98" t="s">
        <v>20</v>
      </c>
      <c r="E32" s="107" t="s">
        <v>21</v>
      </c>
      <c r="F32" s="108" t="s">
        <v>22</v>
      </c>
      <c r="G32" s="41"/>
      <c r="H32" s="108" t="s">
        <v>65</v>
      </c>
      <c r="I32" s="24"/>
      <c r="J32" s="24"/>
      <c r="K32" s="24"/>
      <c r="L32" s="24"/>
      <c r="M32" s="24"/>
    </row>
    <row r="33" spans="1:13" x14ac:dyDescent="0.2">
      <c r="A33" s="19" t="s">
        <v>27</v>
      </c>
      <c r="B33" s="19">
        <f>MROUND(B28*(1+0.12%),1)</f>
        <v>90953</v>
      </c>
      <c r="C33" s="20"/>
      <c r="D33" s="19">
        <f>IF(H33="TGT","N.A.",MROUND(B33*(1+1.5%),1))</f>
        <v>92317</v>
      </c>
      <c r="E33" s="42">
        <f>IF(OR(G33="NO TGT",G33=""),MROUND(MAX((B33*(1-1.5%)),(C28*(1-0.12%))),1),"N.A.")</f>
        <v>89589</v>
      </c>
      <c r="F33" s="43">
        <f>MROUND(MAX((B33*(1-1.5%)),(D28*(1-0.12%))),1)</f>
        <v>89589</v>
      </c>
      <c r="G33" s="41"/>
      <c r="H33" s="44" t="s">
        <v>7</v>
      </c>
      <c r="I33" s="24"/>
      <c r="J33" s="24"/>
      <c r="K33" s="24"/>
      <c r="L33" s="24"/>
      <c r="M33" s="24"/>
    </row>
    <row r="34" spans="1:13" x14ac:dyDescent="0.2">
      <c r="A34" s="24"/>
      <c r="B34" s="24"/>
      <c r="C34" s="24"/>
      <c r="D34" s="24"/>
      <c r="E34" s="24"/>
      <c r="F34" s="24"/>
      <c r="G34" s="33"/>
      <c r="H34" s="24"/>
      <c r="I34" s="24"/>
      <c r="J34" s="24"/>
      <c r="K34" s="24"/>
      <c r="L34" s="24"/>
      <c r="M34" s="24"/>
    </row>
    <row r="35" spans="1:13" x14ac:dyDescent="0.2">
      <c r="A35" s="24"/>
      <c r="B35" s="24"/>
      <c r="C35" s="24"/>
      <c r="D35" s="24"/>
      <c r="E35" s="24"/>
      <c r="F35" s="24"/>
      <c r="G35" s="33"/>
      <c r="H35" s="24"/>
      <c r="I35" s="24"/>
      <c r="J35" s="24"/>
      <c r="K35" s="24"/>
      <c r="L35" s="24"/>
      <c r="M35" s="24"/>
    </row>
    <row r="36" spans="1:13" x14ac:dyDescent="0.2">
      <c r="A36" s="24"/>
      <c r="B36" s="24"/>
      <c r="C36" s="24"/>
      <c r="D36" s="24"/>
      <c r="E36" s="24"/>
      <c r="F36" s="24"/>
      <c r="G36" s="33"/>
      <c r="H36" s="24"/>
      <c r="I36" s="24"/>
      <c r="J36" s="24"/>
      <c r="K36" s="24"/>
      <c r="L36" s="24"/>
      <c r="M36" s="24"/>
    </row>
    <row r="37" spans="1:13" x14ac:dyDescent="0.2">
      <c r="A37" s="143" t="s">
        <v>29</v>
      </c>
      <c r="B37" s="144"/>
      <c r="C37" s="144"/>
      <c r="D37" s="144"/>
      <c r="E37" s="144"/>
      <c r="F37" s="145"/>
      <c r="G37" s="33"/>
      <c r="H37" s="24"/>
      <c r="I37" s="24"/>
      <c r="J37" s="24"/>
      <c r="K37" s="24"/>
      <c r="L37" s="24"/>
      <c r="M37" s="24"/>
    </row>
    <row r="38" spans="1:13" x14ac:dyDescent="0.2">
      <c r="A38" s="23" t="s">
        <v>31</v>
      </c>
      <c r="B38" s="23" t="s">
        <v>32</v>
      </c>
      <c r="C38" s="23" t="s">
        <v>33</v>
      </c>
      <c r="D38" s="23" t="s">
        <v>34</v>
      </c>
      <c r="E38" s="23" t="s">
        <v>35</v>
      </c>
      <c r="F38" s="23" t="s">
        <v>36</v>
      </c>
      <c r="G38" s="33"/>
      <c r="H38" s="24"/>
      <c r="I38" s="24"/>
      <c r="J38" s="24"/>
      <c r="K38" s="24"/>
      <c r="L38" s="24"/>
      <c r="M38" s="24"/>
    </row>
    <row r="39" spans="1:13" x14ac:dyDescent="0.2">
      <c r="A39" s="23" t="s">
        <v>37</v>
      </c>
      <c r="B39" s="23" t="str">
        <f>IF($H$33="NO Holdings","Yes","No")</f>
        <v>No</v>
      </c>
      <c r="C39" s="23" t="str">
        <f>IF($H$33="No Holdings","Buy Order","-")</f>
        <v>-</v>
      </c>
      <c r="D39" s="23" t="str">
        <f>IF($H$33="No Holdings",(I12*2),"-")</f>
        <v>-</v>
      </c>
      <c r="E39" s="23" t="str">
        <f>IF(F39="-","-",MROUND(F39*(1+0.1%),1))</f>
        <v>-</v>
      </c>
      <c r="F39" s="23" t="str">
        <f>IF($H$33="No Holdings",$B$33,"-")</f>
        <v>-</v>
      </c>
      <c r="G39" s="33"/>
      <c r="H39" s="24"/>
      <c r="I39" s="24"/>
      <c r="J39" s="24"/>
      <c r="K39" s="24"/>
      <c r="L39" s="24"/>
      <c r="M39" s="24"/>
    </row>
    <row r="40" spans="1:13" x14ac:dyDescent="0.2">
      <c r="A40" s="23" t="s">
        <v>20</v>
      </c>
      <c r="B40" s="23" t="str">
        <f>IF($H$33="Entry Trigger","Yes","No")</f>
        <v>No</v>
      </c>
      <c r="C40" s="23" t="str">
        <f>IF($H$33="Entry Trigger","Sell Order","-")</f>
        <v>-</v>
      </c>
      <c r="D40" s="23" t="str">
        <f>IF($H$33="Entry Trigger",I12,"-")</f>
        <v>-</v>
      </c>
      <c r="E40" s="23" t="str">
        <f>IF(F40="-","-","Use Limit")</f>
        <v>-</v>
      </c>
      <c r="F40" s="23" t="str">
        <f>IF(H33="Entry Trigger",IF(C33="",IF($H$33="Entry Trigger",$D$33,"-"),MROUND(C33*(1+1.25%),0.05)),"-")</f>
        <v>-</v>
      </c>
      <c r="G40" s="33"/>
      <c r="H40" s="24"/>
      <c r="I40" s="24"/>
      <c r="J40" s="24"/>
      <c r="K40" s="24"/>
      <c r="L40" s="24"/>
      <c r="M40" s="24"/>
    </row>
    <row r="41" spans="1:13" x14ac:dyDescent="0.2">
      <c r="A41" s="23" t="s">
        <v>38</v>
      </c>
      <c r="B41" s="23" t="str">
        <f>IF($H$33="Entry Trigger","Yes","No")</f>
        <v>No</v>
      </c>
      <c r="C41" s="23" t="str">
        <f>IF($H$33="Entry Trigger","Sell Order","-")</f>
        <v>-</v>
      </c>
      <c r="D41" s="23" t="str">
        <f>IF($H$33="Entry Trigger",(I12*2),"-")</f>
        <v>-</v>
      </c>
      <c r="E41" s="23" t="str">
        <f>IFERROR(IF(F41="-","-",MROUND(F41*(1-1%),1)),"NA")</f>
        <v>-</v>
      </c>
      <c r="F41" s="23" t="str">
        <f>IF($H$33="Entry Trigger",$E$33,"-")</f>
        <v>-</v>
      </c>
      <c r="G41" s="33"/>
      <c r="H41" s="24"/>
      <c r="I41" s="24"/>
      <c r="J41" s="24"/>
      <c r="K41" s="24"/>
      <c r="L41" s="24"/>
      <c r="M41" s="24"/>
    </row>
    <row r="42" spans="1:13" x14ac:dyDescent="0.2">
      <c r="A42" s="23" t="s">
        <v>39</v>
      </c>
      <c r="B42" s="23" t="str">
        <f>IF($H$33="Target Triggered","Yes","No")</f>
        <v>Yes</v>
      </c>
      <c r="C42" s="23" t="str">
        <f>IF($H$33="Target Triggered","Sell Order","-")</f>
        <v>Sell Order</v>
      </c>
      <c r="D42" s="23">
        <f>IF($H$33="Target Triggered",I12,"-")</f>
        <v>10</v>
      </c>
      <c r="E42" s="23">
        <f>IF(F42="-","-",MROUND(F42*(1-0.1%),1))</f>
        <v>89499</v>
      </c>
      <c r="F42" s="23">
        <f>IF($H$33="Target Triggered",$F$33,"-")</f>
        <v>89589</v>
      </c>
      <c r="G42" s="33"/>
      <c r="H42" s="24"/>
      <c r="I42" s="24"/>
      <c r="J42" s="24"/>
      <c r="K42" s="24"/>
      <c r="L42" s="24"/>
      <c r="M42" s="24"/>
    </row>
    <row r="43" spans="1:13" x14ac:dyDescent="0.2">
      <c r="A43" s="24"/>
      <c r="B43" s="24"/>
      <c r="C43" s="24"/>
      <c r="D43" s="24"/>
      <c r="E43" s="24"/>
      <c r="F43" s="24"/>
      <c r="G43" s="33"/>
      <c r="H43" s="24"/>
      <c r="I43" s="24"/>
      <c r="J43" s="24"/>
      <c r="K43" s="24"/>
      <c r="L43" s="24"/>
      <c r="M43" s="24"/>
    </row>
    <row r="44" spans="1:13" x14ac:dyDescent="0.2">
      <c r="A44" s="149" t="s">
        <v>44</v>
      </c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</row>
    <row r="45" spans="1:13" x14ac:dyDescent="0.2">
      <c r="A45" s="24"/>
      <c r="B45" s="24"/>
      <c r="C45" s="24"/>
      <c r="D45" s="24"/>
      <c r="E45" s="24"/>
      <c r="F45" s="24"/>
      <c r="G45" s="33"/>
      <c r="H45" s="24"/>
      <c r="I45" s="24"/>
      <c r="J45" s="24"/>
      <c r="K45" s="24"/>
      <c r="L45" s="24"/>
      <c r="M45" s="24"/>
    </row>
    <row r="46" spans="1:13" x14ac:dyDescent="0.2">
      <c r="A46" s="159" t="s">
        <v>45</v>
      </c>
      <c r="B46" s="102" t="s">
        <v>69</v>
      </c>
      <c r="C46" s="102" t="s">
        <v>47</v>
      </c>
      <c r="D46" s="24"/>
      <c r="E46" s="24"/>
      <c r="F46" s="24"/>
      <c r="G46" s="33"/>
      <c r="H46" s="24"/>
      <c r="I46" s="24"/>
      <c r="J46" s="24"/>
      <c r="K46" s="24"/>
      <c r="L46" s="24"/>
      <c r="M46" s="24"/>
    </row>
    <row r="47" spans="1:13" x14ac:dyDescent="0.2">
      <c r="A47" s="159"/>
      <c r="B47" s="30">
        <v>61678</v>
      </c>
      <c r="C47" s="31">
        <f>MROUND(B47*(1+0.12%),1)</f>
        <v>61752</v>
      </c>
      <c r="D47" s="24"/>
      <c r="E47" s="24"/>
      <c r="F47" s="24"/>
      <c r="G47" s="33"/>
      <c r="H47" s="24"/>
      <c r="I47" s="24"/>
      <c r="J47" s="24"/>
      <c r="K47" s="24"/>
      <c r="L47" s="24"/>
      <c r="M47" s="24"/>
    </row>
    <row r="48" spans="1:13" x14ac:dyDescent="0.2">
      <c r="A48" s="24"/>
      <c r="B48" s="24"/>
      <c r="C48" s="24"/>
      <c r="D48" s="24"/>
      <c r="E48" s="24"/>
      <c r="F48" s="24"/>
      <c r="G48" s="33"/>
      <c r="H48" s="24"/>
      <c r="I48" s="24"/>
      <c r="J48" s="24"/>
      <c r="K48" s="24"/>
      <c r="L48" s="24"/>
      <c r="M48" s="24"/>
    </row>
    <row r="49" spans="1:13" x14ac:dyDescent="0.2">
      <c r="A49" s="24"/>
      <c r="B49" s="24"/>
      <c r="C49" s="24"/>
      <c r="D49" s="24"/>
      <c r="E49" s="24"/>
      <c r="F49" s="24"/>
      <c r="G49" s="33"/>
      <c r="H49" s="24"/>
      <c r="I49" s="24"/>
      <c r="J49" s="24"/>
      <c r="K49" s="24"/>
      <c r="L49" s="24"/>
      <c r="M49" s="24"/>
    </row>
    <row r="50" spans="1:13" x14ac:dyDescent="0.2">
      <c r="A50" s="149" t="s">
        <v>48</v>
      </c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</row>
    <row r="51" spans="1:13" x14ac:dyDescent="0.2">
      <c r="A51" s="24"/>
      <c r="B51" s="24"/>
      <c r="C51" s="24"/>
      <c r="D51" s="24"/>
      <c r="E51" s="24"/>
      <c r="F51" s="24"/>
      <c r="G51" s="33"/>
      <c r="H51" s="24"/>
      <c r="I51" s="24"/>
      <c r="J51" s="24"/>
      <c r="K51" s="24"/>
      <c r="L51" s="24"/>
      <c r="M51" s="24"/>
    </row>
    <row r="52" spans="1:13" x14ac:dyDescent="0.2">
      <c r="A52" s="159" t="s">
        <v>76</v>
      </c>
      <c r="B52" s="100" t="s">
        <v>70</v>
      </c>
      <c r="C52" s="100" t="s">
        <v>50</v>
      </c>
      <c r="D52" s="101" t="s">
        <v>71</v>
      </c>
      <c r="E52" s="24"/>
      <c r="F52" s="24"/>
      <c r="G52" s="33"/>
      <c r="H52" s="24"/>
      <c r="I52" s="24"/>
      <c r="J52" s="24"/>
      <c r="K52" s="24"/>
      <c r="L52" s="24"/>
      <c r="M52" s="24"/>
    </row>
    <row r="53" spans="1:13" x14ac:dyDescent="0.2">
      <c r="A53" s="159"/>
      <c r="B53" s="27">
        <v>88355</v>
      </c>
      <c r="C53" s="27">
        <v>90937</v>
      </c>
      <c r="D53" s="28">
        <v>90937</v>
      </c>
      <c r="E53" s="24"/>
      <c r="F53" s="24"/>
      <c r="G53" s="33"/>
      <c r="H53" s="24"/>
      <c r="I53" s="24"/>
      <c r="J53" s="24"/>
      <c r="K53" s="24"/>
      <c r="L53" s="24"/>
      <c r="M53" s="24"/>
    </row>
    <row r="54" spans="1:13" x14ac:dyDescent="0.2">
      <c r="A54" s="24"/>
      <c r="B54" s="24"/>
      <c r="C54" s="24"/>
      <c r="D54" s="24"/>
      <c r="E54" s="24"/>
      <c r="F54" s="24"/>
      <c r="G54" s="33"/>
      <c r="H54" s="24"/>
      <c r="I54" s="24"/>
      <c r="J54" s="24"/>
      <c r="K54" s="24"/>
      <c r="L54" s="24"/>
      <c r="M54" s="24"/>
    </row>
    <row r="55" spans="1:13" x14ac:dyDescent="0.2">
      <c r="A55" s="24"/>
      <c r="B55" s="24"/>
      <c r="C55" s="24"/>
      <c r="D55" s="24"/>
      <c r="E55" s="24"/>
      <c r="F55" s="24"/>
      <c r="G55" s="33"/>
      <c r="H55" s="24"/>
      <c r="I55" s="24"/>
      <c r="J55" s="24"/>
      <c r="K55" s="24"/>
      <c r="L55" s="24"/>
      <c r="M55" s="24"/>
    </row>
    <row r="56" spans="1:13" x14ac:dyDescent="0.2">
      <c r="A56" s="15"/>
      <c r="B56" s="15"/>
      <c r="C56" s="15"/>
      <c r="D56" s="15"/>
      <c r="E56" s="49" t="s">
        <v>16</v>
      </c>
      <c r="F56" s="50" t="s">
        <v>17</v>
      </c>
      <c r="G56" s="15"/>
      <c r="H56" s="15"/>
      <c r="I56" s="24"/>
      <c r="J56" s="24"/>
      <c r="K56" s="24"/>
      <c r="L56" s="24"/>
      <c r="M56" s="24"/>
    </row>
    <row r="57" spans="1:13" x14ac:dyDescent="0.2">
      <c r="A57" s="98"/>
      <c r="B57" s="98" t="s">
        <v>18</v>
      </c>
      <c r="C57" s="98" t="s">
        <v>19</v>
      </c>
      <c r="D57" s="98" t="s">
        <v>20</v>
      </c>
      <c r="E57" s="107" t="s">
        <v>21</v>
      </c>
      <c r="F57" s="108" t="s">
        <v>22</v>
      </c>
      <c r="G57" s="41"/>
      <c r="H57" s="108" t="s">
        <v>65</v>
      </c>
      <c r="I57" s="24"/>
      <c r="J57" s="24"/>
      <c r="K57" s="24"/>
      <c r="L57" s="24"/>
      <c r="M57" s="24"/>
    </row>
    <row r="58" spans="1:13" x14ac:dyDescent="0.2">
      <c r="A58" s="22" t="s">
        <v>72</v>
      </c>
      <c r="B58" s="22">
        <f>MROUND(B53*(1-0.12%),1)</f>
        <v>88249</v>
      </c>
      <c r="C58" s="20"/>
      <c r="D58" s="22">
        <f>IF(H58="TGT","N.A.",MROUND(B58*(1-1.5%),1))</f>
        <v>86925</v>
      </c>
      <c r="E58" s="45">
        <f>IF(OR(G58="NO TGT",G58=""),MROUND(MIN((B58*(1+1.5%)),(C53*(1+0.12%))),1),"N.A.")</f>
        <v>89573</v>
      </c>
      <c r="F58" s="46">
        <f>MROUND(MIN((B58*(1+1.5%)),(D53*(1+0.12%))),1)</f>
        <v>89573</v>
      </c>
      <c r="G58" s="41"/>
      <c r="H58" s="44" t="s">
        <v>7</v>
      </c>
      <c r="I58" s="24"/>
      <c r="J58" s="24"/>
      <c r="K58" s="24"/>
      <c r="L58" s="24"/>
      <c r="M58" s="24"/>
    </row>
    <row r="59" spans="1:13" x14ac:dyDescent="0.2">
      <c r="A59" s="24"/>
      <c r="B59" s="24"/>
      <c r="C59" s="24"/>
      <c r="D59" s="24"/>
      <c r="E59" s="24"/>
      <c r="F59" s="24"/>
      <c r="G59" s="33"/>
      <c r="H59" s="24"/>
      <c r="I59" s="24"/>
      <c r="J59" s="24"/>
      <c r="K59" s="24"/>
      <c r="L59" s="24"/>
      <c r="M59" s="24"/>
    </row>
    <row r="60" spans="1:13" x14ac:dyDescent="0.2">
      <c r="A60" s="24"/>
      <c r="B60" s="24"/>
      <c r="C60" s="24"/>
      <c r="D60" s="24"/>
      <c r="E60" s="24"/>
      <c r="F60" s="24"/>
      <c r="G60" s="33"/>
      <c r="H60" s="24"/>
      <c r="I60" s="24"/>
      <c r="J60" s="24"/>
      <c r="K60" s="24"/>
      <c r="L60" s="24"/>
      <c r="M60" s="24"/>
    </row>
    <row r="61" spans="1:13" x14ac:dyDescent="0.2">
      <c r="A61" s="24"/>
      <c r="B61" s="24"/>
      <c r="C61" s="24"/>
      <c r="D61" s="24"/>
      <c r="E61" s="24"/>
      <c r="F61" s="24"/>
      <c r="G61" s="33"/>
      <c r="H61" s="24"/>
      <c r="I61" s="24"/>
      <c r="J61" s="24"/>
      <c r="K61" s="24"/>
      <c r="L61" s="24"/>
      <c r="M61" s="24"/>
    </row>
    <row r="62" spans="1:13" x14ac:dyDescent="0.2">
      <c r="A62" s="146" t="s">
        <v>30</v>
      </c>
      <c r="B62" s="147"/>
      <c r="C62" s="147"/>
      <c r="D62" s="147"/>
      <c r="E62" s="147"/>
      <c r="F62" s="148"/>
      <c r="G62" s="33"/>
      <c r="H62" s="24"/>
      <c r="I62" s="24"/>
      <c r="J62" s="24"/>
      <c r="K62" s="24"/>
      <c r="L62" s="24"/>
      <c r="M62" s="24"/>
    </row>
    <row r="63" spans="1:13" x14ac:dyDescent="0.2">
      <c r="A63" s="23" t="s">
        <v>31</v>
      </c>
      <c r="B63" s="23" t="s">
        <v>32</v>
      </c>
      <c r="C63" s="23" t="s">
        <v>33</v>
      </c>
      <c r="D63" s="23" t="s">
        <v>34</v>
      </c>
      <c r="E63" s="23" t="s">
        <v>35</v>
      </c>
      <c r="F63" s="23" t="s">
        <v>36</v>
      </c>
      <c r="G63" s="33"/>
      <c r="H63" s="24"/>
      <c r="I63" s="24"/>
      <c r="J63" s="24"/>
      <c r="K63" s="24"/>
      <c r="L63" s="24"/>
      <c r="M63" s="24"/>
    </row>
    <row r="64" spans="1:13" x14ac:dyDescent="0.2">
      <c r="A64" s="23" t="s">
        <v>37</v>
      </c>
      <c r="B64" s="23" t="str">
        <f>IF($H$58="NO Holdings","Yes","No")</f>
        <v>No</v>
      </c>
      <c r="C64" s="23" t="str">
        <f>IF($H$58="No Holdings","Sell Order","-")</f>
        <v>-</v>
      </c>
      <c r="D64" s="23" t="str">
        <f>IF($H$58="No Holdings",(I12*2),"-")</f>
        <v>-</v>
      </c>
      <c r="E64" s="23" t="str">
        <f>IF(F64="-","-",MROUND(F64*(1+1%),1))</f>
        <v>-</v>
      </c>
      <c r="F64" s="23" t="str">
        <f>IF($H$58="No Holdings",$B$58,"-")</f>
        <v>-</v>
      </c>
      <c r="G64" s="33"/>
      <c r="H64" s="24"/>
      <c r="I64" s="24"/>
      <c r="J64" s="24"/>
      <c r="K64" s="24"/>
      <c r="L64" s="24"/>
      <c r="M64" s="24"/>
    </row>
    <row r="65" spans="1:13" x14ac:dyDescent="0.2">
      <c r="A65" s="23" t="s">
        <v>20</v>
      </c>
      <c r="B65" s="23" t="str">
        <f>IF($H$58="Entry Trigger","Yes","No")</f>
        <v>No</v>
      </c>
      <c r="C65" s="23" t="str">
        <f>IF($H$58="Entry Trigger","Buy Order","-")</f>
        <v>-</v>
      </c>
      <c r="D65" s="23" t="str">
        <f>IF($H$58="Entry Trigger",I12,"-")</f>
        <v>-</v>
      </c>
      <c r="E65" s="23" t="str">
        <f>IF(F65="-","-","Use Limit")</f>
        <v>-</v>
      </c>
      <c r="F65" s="23" t="str">
        <f>IF(H58="Entry Trigger",IF(C58="",IF($H$58="Entry Trigger",$D$58,"-"),MROUND(C58*(1+1.25%),0.05)),"-")</f>
        <v>-</v>
      </c>
      <c r="G65" s="33"/>
      <c r="H65" s="24"/>
      <c r="I65" s="24"/>
      <c r="J65" s="24"/>
      <c r="K65" s="24"/>
      <c r="L65" s="24"/>
      <c r="M65" s="24"/>
    </row>
    <row r="66" spans="1:13" x14ac:dyDescent="0.2">
      <c r="A66" s="23" t="s">
        <v>38</v>
      </c>
      <c r="B66" s="23" t="str">
        <f>IF($H$58="Entry Trigger","Yes","No")</f>
        <v>No</v>
      </c>
      <c r="C66" s="23" t="str">
        <f>IF($H$58="Entry Trigger","Buy Order","-")</f>
        <v>-</v>
      </c>
      <c r="D66" s="23" t="str">
        <f>IF($H$58="Entry Trigger",(I12*2),"-")</f>
        <v>-</v>
      </c>
      <c r="E66" s="23" t="str">
        <f>IFERROR(IF(F66="-","-",MROUND(F66*(1+0.1%),1)),"NA")</f>
        <v>-</v>
      </c>
      <c r="F66" s="23" t="str">
        <f>IF($H$58="Entry Trigger",$E$58,"-")</f>
        <v>-</v>
      </c>
      <c r="G66" s="33"/>
      <c r="H66" s="24"/>
      <c r="I66" s="24"/>
      <c r="J66" s="24"/>
      <c r="K66" s="24"/>
      <c r="L66" s="24"/>
      <c r="M66" s="24"/>
    </row>
    <row r="67" spans="1:13" x14ac:dyDescent="0.2">
      <c r="A67" s="23" t="s">
        <v>39</v>
      </c>
      <c r="B67" s="23" t="str">
        <f>IF($H$58="Target Triggered","Yes","No")</f>
        <v>Yes</v>
      </c>
      <c r="C67" s="23" t="str">
        <f>IF($H$58="Target Triggered","Buy Order","-")</f>
        <v>Buy Order</v>
      </c>
      <c r="D67" s="23">
        <f>IF($H$58="Target Triggered",I12,"-")</f>
        <v>10</v>
      </c>
      <c r="E67" s="23">
        <f>IF(F67="-","-",(MROUND(F67*(1+0.1%),1)))</f>
        <v>89663</v>
      </c>
      <c r="F67" s="23">
        <f>IF($H$58="Target Triggered",$F$58,"-")</f>
        <v>89573</v>
      </c>
      <c r="G67" s="33"/>
      <c r="H67" s="24"/>
      <c r="I67" s="24"/>
      <c r="J67" s="24"/>
      <c r="K67" s="24"/>
      <c r="L67" s="24"/>
      <c r="M67" s="24"/>
    </row>
    <row r="68" spans="1:13" x14ac:dyDescent="0.2">
      <c r="A68" s="24"/>
      <c r="B68" s="24"/>
      <c r="C68" s="24"/>
      <c r="D68" s="24"/>
      <c r="E68" s="24"/>
      <c r="F68" s="24"/>
      <c r="G68" s="33"/>
      <c r="H68" s="24"/>
      <c r="I68" s="24"/>
      <c r="J68" s="24"/>
      <c r="K68" s="24"/>
      <c r="L68" s="24"/>
      <c r="M68" s="24"/>
    </row>
    <row r="69" spans="1:13" x14ac:dyDescent="0.2">
      <c r="A69" s="149" t="s">
        <v>51</v>
      </c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</row>
    <row r="70" spans="1:13" x14ac:dyDescent="0.2">
      <c r="A70" s="24"/>
      <c r="B70" s="24"/>
      <c r="C70" s="24"/>
      <c r="D70" s="24"/>
      <c r="E70" s="24"/>
      <c r="F70" s="24"/>
      <c r="G70" s="33"/>
      <c r="H70" s="24"/>
      <c r="I70" s="24"/>
      <c r="J70" s="24"/>
      <c r="K70" s="24"/>
      <c r="L70" s="24"/>
      <c r="M70" s="24"/>
    </row>
    <row r="71" spans="1:13" x14ac:dyDescent="0.2">
      <c r="A71" s="159" t="s">
        <v>52</v>
      </c>
      <c r="B71" s="102" t="s">
        <v>73</v>
      </c>
      <c r="C71" s="102" t="s">
        <v>47</v>
      </c>
      <c r="D71" s="24"/>
      <c r="E71" s="24"/>
      <c r="F71" s="24"/>
      <c r="G71" s="33"/>
      <c r="H71" s="24"/>
      <c r="I71" s="24"/>
      <c r="J71" s="24"/>
      <c r="K71" s="24"/>
      <c r="L71" s="24"/>
      <c r="M71" s="24"/>
    </row>
    <row r="72" spans="1:13" x14ac:dyDescent="0.2">
      <c r="A72" s="159"/>
      <c r="B72" s="30">
        <v>72685</v>
      </c>
      <c r="C72" s="31">
        <f>MROUND(B72*(1-0.12%),1)</f>
        <v>72598</v>
      </c>
      <c r="D72" s="24"/>
      <c r="E72" s="24"/>
      <c r="F72" s="24"/>
      <c r="G72" s="33"/>
      <c r="H72" s="24"/>
      <c r="I72" s="24"/>
      <c r="J72" s="24"/>
      <c r="K72" s="24"/>
      <c r="L72" s="24"/>
      <c r="M72" s="24"/>
    </row>
    <row r="75" spans="1:13" x14ac:dyDescent="0.2">
      <c r="B75" s="58"/>
      <c r="C75" s="58"/>
    </row>
    <row r="76" spans="1:13" x14ac:dyDescent="0.2">
      <c r="B76" s="58"/>
      <c r="C76" s="58"/>
    </row>
    <row r="77" spans="1:13" x14ac:dyDescent="0.2">
      <c r="B77" s="58"/>
      <c r="C77" s="58"/>
    </row>
    <row r="78" spans="1:13" x14ac:dyDescent="0.2">
      <c r="B78" s="58"/>
      <c r="C78" s="58"/>
    </row>
    <row r="79" spans="1:13" x14ac:dyDescent="0.2">
      <c r="A79" s="59"/>
      <c r="B79" s="60"/>
      <c r="C79" s="60"/>
      <c r="D79" s="59"/>
      <c r="E79" s="59"/>
    </row>
    <row r="80" spans="1:13" x14ac:dyDescent="0.2">
      <c r="A80" s="59"/>
      <c r="B80" s="60"/>
      <c r="C80" s="60"/>
      <c r="D80" s="59"/>
      <c r="E80" s="59"/>
    </row>
    <row r="81" spans="1:5" x14ac:dyDescent="0.2">
      <c r="A81" s="59"/>
      <c r="B81" s="60"/>
      <c r="C81" s="60"/>
      <c r="D81" s="59"/>
      <c r="E81" s="59"/>
    </row>
    <row r="82" spans="1:5" x14ac:dyDescent="0.2">
      <c r="A82" s="59"/>
      <c r="B82" s="59"/>
      <c r="C82" s="59"/>
      <c r="D82" s="59"/>
      <c r="E82" s="59"/>
    </row>
    <row r="83" spans="1:5" ht="19" x14ac:dyDescent="0.25">
      <c r="B83" s="52" t="s">
        <v>3</v>
      </c>
      <c r="C83" s="53"/>
      <c r="D83" s="53"/>
      <c r="E83" s="59"/>
    </row>
    <row r="84" spans="1:5" ht="19" x14ac:dyDescent="0.25">
      <c r="B84" s="54" t="s">
        <v>6</v>
      </c>
      <c r="E84" s="59"/>
    </row>
    <row r="85" spans="1:5" ht="19" x14ac:dyDescent="0.25">
      <c r="B85" s="54" t="s">
        <v>12</v>
      </c>
      <c r="C85" s="53"/>
      <c r="D85" s="53"/>
      <c r="E85" s="59"/>
    </row>
    <row r="86" spans="1:5" ht="19" x14ac:dyDescent="0.25">
      <c r="B86" s="54" t="s">
        <v>14</v>
      </c>
      <c r="C86" s="53"/>
      <c r="E86" s="59"/>
    </row>
  </sheetData>
  <sheetProtection algorithmName="SHA-512" hashValue="ujHsTYa7p3+PbuwGcNU64gloFOpNbxhMUA66eL8IQJDGPJk1gDQ0tx7GPwIrpA2wMIi1FjUoyGMgAc8P2eW/SQ==" saltValue="3PgG7d+2+y2LRhNgv+b87w==" spinCount="100000" sheet="1" objects="1" scenarios="1"/>
  <mergeCells count="15">
    <mergeCell ref="A69:M69"/>
    <mergeCell ref="A27:A28"/>
    <mergeCell ref="A46:A47"/>
    <mergeCell ref="A52:A53"/>
    <mergeCell ref="A71:A72"/>
    <mergeCell ref="A25:M25"/>
    <mergeCell ref="A37:F37"/>
    <mergeCell ref="A44:M44"/>
    <mergeCell ref="A50:M50"/>
    <mergeCell ref="A62:F62"/>
    <mergeCell ref="A1:M1"/>
    <mergeCell ref="A3:B3"/>
    <mergeCell ref="C3:E3"/>
    <mergeCell ref="A17:F17"/>
    <mergeCell ref="H17:M17"/>
  </mergeCells>
  <dataValidations count="2">
    <dataValidation type="list" allowBlank="1" showInputMessage="1" showErrorMessage="1" sqref="G33 G58 G12:G13" xr:uid="{00000000-0002-0000-0300-000000000000}">
      <formula1>$O$1:$O$3</formula1>
    </dataValidation>
    <dataValidation type="list" allowBlank="1" showInputMessage="1" showErrorMessage="1" sqref="H33 H58 H12:H13" xr:uid="{00000000-0002-0000-0300-000001000000}">
      <formula1>$P$1:$P$3</formula1>
    </dataValidation>
  </dataValidations>
  <pageMargins left="0.69930555555555596" right="0.69930555555555596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6"/>
  <sheetViews>
    <sheetView tabSelected="1" zoomScale="135" zoomScaleNormal="170" workbookViewId="0">
      <selection activeCell="E9" sqref="E9"/>
    </sheetView>
  </sheetViews>
  <sheetFormatPr baseColWidth="10" defaultColWidth="9" defaultRowHeight="16" x14ac:dyDescent="0.2"/>
  <cols>
    <col min="1" max="1" width="14.83203125" customWidth="1"/>
    <col min="2" max="2" width="12.33203125" customWidth="1"/>
    <col min="3" max="3" width="12.1640625" customWidth="1"/>
    <col min="4" max="4" width="12.5" customWidth="1"/>
    <col min="5" max="5" width="12.6640625" customWidth="1"/>
    <col min="6" max="7" width="13.5" customWidth="1"/>
    <col min="8" max="8" width="18.83203125" customWidth="1"/>
    <col min="9" max="9" width="12" customWidth="1"/>
    <col min="10" max="11" width="12.1640625" customWidth="1"/>
    <col min="12" max="12" width="12" customWidth="1"/>
    <col min="13" max="13" width="13.5" customWidth="1"/>
    <col min="15" max="15" width="10.33203125" customWidth="1"/>
    <col min="16" max="16" width="13.83203125" hidden="1" customWidth="1"/>
  </cols>
  <sheetData>
    <row r="1" spans="1:16" x14ac:dyDescent="0.2">
      <c r="A1" s="155" t="s">
        <v>77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P1" t="s">
        <v>2</v>
      </c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t="s">
        <v>4</v>
      </c>
    </row>
    <row r="3" spans="1:16" x14ac:dyDescent="0.2">
      <c r="A3" s="156" t="s">
        <v>59</v>
      </c>
      <c r="B3" s="157"/>
      <c r="C3" s="158"/>
      <c r="D3" s="158"/>
      <c r="E3" s="158"/>
      <c r="F3" s="15"/>
      <c r="G3" s="15"/>
      <c r="H3" s="15"/>
      <c r="I3" s="15"/>
      <c r="J3" s="15"/>
      <c r="K3" s="15"/>
      <c r="L3" s="15"/>
      <c r="M3" s="2"/>
      <c r="P3" t="s">
        <v>7</v>
      </c>
    </row>
    <row r="4" spans="1:16" ht="19" x14ac:dyDescent="0.25">
      <c r="A4" s="3"/>
      <c r="B4" s="4"/>
      <c r="C4" s="94"/>
      <c r="D4" s="94"/>
      <c r="E4" s="94"/>
      <c r="F4" s="15"/>
      <c r="G4" s="15"/>
      <c r="H4" s="15"/>
      <c r="I4" s="33"/>
      <c r="J4" s="51"/>
      <c r="K4" s="52" t="s">
        <v>3</v>
      </c>
      <c r="L4" s="53"/>
      <c r="M4" s="2"/>
    </row>
    <row r="5" spans="1:16" ht="19" x14ac:dyDescent="0.25">
      <c r="A5" s="7" t="s">
        <v>5</v>
      </c>
      <c r="B5" s="9"/>
      <c r="C5" s="9"/>
      <c r="D5" s="83"/>
      <c r="E5" s="8"/>
      <c r="F5" s="15"/>
      <c r="G5" s="15"/>
      <c r="H5" s="15"/>
      <c r="I5" s="33"/>
      <c r="J5" s="51"/>
      <c r="K5" s="54" t="s">
        <v>6</v>
      </c>
      <c r="M5" s="2"/>
    </row>
    <row r="6" spans="1:16" ht="19" x14ac:dyDescent="0.25">
      <c r="A6" s="95" t="s">
        <v>96</v>
      </c>
      <c r="B6" s="96" t="s">
        <v>9</v>
      </c>
      <c r="C6" s="96" t="s">
        <v>10</v>
      </c>
      <c r="D6" s="96" t="s">
        <v>61</v>
      </c>
      <c r="E6" s="95" t="s">
        <v>62</v>
      </c>
      <c r="F6" s="103" t="s">
        <v>63</v>
      </c>
      <c r="G6" s="104" t="s">
        <v>64</v>
      </c>
      <c r="H6" s="15"/>
      <c r="I6" s="33"/>
      <c r="J6" s="51"/>
      <c r="K6" s="54" t="s">
        <v>12</v>
      </c>
      <c r="L6" s="53"/>
      <c r="M6" s="2"/>
    </row>
    <row r="7" spans="1:16" ht="19" x14ac:dyDescent="0.25">
      <c r="A7" s="12" t="s">
        <v>13</v>
      </c>
      <c r="B7" s="138">
        <v>152800</v>
      </c>
      <c r="C7" s="138">
        <v>155323</v>
      </c>
      <c r="D7" s="138">
        <v>155404</v>
      </c>
      <c r="E7" s="138">
        <v>155200</v>
      </c>
      <c r="F7" s="12">
        <f>MAX(B7:E7)</f>
        <v>155404</v>
      </c>
      <c r="G7" s="91">
        <f>MAX(D7:E7)</f>
        <v>155404</v>
      </c>
      <c r="H7" s="15"/>
      <c r="I7" s="33"/>
      <c r="J7" s="51"/>
      <c r="K7" s="54" t="s">
        <v>14</v>
      </c>
      <c r="L7" s="53"/>
      <c r="M7" s="2"/>
    </row>
    <row r="8" spans="1:16" x14ac:dyDescent="0.2">
      <c r="A8" s="12" t="s">
        <v>15</v>
      </c>
      <c r="B8" s="138">
        <v>151807</v>
      </c>
      <c r="C8" s="138">
        <v>153177</v>
      </c>
      <c r="D8" s="138">
        <v>154050</v>
      </c>
      <c r="E8" s="138">
        <v>153450</v>
      </c>
      <c r="F8" s="12">
        <f>MIN(B8:E8)</f>
        <v>151807</v>
      </c>
      <c r="G8" s="91">
        <f>MIN(D8:E8)</f>
        <v>153450</v>
      </c>
      <c r="H8" s="15"/>
      <c r="I8" s="15"/>
      <c r="J8" s="15"/>
      <c r="K8" s="15"/>
      <c r="L8" s="15"/>
      <c r="M8" s="2"/>
    </row>
    <row r="9" spans="1:16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2"/>
    </row>
    <row r="10" spans="1:16" x14ac:dyDescent="0.2">
      <c r="A10" s="15"/>
      <c r="B10" s="15"/>
      <c r="C10" s="15"/>
      <c r="D10" s="15"/>
      <c r="E10" s="105" t="s">
        <v>16</v>
      </c>
      <c r="F10" s="106" t="s">
        <v>17</v>
      </c>
      <c r="G10" s="15"/>
      <c r="H10" s="15"/>
      <c r="I10" s="15"/>
      <c r="J10" s="15"/>
      <c r="K10" s="15"/>
      <c r="L10" s="15"/>
      <c r="M10" s="2"/>
    </row>
    <row r="11" spans="1:16" x14ac:dyDescent="0.2">
      <c r="A11" s="98"/>
      <c r="B11" s="98" t="s">
        <v>18</v>
      </c>
      <c r="C11" s="98" t="s">
        <v>19</v>
      </c>
      <c r="D11" s="98" t="s">
        <v>20</v>
      </c>
      <c r="E11" s="107" t="s">
        <v>21</v>
      </c>
      <c r="F11" s="108" t="s">
        <v>22</v>
      </c>
      <c r="G11" s="41"/>
      <c r="H11" s="108" t="s">
        <v>65</v>
      </c>
      <c r="I11" s="109" t="s">
        <v>26</v>
      </c>
      <c r="J11" s="56"/>
      <c r="K11" s="15"/>
      <c r="L11" s="15"/>
      <c r="M11" s="2"/>
    </row>
    <row r="12" spans="1:16" x14ac:dyDescent="0.2">
      <c r="A12" s="19" t="s">
        <v>27</v>
      </c>
      <c r="B12" s="19">
        <f>MROUND(F7*(1+0.12%),1)</f>
        <v>155590</v>
      </c>
      <c r="C12" s="20"/>
      <c r="D12" s="19">
        <f>IF(H12="TGT","N.A.",MROUND(B12*(1+1.5%),1))</f>
        <v>157924</v>
      </c>
      <c r="E12" s="42">
        <f>IF(OR(G12="NO TGT",G12=""),MROUND(MAX((B12*(1-1.5%)),(G8*(1-0.12%))),1),"N.A.")</f>
        <v>153266</v>
      </c>
      <c r="F12" s="43">
        <f>MROUND(MAX((B12*(1-1.5%)),(F8*(1-0.12%))),1)</f>
        <v>153256</v>
      </c>
      <c r="G12" s="41"/>
      <c r="H12" s="44" t="s">
        <v>2</v>
      </c>
      <c r="I12" s="30">
        <v>1</v>
      </c>
      <c r="J12" s="56"/>
      <c r="K12" s="15"/>
      <c r="L12" s="15"/>
      <c r="M12" s="2"/>
    </row>
    <row r="13" spans="1:16" x14ac:dyDescent="0.2">
      <c r="A13" s="22" t="s">
        <v>28</v>
      </c>
      <c r="B13" s="22">
        <f>MROUND(F8*(1-0.12%),1)</f>
        <v>151625</v>
      </c>
      <c r="C13" s="20"/>
      <c r="D13" s="22">
        <f>IF(H13="TGT","N.A.",MROUND(B13*(1-1.5%),1))</f>
        <v>149351</v>
      </c>
      <c r="E13" s="45">
        <f>IF(OR(G13="NO TGT",G13=""),MROUND(MIN((B13*(1+1.5%)),(G7*(1+0.12%))),1),"N.A.")</f>
        <v>153899</v>
      </c>
      <c r="F13" s="46">
        <f>MROUND(MIN((B13*(1+1.5%)),(F7*(1+0.12%))),1)</f>
        <v>153899</v>
      </c>
      <c r="G13" s="41"/>
      <c r="H13" s="44" t="s">
        <v>2</v>
      </c>
      <c r="I13" s="56"/>
      <c r="J13" s="56"/>
      <c r="K13" s="15"/>
      <c r="L13" s="15"/>
      <c r="M13" s="2"/>
    </row>
    <row r="14" spans="1:1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143" t="s">
        <v>29</v>
      </c>
      <c r="B17" s="144"/>
      <c r="C17" s="144"/>
      <c r="D17" s="144"/>
      <c r="E17" s="144"/>
      <c r="F17" s="145"/>
      <c r="G17" s="33"/>
      <c r="H17" s="146" t="s">
        <v>30</v>
      </c>
      <c r="I17" s="147"/>
      <c r="J17" s="147"/>
      <c r="K17" s="147"/>
      <c r="L17" s="147"/>
      <c r="M17" s="148"/>
    </row>
    <row r="18" spans="1:13" x14ac:dyDescent="0.2">
      <c r="A18" s="23" t="s">
        <v>31</v>
      </c>
      <c r="B18" s="23" t="s">
        <v>32</v>
      </c>
      <c r="C18" s="23" t="s">
        <v>33</v>
      </c>
      <c r="D18" s="23" t="s">
        <v>34</v>
      </c>
      <c r="E18" s="23" t="s">
        <v>35</v>
      </c>
      <c r="F18" s="23" t="s">
        <v>36</v>
      </c>
      <c r="G18" s="33"/>
      <c r="H18" s="23" t="s">
        <v>31</v>
      </c>
      <c r="I18" s="23" t="s">
        <v>32</v>
      </c>
      <c r="J18" s="23" t="s">
        <v>33</v>
      </c>
      <c r="K18" s="23" t="s">
        <v>34</v>
      </c>
      <c r="L18" s="23" t="s">
        <v>35</v>
      </c>
      <c r="M18" s="23" t="s">
        <v>36</v>
      </c>
    </row>
    <row r="19" spans="1:13" x14ac:dyDescent="0.2">
      <c r="A19" s="23" t="s">
        <v>37</v>
      </c>
      <c r="B19" s="23" t="str">
        <f>IF($H$12="NO Holdings","Yes","No")</f>
        <v>Yes</v>
      </c>
      <c r="C19" s="23" t="str">
        <f>IF($H$12="No Holdings","Buy Order","-")</f>
        <v>Buy Order</v>
      </c>
      <c r="D19" s="23">
        <f>IF($H$12="No Holdings",(I12*2),"-")</f>
        <v>2</v>
      </c>
      <c r="E19" s="23">
        <f>IF(F19="-","-",MROUND(F19*(1+0.1%),1))</f>
        <v>155746</v>
      </c>
      <c r="F19" s="23">
        <f>IF($H$12="No Holdings",$B$12,"-")</f>
        <v>155590</v>
      </c>
      <c r="G19" s="33"/>
      <c r="H19" s="23" t="s">
        <v>37</v>
      </c>
      <c r="I19" s="23" t="str">
        <f>IF($H$13="NO Holdings","Yes","No")</f>
        <v>Yes</v>
      </c>
      <c r="J19" s="23" t="str">
        <f>IF($H$13="No Holdings","Sell Order","-")</f>
        <v>Sell Order</v>
      </c>
      <c r="K19" s="23">
        <f>IF($H$13="No Holdings",(I12*2),"-")</f>
        <v>2</v>
      </c>
      <c r="L19" s="23">
        <f>IF(M19="-","-",MROUND(M19*(1-0.1%),1))</f>
        <v>151473</v>
      </c>
      <c r="M19" s="23">
        <f>IF($H$13="No Holdings",$B$13,"-")</f>
        <v>151625</v>
      </c>
    </row>
    <row r="20" spans="1:13" x14ac:dyDescent="0.2">
      <c r="A20" s="23" t="s">
        <v>20</v>
      </c>
      <c r="B20" s="23" t="str">
        <f>IF($H$12="Entry Trigger","Yes","No")</f>
        <v>No</v>
      </c>
      <c r="C20" s="23" t="str">
        <f>IF($H$12="Entry Trigger","Sell Order","-")</f>
        <v>-</v>
      </c>
      <c r="D20" s="23" t="str">
        <f>IF($H$12="Entry Trigger",I12,"-")</f>
        <v>-</v>
      </c>
      <c r="E20" s="23" t="str">
        <f>IF(F20="-","-","Use Limit")</f>
        <v>-</v>
      </c>
      <c r="F20" s="23" t="str">
        <f>IF(H12="Entry Trigger",IF(C12="",IF($H$12="Entry Trigger",$D$12,"-"),MROUND(C12*(1+1.25%),0.05)),"-")</f>
        <v>-</v>
      </c>
      <c r="G20" s="33"/>
      <c r="H20" s="23" t="s">
        <v>20</v>
      </c>
      <c r="I20" s="23" t="str">
        <f>IF($H$13="Entry Trigger","Yes","No")</f>
        <v>No</v>
      </c>
      <c r="J20" s="23" t="str">
        <f>IF($H$13="Entry Trigger","Buy Order","-")</f>
        <v>-</v>
      </c>
      <c r="K20" s="23" t="str">
        <f>IF($H$13="Entry Trigger",I12,"-")</f>
        <v>-</v>
      </c>
      <c r="L20" s="23" t="str">
        <f>IF(M20="-","-","Use Limit")</f>
        <v>-</v>
      </c>
      <c r="M20" s="23" t="str">
        <f>IF(H13="Entry Trigger",IF(C13="",IF($H$13="Entry Trigger",$D$13,"-"),MROUND(C13*(1-1.25%),0.05)),"-")</f>
        <v>-</v>
      </c>
    </row>
    <row r="21" spans="1:13" x14ac:dyDescent="0.2">
      <c r="A21" s="23" t="s">
        <v>38</v>
      </c>
      <c r="B21" s="23" t="str">
        <f>IF($H$12="Entry Trigger","Yes","No")</f>
        <v>No</v>
      </c>
      <c r="C21" s="23" t="str">
        <f>IF($H$12="Entry Trigger","Sell Order","-")</f>
        <v>-</v>
      </c>
      <c r="D21" s="23" t="str">
        <f>IF($H$12="Entry Trigger",(I12*2),"-")</f>
        <v>-</v>
      </c>
      <c r="E21" s="23" t="str">
        <f>IFERROR(IF(F21="-","-",MROUND(F21*(1-0.1%),1)),"NA")</f>
        <v>-</v>
      </c>
      <c r="F21" s="23" t="str">
        <f>IF($H$12="Entry Trigger",$E$12,"-")</f>
        <v>-</v>
      </c>
      <c r="G21" s="33"/>
      <c r="H21" s="23" t="s">
        <v>38</v>
      </c>
      <c r="I21" s="23" t="str">
        <f>IF($H$13="Entry Trigger","Yes","No")</f>
        <v>No</v>
      </c>
      <c r="J21" s="23" t="str">
        <f>IF($H$13="Entry Trigger","Buy Order","-")</f>
        <v>-</v>
      </c>
      <c r="K21" s="23" t="str">
        <f>IF($H$13="Entry Trigger",(I12*2),"-")</f>
        <v>-</v>
      </c>
      <c r="L21" s="23" t="str">
        <f>IFERROR(IF(M21="-","-",MROUND(M21*(1+0.1%),1)),"NA")</f>
        <v>-</v>
      </c>
      <c r="M21" s="23" t="str">
        <f>IF($H$13="Entry Trigger",$E$13,"-")</f>
        <v>-</v>
      </c>
    </row>
    <row r="22" spans="1:13" x14ac:dyDescent="0.2">
      <c r="A22" s="23" t="s">
        <v>39</v>
      </c>
      <c r="B22" s="23" t="str">
        <f>IF($H$12="Target Triggered","Yes","No")</f>
        <v>No</v>
      </c>
      <c r="C22" s="23" t="str">
        <f>IF($H$12="Target Triggered","Sell Order","-")</f>
        <v>-</v>
      </c>
      <c r="D22" s="23" t="str">
        <f>IF($H$12="Target Triggered",I12,"-")</f>
        <v>-</v>
      </c>
      <c r="E22" s="23" t="str">
        <f>IF(F22="-","-",MROUND(F22*(1-0.1%),1))</f>
        <v>-</v>
      </c>
      <c r="F22" s="23" t="str">
        <f>IF($H$12="Target Triggered",$F$12,"-")</f>
        <v>-</v>
      </c>
      <c r="G22" s="33"/>
      <c r="H22" s="23" t="s">
        <v>39</v>
      </c>
      <c r="I22" s="23" t="str">
        <f>IF($H$13="Target Triggered","Yes","No")</f>
        <v>No</v>
      </c>
      <c r="J22" s="23" t="str">
        <f>IF($H$13="Target Triggered","Buy Order","-")</f>
        <v>-</v>
      </c>
      <c r="K22" s="23" t="str">
        <f>IF($H$13="Target Triggered",I12,"-")</f>
        <v>-</v>
      </c>
      <c r="L22" s="23" t="str">
        <f>IF(M22="-","-",MROUND(M22*(1+0.1%),1))</f>
        <v>-</v>
      </c>
      <c r="M22" s="23" t="str">
        <f>IF($H$13="Target Triggered",$F$13,"-")</f>
        <v>-</v>
      </c>
    </row>
    <row r="23" spans="1:13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149" t="s">
        <v>40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</row>
    <row r="26" spans="1:13" x14ac:dyDescent="0.2">
      <c r="A26" s="24"/>
      <c r="B26" s="24"/>
      <c r="C26" s="24"/>
      <c r="D26" s="24"/>
      <c r="E26" s="24"/>
      <c r="F26" s="24"/>
      <c r="G26" s="33"/>
      <c r="H26" s="24"/>
      <c r="I26" s="24"/>
      <c r="J26" s="24"/>
      <c r="K26" s="24"/>
      <c r="L26" s="24"/>
      <c r="M26" s="24"/>
    </row>
    <row r="27" spans="1:13" x14ac:dyDescent="0.2">
      <c r="A27" s="159" t="s">
        <v>97</v>
      </c>
      <c r="B27" s="100" t="s">
        <v>67</v>
      </c>
      <c r="C27" s="100" t="s">
        <v>43</v>
      </c>
      <c r="D27" s="101" t="s">
        <v>68</v>
      </c>
      <c r="E27" s="24"/>
      <c r="F27" s="24"/>
      <c r="G27" s="33"/>
      <c r="H27" s="24"/>
      <c r="I27" s="24"/>
      <c r="J27" s="24"/>
      <c r="K27" s="24"/>
      <c r="L27" s="24"/>
      <c r="M27" s="24"/>
    </row>
    <row r="28" spans="1:13" x14ac:dyDescent="0.2">
      <c r="A28" s="159"/>
      <c r="B28" s="27">
        <v>154332</v>
      </c>
      <c r="C28" s="27">
        <v>150058</v>
      </c>
      <c r="D28" s="28">
        <v>149285</v>
      </c>
      <c r="E28" s="24"/>
      <c r="F28" s="24"/>
      <c r="G28" s="33"/>
      <c r="H28" s="24"/>
      <c r="I28" s="24"/>
      <c r="J28" s="24"/>
      <c r="K28" s="24"/>
      <c r="L28" s="24"/>
      <c r="M28" s="24"/>
    </row>
    <row r="29" spans="1:13" x14ac:dyDescent="0.2">
      <c r="A29" s="24"/>
      <c r="B29" s="24"/>
      <c r="C29" s="24"/>
      <c r="D29" s="24"/>
      <c r="E29" s="24"/>
      <c r="F29" s="24"/>
      <c r="G29" s="33"/>
      <c r="H29" s="24"/>
      <c r="I29" s="24"/>
      <c r="J29" s="24"/>
      <c r="K29" s="24"/>
      <c r="L29" s="24"/>
      <c r="M29" s="24"/>
    </row>
    <row r="30" spans="1:13" x14ac:dyDescent="0.2">
      <c r="A30" s="24"/>
      <c r="B30" s="24"/>
      <c r="C30" s="24"/>
      <c r="D30" s="24"/>
      <c r="E30" s="24"/>
      <c r="F30" s="24"/>
      <c r="G30" s="33"/>
      <c r="H30" s="24"/>
      <c r="I30" s="24"/>
      <c r="J30" s="24"/>
      <c r="K30" s="24"/>
      <c r="L30" s="24"/>
      <c r="M30" s="24"/>
    </row>
    <row r="31" spans="1:13" x14ac:dyDescent="0.2">
      <c r="A31" s="15"/>
      <c r="B31" s="15"/>
      <c r="C31" s="15"/>
      <c r="D31" s="15"/>
      <c r="E31" s="49" t="s">
        <v>16</v>
      </c>
      <c r="F31" s="50" t="s">
        <v>17</v>
      </c>
      <c r="G31" s="15"/>
      <c r="H31" s="15"/>
      <c r="I31" s="24"/>
      <c r="J31" s="24"/>
      <c r="K31" s="24"/>
      <c r="L31" s="24"/>
      <c r="M31" s="24"/>
    </row>
    <row r="32" spans="1:13" x14ac:dyDescent="0.2">
      <c r="A32" s="98"/>
      <c r="B32" s="98" t="s">
        <v>18</v>
      </c>
      <c r="C32" s="98" t="s">
        <v>19</v>
      </c>
      <c r="D32" s="98" t="s">
        <v>20</v>
      </c>
      <c r="E32" s="107" t="s">
        <v>21</v>
      </c>
      <c r="F32" s="108" t="s">
        <v>22</v>
      </c>
      <c r="G32" s="41"/>
      <c r="H32" s="108" t="s">
        <v>65</v>
      </c>
      <c r="I32" s="24"/>
      <c r="J32" s="24"/>
      <c r="K32" s="24"/>
      <c r="L32" s="24"/>
      <c r="M32" s="24"/>
    </row>
    <row r="33" spans="1:13" x14ac:dyDescent="0.2">
      <c r="A33" s="19" t="s">
        <v>27</v>
      </c>
      <c r="B33" s="19">
        <f>MROUND(B28*(1+0.12%),1)</f>
        <v>154517</v>
      </c>
      <c r="C33" s="20"/>
      <c r="D33" s="19">
        <f>IF(H33="TGT","N.A.",MROUND(B33*(1+1.5%),1))</f>
        <v>156835</v>
      </c>
      <c r="E33" s="42">
        <f>IF(OR(G33="NO TGT",G33=""),MROUND(MAX((B33*(1-1.5%)),(C28*(1-0.12%))),1),"N.A.")</f>
        <v>152199</v>
      </c>
      <c r="F33" s="43">
        <f>MROUND(MAX((B33*(1-1.5%)),(D28*(1-0.12%))),1)</f>
        <v>152199</v>
      </c>
      <c r="G33" s="41"/>
      <c r="H33" s="44" t="s">
        <v>7</v>
      </c>
      <c r="I33" s="24"/>
      <c r="J33" s="24"/>
      <c r="K33" s="24"/>
      <c r="L33" s="24"/>
      <c r="M33" s="24"/>
    </row>
    <row r="34" spans="1:13" x14ac:dyDescent="0.2">
      <c r="A34" s="24"/>
      <c r="B34" s="24"/>
      <c r="C34" s="24"/>
      <c r="D34" s="24"/>
      <c r="E34" s="24"/>
      <c r="F34" s="24"/>
      <c r="G34" s="33"/>
      <c r="H34" s="24"/>
      <c r="I34" s="24"/>
      <c r="J34" s="24"/>
      <c r="K34" s="24"/>
      <c r="L34" s="24"/>
      <c r="M34" s="24"/>
    </row>
    <row r="35" spans="1:13" x14ac:dyDescent="0.2">
      <c r="A35" s="24"/>
      <c r="B35" s="24"/>
      <c r="C35" s="24"/>
      <c r="D35" s="24"/>
      <c r="E35" s="24"/>
      <c r="F35" s="24"/>
      <c r="G35" s="33"/>
      <c r="H35" s="24"/>
      <c r="I35" s="24"/>
      <c r="J35" s="24"/>
      <c r="K35" s="24"/>
      <c r="L35" s="24"/>
      <c r="M35" s="24"/>
    </row>
    <row r="36" spans="1:13" x14ac:dyDescent="0.2">
      <c r="A36" s="24"/>
      <c r="B36" s="24"/>
      <c r="C36" s="24"/>
      <c r="D36" s="24"/>
      <c r="E36" s="24"/>
      <c r="F36" s="24"/>
      <c r="G36" s="33"/>
      <c r="H36" s="24"/>
      <c r="I36" s="24"/>
      <c r="J36" s="24"/>
      <c r="K36" s="24"/>
      <c r="L36" s="24"/>
      <c r="M36" s="24"/>
    </row>
    <row r="37" spans="1:13" x14ac:dyDescent="0.2">
      <c r="A37" s="143" t="s">
        <v>29</v>
      </c>
      <c r="B37" s="144"/>
      <c r="C37" s="144"/>
      <c r="D37" s="144"/>
      <c r="E37" s="144"/>
      <c r="F37" s="145"/>
      <c r="G37" s="33"/>
      <c r="H37" s="24"/>
      <c r="I37" s="24"/>
      <c r="J37" s="24"/>
      <c r="K37" s="24"/>
      <c r="L37" s="24"/>
      <c r="M37" s="24"/>
    </row>
    <row r="38" spans="1:13" x14ac:dyDescent="0.2">
      <c r="A38" s="23" t="s">
        <v>31</v>
      </c>
      <c r="B38" s="23" t="s">
        <v>32</v>
      </c>
      <c r="C38" s="23" t="s">
        <v>33</v>
      </c>
      <c r="D38" s="23" t="s">
        <v>34</v>
      </c>
      <c r="E38" s="23" t="s">
        <v>35</v>
      </c>
      <c r="F38" s="23" t="s">
        <v>36</v>
      </c>
      <c r="G38" s="33"/>
      <c r="H38" s="24"/>
      <c r="I38" s="24"/>
      <c r="J38" s="24"/>
      <c r="K38" s="24"/>
      <c r="L38" s="24"/>
      <c r="M38" s="24"/>
    </row>
    <row r="39" spans="1:13" x14ac:dyDescent="0.2">
      <c r="A39" s="23" t="s">
        <v>37</v>
      </c>
      <c r="B39" s="23" t="str">
        <f>IF($H$33="NO Holdings","Yes","No")</f>
        <v>No</v>
      </c>
      <c r="C39" s="23" t="str">
        <f>IF($H$33="No Holdings","Buy Order","-")</f>
        <v>-</v>
      </c>
      <c r="D39" s="23" t="str">
        <f>IF($H$33="No Holdings",(I12*2),"-")</f>
        <v>-</v>
      </c>
      <c r="E39" s="23" t="str">
        <f>IF(F39="-","-",MROUND(F39*(1+0.1%),1))</f>
        <v>-</v>
      </c>
      <c r="F39" s="23" t="str">
        <f>IF($H$33="No Holdings",$B$33,"-")</f>
        <v>-</v>
      </c>
      <c r="G39" s="33"/>
      <c r="H39" s="24"/>
      <c r="I39" s="24"/>
      <c r="J39" s="24"/>
      <c r="K39" s="24"/>
      <c r="L39" s="24"/>
      <c r="M39" s="24"/>
    </row>
    <row r="40" spans="1:13" x14ac:dyDescent="0.2">
      <c r="A40" s="23" t="s">
        <v>20</v>
      </c>
      <c r="B40" s="23" t="str">
        <f>IF($H$33="Entry Trigger","Yes","No")</f>
        <v>No</v>
      </c>
      <c r="C40" s="23" t="str">
        <f>IF($H$33="Entry Trigger","Sell Order","-")</f>
        <v>-</v>
      </c>
      <c r="D40" s="23" t="str">
        <f>IF($H$33="Entry Trigger",I12,"-")</f>
        <v>-</v>
      </c>
      <c r="E40" s="23" t="str">
        <f>IF(F40="-","-","Use Limit")</f>
        <v>-</v>
      </c>
      <c r="F40" s="23" t="str">
        <f>IF(H33="Entry Trigger",IF(C33="",IF($H$33="Entry Trigger",$D$33,"-"),MROUND(C33*(1+1.25%),0.05)),"-")</f>
        <v>-</v>
      </c>
      <c r="G40" s="33"/>
      <c r="H40" s="24"/>
      <c r="I40" s="24"/>
      <c r="J40" s="24"/>
      <c r="K40" s="24"/>
      <c r="L40" s="24"/>
      <c r="M40" s="24"/>
    </row>
    <row r="41" spans="1:13" x14ac:dyDescent="0.2">
      <c r="A41" s="23" t="s">
        <v>38</v>
      </c>
      <c r="B41" s="23" t="str">
        <f>IF($H$33="Entry Trigger","Yes","No")</f>
        <v>No</v>
      </c>
      <c r="C41" s="23" t="str">
        <f>IF($H$33="Entry Trigger","Sell Order","-")</f>
        <v>-</v>
      </c>
      <c r="D41" s="23" t="str">
        <f>IF($H$33="Entry Trigger",(I12*2),"-")</f>
        <v>-</v>
      </c>
      <c r="E41" s="23" t="str">
        <f>IFERROR(IF(F41="-","-",MROUND(F41*(1-1%),1)),"NA")</f>
        <v>-</v>
      </c>
      <c r="F41" s="23" t="str">
        <f>IF($H$33="Entry Trigger",$E$33,"-")</f>
        <v>-</v>
      </c>
      <c r="G41" s="33"/>
      <c r="H41" s="24"/>
      <c r="I41" s="24"/>
      <c r="J41" s="24"/>
      <c r="K41" s="24"/>
      <c r="L41" s="24"/>
      <c r="M41" s="24"/>
    </row>
    <row r="42" spans="1:13" x14ac:dyDescent="0.2">
      <c r="A42" s="23" t="s">
        <v>39</v>
      </c>
      <c r="B42" s="23" t="str">
        <f>IF($H$33="Target Triggered","Yes","No")</f>
        <v>Yes</v>
      </c>
      <c r="C42" s="23" t="str">
        <f>IF($H$33="Target Triggered","Sell Order","-")</f>
        <v>Sell Order</v>
      </c>
      <c r="D42" s="23">
        <f>IF($H$33="Target Triggered",I12,"-")</f>
        <v>1</v>
      </c>
      <c r="E42" s="23">
        <f>IF(F42="-","-",MROUND(F42*(1-0.1%),1))</f>
        <v>152047</v>
      </c>
      <c r="F42" s="23">
        <f>IF($H$33="Target Triggered",$F$33,"-")</f>
        <v>152199</v>
      </c>
      <c r="G42" s="33"/>
      <c r="H42" s="24"/>
      <c r="I42" s="24"/>
      <c r="J42" s="24"/>
      <c r="K42" s="24"/>
      <c r="L42" s="24"/>
      <c r="M42" s="24"/>
    </row>
    <row r="43" spans="1:13" x14ac:dyDescent="0.2">
      <c r="A43" s="24"/>
      <c r="B43" s="24"/>
      <c r="C43" s="24"/>
      <c r="D43" s="24"/>
      <c r="E43" s="24"/>
      <c r="F43" s="24"/>
      <c r="G43" s="33"/>
      <c r="H43" s="24"/>
      <c r="I43" s="24"/>
      <c r="J43" s="24"/>
      <c r="K43" s="24"/>
      <c r="L43" s="24"/>
      <c r="M43" s="24"/>
    </row>
    <row r="44" spans="1:13" x14ac:dyDescent="0.2">
      <c r="A44" s="149" t="s">
        <v>44</v>
      </c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</row>
    <row r="45" spans="1:13" x14ac:dyDescent="0.2">
      <c r="A45" s="24"/>
      <c r="B45" s="24"/>
      <c r="C45" s="24"/>
      <c r="D45" s="24"/>
      <c r="E45" s="24"/>
      <c r="F45" s="24"/>
      <c r="G45" s="33"/>
      <c r="H45" s="24"/>
      <c r="I45" s="24"/>
      <c r="J45" s="24"/>
      <c r="K45" s="24"/>
      <c r="L45" s="24"/>
      <c r="M45" s="24"/>
    </row>
    <row r="46" spans="1:13" x14ac:dyDescent="0.2">
      <c r="A46" s="159" t="s">
        <v>45</v>
      </c>
      <c r="B46" s="102" t="s">
        <v>69</v>
      </c>
      <c r="C46" s="102" t="s">
        <v>47</v>
      </c>
      <c r="D46" s="24"/>
      <c r="E46" s="24"/>
      <c r="F46" s="24"/>
      <c r="G46" s="33"/>
      <c r="H46" s="24"/>
      <c r="I46" s="24"/>
      <c r="J46" s="24"/>
      <c r="K46" s="24"/>
      <c r="L46" s="24"/>
      <c r="M46" s="24"/>
    </row>
    <row r="47" spans="1:13" x14ac:dyDescent="0.2">
      <c r="A47" s="159"/>
      <c r="B47" s="30">
        <v>61678</v>
      </c>
      <c r="C47" s="31">
        <f>MROUND(B47*(1+0.12%),1)</f>
        <v>61752</v>
      </c>
      <c r="D47" s="24"/>
      <c r="E47" s="24"/>
      <c r="F47" s="24"/>
      <c r="G47" s="33"/>
      <c r="H47" s="24"/>
      <c r="I47" s="24"/>
      <c r="J47" s="24"/>
      <c r="K47" s="24"/>
      <c r="L47" s="24"/>
      <c r="M47" s="24"/>
    </row>
    <row r="48" spans="1:13" x14ac:dyDescent="0.2">
      <c r="A48" s="24"/>
      <c r="B48" s="24"/>
      <c r="C48" s="24"/>
      <c r="D48" s="24"/>
      <c r="E48" s="24"/>
      <c r="F48" s="24"/>
      <c r="G48" s="33"/>
      <c r="H48" s="24"/>
      <c r="I48" s="24"/>
      <c r="J48" s="24"/>
      <c r="K48" s="24"/>
      <c r="L48" s="24"/>
      <c r="M48" s="24"/>
    </row>
    <row r="49" spans="1:13" x14ac:dyDescent="0.2">
      <c r="A49" s="24"/>
      <c r="B49" s="24"/>
      <c r="C49" s="24"/>
      <c r="D49" s="24"/>
      <c r="E49" s="24"/>
      <c r="F49" s="24"/>
      <c r="G49" s="33"/>
      <c r="H49" s="24"/>
      <c r="I49" s="24"/>
      <c r="J49" s="24"/>
      <c r="K49" s="24"/>
      <c r="L49" s="24"/>
      <c r="M49" s="24"/>
    </row>
    <row r="50" spans="1:13" x14ac:dyDescent="0.2">
      <c r="A50" s="149" t="s">
        <v>48</v>
      </c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</row>
    <row r="51" spans="1:13" x14ac:dyDescent="0.2">
      <c r="A51" s="24"/>
      <c r="B51" s="24"/>
      <c r="C51" s="24"/>
      <c r="D51" s="24"/>
      <c r="E51" s="24"/>
      <c r="F51" s="24"/>
      <c r="G51" s="33"/>
      <c r="H51" s="24"/>
      <c r="I51" s="24"/>
      <c r="J51" s="24"/>
      <c r="K51" s="24"/>
      <c r="L51" s="24"/>
      <c r="M51" s="24"/>
    </row>
    <row r="52" spans="1:13" x14ac:dyDescent="0.2">
      <c r="A52" s="159" t="s">
        <v>97</v>
      </c>
      <c r="B52" s="100" t="s">
        <v>70</v>
      </c>
      <c r="C52" s="100" t="s">
        <v>50</v>
      </c>
      <c r="D52" s="101" t="s">
        <v>71</v>
      </c>
      <c r="E52" s="24"/>
      <c r="F52" s="24"/>
      <c r="G52" s="33"/>
      <c r="H52" s="24"/>
      <c r="I52" s="24"/>
      <c r="J52" s="24"/>
      <c r="K52" s="24"/>
      <c r="L52" s="24"/>
      <c r="M52" s="24"/>
    </row>
    <row r="53" spans="1:13" x14ac:dyDescent="0.2">
      <c r="A53" s="159"/>
      <c r="B53" s="27">
        <v>88355</v>
      </c>
      <c r="C53" s="27">
        <v>90937</v>
      </c>
      <c r="D53" s="28">
        <v>90937</v>
      </c>
      <c r="E53" s="24"/>
      <c r="F53" s="24"/>
      <c r="G53" s="33"/>
      <c r="H53" s="24"/>
      <c r="I53" s="24"/>
      <c r="J53" s="24"/>
      <c r="K53" s="24"/>
      <c r="L53" s="24"/>
      <c r="M53" s="24"/>
    </row>
    <row r="54" spans="1:13" x14ac:dyDescent="0.2">
      <c r="A54" s="24"/>
      <c r="B54" s="24"/>
      <c r="C54" s="24"/>
      <c r="D54" s="24"/>
      <c r="E54" s="24"/>
      <c r="F54" s="24"/>
      <c r="G54" s="33"/>
      <c r="H54" s="24"/>
      <c r="I54" s="24"/>
      <c r="J54" s="24"/>
      <c r="K54" s="24"/>
      <c r="L54" s="24"/>
      <c r="M54" s="24"/>
    </row>
    <row r="55" spans="1:13" x14ac:dyDescent="0.2">
      <c r="A55" s="24"/>
      <c r="B55" s="24"/>
      <c r="C55" s="24"/>
      <c r="D55" s="24"/>
      <c r="E55" s="24"/>
      <c r="F55" s="24"/>
      <c r="G55" s="33"/>
      <c r="H55" s="24"/>
      <c r="I55" s="24"/>
      <c r="J55" s="24"/>
      <c r="K55" s="24"/>
      <c r="L55" s="24"/>
      <c r="M55" s="24"/>
    </row>
    <row r="56" spans="1:13" x14ac:dyDescent="0.2">
      <c r="A56" s="15"/>
      <c r="B56" s="15"/>
      <c r="C56" s="15"/>
      <c r="D56" s="15"/>
      <c r="E56" s="49" t="s">
        <v>16</v>
      </c>
      <c r="F56" s="50" t="s">
        <v>17</v>
      </c>
      <c r="G56" s="15"/>
      <c r="H56" s="15"/>
      <c r="I56" s="24"/>
      <c r="J56" s="24"/>
      <c r="K56" s="24"/>
      <c r="L56" s="24"/>
      <c r="M56" s="24"/>
    </row>
    <row r="57" spans="1:13" x14ac:dyDescent="0.2">
      <c r="A57" s="98"/>
      <c r="B57" s="98" t="s">
        <v>18</v>
      </c>
      <c r="C57" s="98" t="s">
        <v>19</v>
      </c>
      <c r="D57" s="98" t="s">
        <v>20</v>
      </c>
      <c r="E57" s="107" t="s">
        <v>21</v>
      </c>
      <c r="F57" s="108" t="s">
        <v>22</v>
      </c>
      <c r="G57" s="41"/>
      <c r="H57" s="108" t="s">
        <v>65</v>
      </c>
      <c r="I57" s="24"/>
      <c r="J57" s="24"/>
      <c r="K57" s="24"/>
      <c r="L57" s="24"/>
      <c r="M57" s="24"/>
    </row>
    <row r="58" spans="1:13" x14ac:dyDescent="0.2">
      <c r="A58" s="22" t="s">
        <v>72</v>
      </c>
      <c r="B58" s="22">
        <f>MROUND(B53*(1-0.12%),1)</f>
        <v>88249</v>
      </c>
      <c r="C58" s="20"/>
      <c r="D58" s="22">
        <f>IF(H58="TGT","N.A.",MROUND(B58*(1-1.5%),1))</f>
        <v>86925</v>
      </c>
      <c r="E58" s="45">
        <f>IF(OR(G58="NO TGT",G58=""),MROUND(MIN((B58*(1+1.5%)),(C53*(1+0.12%))),1),"N.A.")</f>
        <v>89573</v>
      </c>
      <c r="F58" s="46">
        <f>MROUND(MIN((B58*(1+1.5%)),(D53*(1+0.12%))),1)</f>
        <v>89573</v>
      </c>
      <c r="G58" s="41"/>
      <c r="H58" s="44" t="s">
        <v>7</v>
      </c>
      <c r="I58" s="24"/>
      <c r="J58" s="24"/>
      <c r="K58" s="24"/>
      <c r="L58" s="24"/>
      <c r="M58" s="24"/>
    </row>
    <row r="59" spans="1:13" x14ac:dyDescent="0.2">
      <c r="A59" s="24"/>
      <c r="B59" s="24"/>
      <c r="C59" s="24"/>
      <c r="D59" s="24"/>
      <c r="E59" s="24"/>
      <c r="F59" s="24"/>
      <c r="G59" s="33"/>
      <c r="H59" s="24"/>
      <c r="I59" s="24"/>
      <c r="J59" s="24"/>
      <c r="K59" s="24"/>
      <c r="L59" s="24"/>
      <c r="M59" s="24"/>
    </row>
    <row r="60" spans="1:13" x14ac:dyDescent="0.2">
      <c r="A60" s="24"/>
      <c r="B60" s="24"/>
      <c r="C60" s="24"/>
      <c r="D60" s="24"/>
      <c r="E60" s="24"/>
      <c r="F60" s="24"/>
      <c r="G60" s="33"/>
      <c r="H60" s="24"/>
      <c r="I60" s="24"/>
      <c r="J60" s="24"/>
      <c r="K60" s="24"/>
      <c r="L60" s="24"/>
      <c r="M60" s="24"/>
    </row>
    <row r="61" spans="1:13" x14ac:dyDescent="0.2">
      <c r="A61" s="24"/>
      <c r="B61" s="24"/>
      <c r="C61" s="24"/>
      <c r="D61" s="24"/>
      <c r="E61" s="24"/>
      <c r="F61" s="24"/>
      <c r="G61" s="33"/>
      <c r="H61" s="24"/>
      <c r="I61" s="24"/>
      <c r="J61" s="24"/>
      <c r="K61" s="24"/>
      <c r="L61" s="24"/>
      <c r="M61" s="24"/>
    </row>
    <row r="62" spans="1:13" x14ac:dyDescent="0.2">
      <c r="A62" s="146" t="s">
        <v>30</v>
      </c>
      <c r="B62" s="147"/>
      <c r="C62" s="147"/>
      <c r="D62" s="147"/>
      <c r="E62" s="147"/>
      <c r="F62" s="148"/>
      <c r="G62" s="33"/>
      <c r="H62" s="24"/>
      <c r="I62" s="24"/>
      <c r="J62" s="24"/>
      <c r="K62" s="24"/>
      <c r="L62" s="24"/>
      <c r="M62" s="24"/>
    </row>
    <row r="63" spans="1:13" x14ac:dyDescent="0.2">
      <c r="A63" s="23" t="s">
        <v>31</v>
      </c>
      <c r="B63" s="23" t="s">
        <v>32</v>
      </c>
      <c r="C63" s="23" t="s">
        <v>33</v>
      </c>
      <c r="D63" s="23" t="s">
        <v>34</v>
      </c>
      <c r="E63" s="23" t="s">
        <v>35</v>
      </c>
      <c r="F63" s="23" t="s">
        <v>36</v>
      </c>
      <c r="G63" s="33"/>
      <c r="H63" s="24"/>
      <c r="I63" s="24"/>
      <c r="J63" s="24"/>
      <c r="K63" s="24"/>
      <c r="L63" s="24"/>
      <c r="M63" s="24"/>
    </row>
    <row r="64" spans="1:13" x14ac:dyDescent="0.2">
      <c r="A64" s="23" t="s">
        <v>37</v>
      </c>
      <c r="B64" s="23" t="str">
        <f>IF($H$58="NO Holdings","Yes","No")</f>
        <v>No</v>
      </c>
      <c r="C64" s="23" t="str">
        <f>IF($H$58="No Holdings","Sell Order","-")</f>
        <v>-</v>
      </c>
      <c r="D64" s="23" t="str">
        <f>IF($H$58="No Holdings",(I12*2),"-")</f>
        <v>-</v>
      </c>
      <c r="E64" s="23" t="str">
        <f>IF(F64="-","-",MROUND(F64*(1+1%),1))</f>
        <v>-</v>
      </c>
      <c r="F64" s="23" t="str">
        <f>IF($H$58="No Holdings",$B$58,"-")</f>
        <v>-</v>
      </c>
      <c r="G64" s="33"/>
      <c r="H64" s="24"/>
      <c r="I64" s="24"/>
      <c r="J64" s="24"/>
      <c r="K64" s="24"/>
      <c r="L64" s="24"/>
      <c r="M64" s="24"/>
    </row>
    <row r="65" spans="1:13" x14ac:dyDescent="0.2">
      <c r="A65" s="23" t="s">
        <v>20</v>
      </c>
      <c r="B65" s="23" t="str">
        <f>IF($H$58="Entry Trigger","Yes","No")</f>
        <v>No</v>
      </c>
      <c r="C65" s="23" t="str">
        <f>IF($H$58="Entry Trigger","Buy Order","-")</f>
        <v>-</v>
      </c>
      <c r="D65" s="23" t="str">
        <f>IF($H$58="Entry Trigger",I12,"-")</f>
        <v>-</v>
      </c>
      <c r="E65" s="23" t="str">
        <f>IF(F65="-","-","Use Limit")</f>
        <v>-</v>
      </c>
      <c r="F65" s="23" t="str">
        <f>IF(H58="Entry Trigger",IF(C58="",IF($H$58="Entry Trigger",$D$58,"-"),MROUND(C58*(1+1.25%),0.05)),"-")</f>
        <v>-</v>
      </c>
      <c r="G65" s="33"/>
      <c r="H65" s="24"/>
      <c r="I65" s="24"/>
      <c r="J65" s="24"/>
      <c r="K65" s="24"/>
      <c r="L65" s="24"/>
      <c r="M65" s="24"/>
    </row>
    <row r="66" spans="1:13" x14ac:dyDescent="0.2">
      <c r="A66" s="23" t="s">
        <v>38</v>
      </c>
      <c r="B66" s="23" t="str">
        <f>IF($H$58="Entry Trigger","Yes","No")</f>
        <v>No</v>
      </c>
      <c r="C66" s="23" t="str">
        <f>IF($H$58="Entry Trigger","Buy Order","-")</f>
        <v>-</v>
      </c>
      <c r="D66" s="23" t="str">
        <f>IF($H$58="Entry Trigger",(I12*2),"-")</f>
        <v>-</v>
      </c>
      <c r="E66" s="23" t="str">
        <f>IFERROR(IF(F66="-","-",MROUND(F66*(1+0.1%),1)),"NA")</f>
        <v>-</v>
      </c>
      <c r="F66" s="23" t="str">
        <f>IF($H$58="Entry Trigger",$E$58,"-")</f>
        <v>-</v>
      </c>
      <c r="G66" s="33"/>
      <c r="H66" s="24"/>
      <c r="I66" s="24"/>
      <c r="J66" s="24"/>
      <c r="K66" s="24"/>
      <c r="L66" s="24"/>
      <c r="M66" s="24"/>
    </row>
    <row r="67" spans="1:13" x14ac:dyDescent="0.2">
      <c r="A67" s="23" t="s">
        <v>39</v>
      </c>
      <c r="B67" s="23" t="str">
        <f>IF($H$58="Target Triggered","Yes","No")</f>
        <v>Yes</v>
      </c>
      <c r="C67" s="23" t="str">
        <f>IF($H$58="Target Triggered","Buy Order","-")</f>
        <v>Buy Order</v>
      </c>
      <c r="D67" s="23">
        <f>IF($H$58="Target Triggered",I12,"-")</f>
        <v>1</v>
      </c>
      <c r="E67" s="23">
        <f>IF(F67="-","-",(MROUND(F67*(1+0.1%),1)))</f>
        <v>89663</v>
      </c>
      <c r="F67" s="23">
        <f>IF($H$58="Target Triggered",$F$58,"-")</f>
        <v>89573</v>
      </c>
      <c r="G67" s="33"/>
      <c r="H67" s="24"/>
      <c r="I67" s="24"/>
      <c r="J67" s="24"/>
      <c r="K67" s="24"/>
      <c r="L67" s="24"/>
      <c r="M67" s="24"/>
    </row>
    <row r="68" spans="1:13" x14ac:dyDescent="0.2">
      <c r="A68" s="24"/>
      <c r="B68" s="24"/>
      <c r="C68" s="24"/>
      <c r="D68" s="24"/>
      <c r="E68" s="24"/>
      <c r="F68" s="24"/>
      <c r="G68" s="33"/>
      <c r="H68" s="24"/>
      <c r="I68" s="24"/>
      <c r="J68" s="24"/>
      <c r="K68" s="24"/>
      <c r="L68" s="24"/>
      <c r="M68" s="24"/>
    </row>
    <row r="69" spans="1:13" x14ac:dyDescent="0.2">
      <c r="A69" s="149" t="s">
        <v>51</v>
      </c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</row>
    <row r="70" spans="1:13" x14ac:dyDescent="0.2">
      <c r="A70" s="24"/>
      <c r="B70" s="24"/>
      <c r="C70" s="24"/>
      <c r="D70" s="24"/>
      <c r="E70" s="24"/>
      <c r="F70" s="24"/>
      <c r="G70" s="33"/>
      <c r="H70" s="24"/>
      <c r="I70" s="24"/>
      <c r="J70" s="24"/>
      <c r="K70" s="24"/>
      <c r="L70" s="24"/>
      <c r="M70" s="24"/>
    </row>
    <row r="71" spans="1:13" x14ac:dyDescent="0.2">
      <c r="A71" s="159" t="s">
        <v>52</v>
      </c>
      <c r="B71" s="102" t="s">
        <v>73</v>
      </c>
      <c r="C71" s="102" t="s">
        <v>47</v>
      </c>
      <c r="D71" s="24"/>
      <c r="E71" s="24"/>
      <c r="F71" s="24"/>
      <c r="G71" s="33"/>
      <c r="H71" s="24"/>
      <c r="I71" s="24"/>
      <c r="J71" s="24"/>
      <c r="K71" s="24"/>
      <c r="L71" s="24"/>
      <c r="M71" s="24"/>
    </row>
    <row r="72" spans="1:13" x14ac:dyDescent="0.2">
      <c r="A72" s="159"/>
      <c r="B72" s="30">
        <v>72685</v>
      </c>
      <c r="C72" s="31">
        <f>MROUND(B72*(1-0.12%),1)</f>
        <v>72598</v>
      </c>
      <c r="D72" s="24"/>
      <c r="E72" s="24"/>
      <c r="F72" s="24"/>
      <c r="G72" s="33"/>
      <c r="H72" s="24"/>
      <c r="I72" s="24"/>
      <c r="J72" s="24"/>
      <c r="K72" s="24"/>
      <c r="L72" s="24"/>
      <c r="M72" s="24"/>
    </row>
    <row r="75" spans="1:13" x14ac:dyDescent="0.2">
      <c r="B75" s="58"/>
      <c r="C75" s="58"/>
    </row>
    <row r="76" spans="1:13" x14ac:dyDescent="0.2">
      <c r="B76" s="58"/>
      <c r="C76" s="58"/>
    </row>
    <row r="77" spans="1:13" x14ac:dyDescent="0.2">
      <c r="B77" s="58"/>
      <c r="C77" s="58"/>
    </row>
    <row r="78" spans="1:13" x14ac:dyDescent="0.2">
      <c r="B78" s="58"/>
      <c r="C78" s="58"/>
    </row>
    <row r="79" spans="1:13" x14ac:dyDescent="0.2">
      <c r="A79" s="59"/>
      <c r="B79" s="60"/>
      <c r="C79" s="60"/>
      <c r="D79" s="59"/>
      <c r="E79" s="59"/>
    </row>
    <row r="80" spans="1:13" x14ac:dyDescent="0.2">
      <c r="A80" s="59"/>
      <c r="B80" s="60"/>
      <c r="C80" s="60"/>
      <c r="D80" s="59"/>
      <c r="E80" s="59"/>
    </row>
    <row r="81" spans="1:5" x14ac:dyDescent="0.2">
      <c r="A81" s="59"/>
      <c r="B81" s="60"/>
      <c r="C81" s="60"/>
      <c r="D81" s="59"/>
      <c r="E81" s="59"/>
    </row>
    <row r="82" spans="1:5" x14ac:dyDescent="0.2">
      <c r="A82" s="59"/>
      <c r="B82" s="59"/>
      <c r="C82" s="59"/>
      <c r="D82" s="59"/>
      <c r="E82" s="59"/>
    </row>
    <row r="83" spans="1:5" ht="19" x14ac:dyDescent="0.25">
      <c r="B83" s="52" t="s">
        <v>3</v>
      </c>
      <c r="C83" s="53"/>
      <c r="D83" s="53"/>
      <c r="E83" s="59"/>
    </row>
    <row r="84" spans="1:5" ht="19" x14ac:dyDescent="0.25">
      <c r="B84" s="54" t="s">
        <v>6</v>
      </c>
      <c r="E84" s="59"/>
    </row>
    <row r="85" spans="1:5" ht="19" x14ac:dyDescent="0.25">
      <c r="B85" s="54" t="s">
        <v>12</v>
      </c>
      <c r="C85" s="53"/>
      <c r="D85" s="53"/>
      <c r="E85" s="59"/>
    </row>
    <row r="86" spans="1:5" ht="19" x14ac:dyDescent="0.25">
      <c r="B86" s="54" t="s">
        <v>14</v>
      </c>
      <c r="C86" s="53"/>
      <c r="E86" s="59"/>
    </row>
  </sheetData>
  <sheetProtection algorithmName="SHA-512" hashValue="d4/+CBNA+8E40CNvBmtjpeuZraJny1M/XrkHgfUSGevi6MTedwkFcQ9iuI8AbYz6lSLSMOxFM4Ku9QDnzy5xTA==" saltValue="1j4lo8VLf5Wg8GhunlDlxQ==" spinCount="100000" sheet="1" objects="1" scenarios="1"/>
  <mergeCells count="15">
    <mergeCell ref="A69:M69"/>
    <mergeCell ref="A27:A28"/>
    <mergeCell ref="A46:A47"/>
    <mergeCell ref="A52:A53"/>
    <mergeCell ref="A71:A72"/>
    <mergeCell ref="A25:M25"/>
    <mergeCell ref="A37:F37"/>
    <mergeCell ref="A44:M44"/>
    <mergeCell ref="A50:M50"/>
    <mergeCell ref="A62:F62"/>
    <mergeCell ref="A1:M1"/>
    <mergeCell ref="A3:B3"/>
    <mergeCell ref="C3:E3"/>
    <mergeCell ref="A17:F17"/>
    <mergeCell ref="H17:M17"/>
  </mergeCells>
  <dataValidations count="2">
    <dataValidation type="list" allowBlank="1" showInputMessage="1" showErrorMessage="1" sqref="G33 G58 G12:G13" xr:uid="{00000000-0002-0000-0400-000000000000}">
      <formula1>$O$1:$O$3</formula1>
    </dataValidation>
    <dataValidation type="list" allowBlank="1" showInputMessage="1" showErrorMessage="1" sqref="H33 H58 H12:H13" xr:uid="{00000000-0002-0000-0400-000001000000}">
      <formula1>$P$1:$P$3</formula1>
    </dataValidation>
  </dataValidations>
  <pageMargins left="0.69930555555555596" right="0.69930555555555596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6"/>
  <sheetViews>
    <sheetView zoomScale="140" zoomScaleNormal="140" workbookViewId="0">
      <selection activeCell="H4" sqref="H4"/>
    </sheetView>
  </sheetViews>
  <sheetFormatPr baseColWidth="10" defaultColWidth="9" defaultRowHeight="16" x14ac:dyDescent="0.2"/>
  <cols>
    <col min="1" max="1" width="14.83203125" customWidth="1"/>
    <col min="2" max="2" width="12.33203125" customWidth="1"/>
    <col min="3" max="3" width="12.1640625" customWidth="1"/>
    <col min="4" max="4" width="12.5" customWidth="1"/>
    <col min="5" max="5" width="12.6640625" customWidth="1"/>
    <col min="6" max="7" width="13.5" customWidth="1"/>
    <col min="8" max="8" width="18.83203125" customWidth="1"/>
    <col min="9" max="9" width="12" customWidth="1"/>
    <col min="10" max="11" width="12.1640625" customWidth="1"/>
    <col min="12" max="12" width="12" customWidth="1"/>
    <col min="13" max="13" width="13.5" customWidth="1"/>
    <col min="15" max="15" width="10.33203125" customWidth="1"/>
    <col min="16" max="16" width="13.83203125" hidden="1" customWidth="1"/>
  </cols>
  <sheetData>
    <row r="1" spans="1:16" x14ac:dyDescent="0.2">
      <c r="A1" s="155" t="s">
        <v>78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P1" t="s">
        <v>2</v>
      </c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t="s">
        <v>4</v>
      </c>
    </row>
    <row r="3" spans="1:16" x14ac:dyDescent="0.2">
      <c r="A3" s="156" t="s">
        <v>59</v>
      </c>
      <c r="B3" s="157"/>
      <c r="C3" s="158">
        <v>46020</v>
      </c>
      <c r="D3" s="158"/>
      <c r="E3" s="158"/>
      <c r="F3" s="15"/>
      <c r="G3" s="15"/>
      <c r="H3" s="15"/>
      <c r="I3" s="15"/>
      <c r="J3" s="15"/>
      <c r="K3" s="15"/>
      <c r="L3" s="15"/>
      <c r="M3" s="2"/>
      <c r="P3" t="s">
        <v>7</v>
      </c>
    </row>
    <row r="4" spans="1:16" ht="19" x14ac:dyDescent="0.25">
      <c r="A4" s="3"/>
      <c r="B4" s="4"/>
      <c r="C4" s="94"/>
      <c r="D4" s="94"/>
      <c r="E4" s="94"/>
      <c r="F4" s="15"/>
      <c r="G4" s="15"/>
      <c r="H4" s="15"/>
      <c r="I4" s="33"/>
      <c r="J4" s="51"/>
      <c r="K4" s="52" t="s">
        <v>3</v>
      </c>
      <c r="L4" s="53"/>
      <c r="M4" s="2"/>
    </row>
    <row r="5" spans="1:16" ht="19" x14ac:dyDescent="0.25">
      <c r="A5" s="7" t="s">
        <v>5</v>
      </c>
      <c r="B5" s="9">
        <v>46013</v>
      </c>
      <c r="C5" s="9">
        <v>46014</v>
      </c>
      <c r="D5" s="83">
        <v>46015</v>
      </c>
      <c r="E5" s="8">
        <v>46017</v>
      </c>
      <c r="F5" s="15"/>
      <c r="G5" s="15"/>
      <c r="H5" s="15"/>
      <c r="I5" s="33"/>
      <c r="J5" s="51"/>
      <c r="K5" s="54" t="s">
        <v>6</v>
      </c>
      <c r="M5" s="2"/>
    </row>
    <row r="6" spans="1:16" ht="19" x14ac:dyDescent="0.25">
      <c r="A6" s="95" t="s">
        <v>79</v>
      </c>
      <c r="B6" s="96" t="s">
        <v>9</v>
      </c>
      <c r="C6" s="96" t="s">
        <v>10</v>
      </c>
      <c r="D6" s="96" t="s">
        <v>61</v>
      </c>
      <c r="E6" s="95" t="s">
        <v>62</v>
      </c>
      <c r="F6" s="103" t="s">
        <v>63</v>
      </c>
      <c r="G6" s="104" t="s">
        <v>64</v>
      </c>
      <c r="H6" s="15"/>
      <c r="I6" s="33"/>
      <c r="J6" s="51"/>
      <c r="K6" s="54" t="s">
        <v>12</v>
      </c>
      <c r="L6" s="53"/>
      <c r="M6" s="2"/>
    </row>
    <row r="7" spans="1:16" ht="19" x14ac:dyDescent="0.25">
      <c r="A7" s="12" t="s">
        <v>13</v>
      </c>
      <c r="B7" s="13">
        <v>214583</v>
      </c>
      <c r="C7" s="14">
        <v>220490</v>
      </c>
      <c r="D7" s="14">
        <v>224430</v>
      </c>
      <c r="E7" s="97">
        <v>242000</v>
      </c>
      <c r="F7" s="12">
        <f>MAX(B7:E7)</f>
        <v>242000</v>
      </c>
      <c r="G7" s="91">
        <f>MAX(D7:E7)</f>
        <v>242000</v>
      </c>
      <c r="H7" s="15"/>
      <c r="I7" s="33"/>
      <c r="J7" s="51"/>
      <c r="K7" s="54" t="s">
        <v>14</v>
      </c>
      <c r="L7" s="53"/>
      <c r="M7" s="2"/>
    </row>
    <row r="8" spans="1:16" x14ac:dyDescent="0.2">
      <c r="A8" s="12" t="s">
        <v>15</v>
      </c>
      <c r="B8" s="13">
        <v>209475</v>
      </c>
      <c r="C8" s="14">
        <v>213662</v>
      </c>
      <c r="D8" s="14">
        <v>218500</v>
      </c>
      <c r="E8" s="97">
        <v>224374</v>
      </c>
      <c r="F8" s="12">
        <f>MIN(B8:E8)</f>
        <v>209475</v>
      </c>
      <c r="G8" s="91">
        <f>MIN(D8:E8)</f>
        <v>218500</v>
      </c>
      <c r="H8" s="15"/>
      <c r="I8" s="15"/>
      <c r="J8" s="15"/>
      <c r="K8" s="15"/>
      <c r="L8" s="15"/>
      <c r="M8" s="2"/>
    </row>
    <row r="9" spans="1:16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2"/>
    </row>
    <row r="10" spans="1:16" x14ac:dyDescent="0.2">
      <c r="A10" s="15"/>
      <c r="B10" s="15"/>
      <c r="C10" s="15"/>
      <c r="D10" s="15"/>
      <c r="E10" s="105" t="s">
        <v>16</v>
      </c>
      <c r="F10" s="106" t="s">
        <v>17</v>
      </c>
      <c r="G10" s="15"/>
      <c r="H10" s="15"/>
      <c r="I10" s="15"/>
      <c r="J10" s="15"/>
      <c r="K10" s="15"/>
      <c r="L10" s="15"/>
      <c r="M10" s="2"/>
    </row>
    <row r="11" spans="1:16" x14ac:dyDescent="0.2">
      <c r="A11" s="98"/>
      <c r="B11" s="98" t="s">
        <v>18</v>
      </c>
      <c r="C11" s="98" t="s">
        <v>19</v>
      </c>
      <c r="D11" s="98" t="s">
        <v>20</v>
      </c>
      <c r="E11" s="107" t="s">
        <v>21</v>
      </c>
      <c r="F11" s="108" t="s">
        <v>22</v>
      </c>
      <c r="G11" s="41"/>
      <c r="H11" s="108" t="s">
        <v>65</v>
      </c>
      <c r="I11" s="109" t="s">
        <v>26</v>
      </c>
      <c r="J11" s="56"/>
      <c r="K11" s="15"/>
      <c r="L11" s="15"/>
      <c r="M11" s="2"/>
    </row>
    <row r="12" spans="1:16" x14ac:dyDescent="0.2">
      <c r="A12" s="19" t="s">
        <v>27</v>
      </c>
      <c r="B12" s="19">
        <f>MROUND(F7*(1+0.12%),1)</f>
        <v>242290</v>
      </c>
      <c r="C12" s="20"/>
      <c r="D12" s="19">
        <f>IF(H12="TGT","N.A.",MROUND(B12*(1+2%),1))</f>
        <v>247136</v>
      </c>
      <c r="E12" s="42">
        <f>IF(OR(G12="NO TGT",G12=""),MROUND(MAX((B12*(1-2%)),(G8*(1-0.12%))),1),"N.A.")</f>
        <v>237444</v>
      </c>
      <c r="F12" s="43">
        <f>MROUND(MAX((B12*(1-2%)),(F8*(1-0.12%))),1)</f>
        <v>237444</v>
      </c>
      <c r="G12" s="41"/>
      <c r="H12" s="44" t="s">
        <v>2</v>
      </c>
      <c r="I12" s="30">
        <v>30</v>
      </c>
      <c r="J12" s="56"/>
      <c r="K12" s="15"/>
      <c r="L12" s="15"/>
      <c r="M12" s="2"/>
    </row>
    <row r="13" spans="1:16" x14ac:dyDescent="0.2">
      <c r="A13" s="22" t="s">
        <v>28</v>
      </c>
      <c r="B13" s="22">
        <f>MROUND(F8*(1-0.12%),1)</f>
        <v>209224</v>
      </c>
      <c r="C13" s="20"/>
      <c r="D13" s="22">
        <f>IF(H13="TGT","N.A.",MROUND(B13*(1-2%),1))</f>
        <v>205040</v>
      </c>
      <c r="E13" s="45">
        <f>IF(OR(G13="NO TGT",G13=""),MROUND(MIN((B13*(1+2%)),(G7*(1+0.12%))),1),"N.A.")</f>
        <v>213408</v>
      </c>
      <c r="F13" s="46">
        <f>MROUND(MIN((B13*(1+2%)),(F7*(1+0.12%))),1)</f>
        <v>213408</v>
      </c>
      <c r="G13" s="41"/>
      <c r="H13" s="44" t="s">
        <v>2</v>
      </c>
      <c r="I13" s="56"/>
      <c r="J13" s="56"/>
      <c r="K13" s="15"/>
      <c r="L13" s="15"/>
      <c r="M13" s="2"/>
    </row>
    <row r="14" spans="1:1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143" t="s">
        <v>29</v>
      </c>
      <c r="B17" s="144"/>
      <c r="C17" s="144"/>
      <c r="D17" s="144"/>
      <c r="E17" s="144"/>
      <c r="F17" s="145"/>
      <c r="G17" s="33"/>
      <c r="H17" s="146" t="s">
        <v>30</v>
      </c>
      <c r="I17" s="147"/>
      <c r="J17" s="147"/>
      <c r="K17" s="147"/>
      <c r="L17" s="147"/>
      <c r="M17" s="148"/>
    </row>
    <row r="18" spans="1:13" x14ac:dyDescent="0.2">
      <c r="A18" s="23" t="s">
        <v>31</v>
      </c>
      <c r="B18" s="23" t="s">
        <v>32</v>
      </c>
      <c r="C18" s="23" t="s">
        <v>33</v>
      </c>
      <c r="D18" s="23" t="s">
        <v>34</v>
      </c>
      <c r="E18" s="23" t="s">
        <v>35</v>
      </c>
      <c r="F18" s="23" t="s">
        <v>36</v>
      </c>
      <c r="G18" s="33"/>
      <c r="H18" s="23" t="s">
        <v>31</v>
      </c>
      <c r="I18" s="23" t="s">
        <v>32</v>
      </c>
      <c r="J18" s="23" t="s">
        <v>33</v>
      </c>
      <c r="K18" s="23" t="s">
        <v>34</v>
      </c>
      <c r="L18" s="23" t="s">
        <v>35</v>
      </c>
      <c r="M18" s="23" t="s">
        <v>36</v>
      </c>
    </row>
    <row r="19" spans="1:13" x14ac:dyDescent="0.2">
      <c r="A19" s="23" t="s">
        <v>37</v>
      </c>
      <c r="B19" s="23" t="str">
        <f>IF($H$12="NO Holdings","Yes","No")</f>
        <v>Yes</v>
      </c>
      <c r="C19" s="23" t="str">
        <f>IF($H$12="No Holdings","Buy Order","-")</f>
        <v>Buy Order</v>
      </c>
      <c r="D19" s="23">
        <f>IF($H$12="No Holdings",(I12*2),"-")</f>
        <v>60</v>
      </c>
      <c r="E19" s="23">
        <f>IF(F19="-","-",MROUND(F19*(1+0.1%),1))</f>
        <v>242532</v>
      </c>
      <c r="F19" s="23">
        <f>IF($H$12="No Holdings",$B$12,"-")</f>
        <v>242290</v>
      </c>
      <c r="G19" s="33"/>
      <c r="H19" s="23" t="s">
        <v>37</v>
      </c>
      <c r="I19" s="23" t="str">
        <f>IF($H$13="NO Holdings","Yes","No")</f>
        <v>Yes</v>
      </c>
      <c r="J19" s="23" t="str">
        <f>IF($H$13="No Holdings","Sell Order","-")</f>
        <v>Sell Order</v>
      </c>
      <c r="K19" s="23">
        <f>IF($H$13="No Holdings",(I12*2),"-")</f>
        <v>60</v>
      </c>
      <c r="L19" s="23">
        <f>IF(M19="-","-",MROUND(M19*(1-0.1%),1))</f>
        <v>209015</v>
      </c>
      <c r="M19" s="23">
        <f>IF($H$13="No Holdings",$B$13,"-")</f>
        <v>209224</v>
      </c>
    </row>
    <row r="20" spans="1:13" x14ac:dyDescent="0.2">
      <c r="A20" s="23" t="s">
        <v>20</v>
      </c>
      <c r="B20" s="23" t="str">
        <f>IF($H$12="Entry Trigger","Yes","No")</f>
        <v>No</v>
      </c>
      <c r="C20" s="23" t="str">
        <f>IF($H$12="Entry Trigger","Sell Order","-")</f>
        <v>-</v>
      </c>
      <c r="D20" s="23" t="str">
        <f>IF($H$12="Entry Trigger",I12,"-")</f>
        <v>-</v>
      </c>
      <c r="E20" s="23" t="str">
        <f>IF(F20="-","-","Use Limit")</f>
        <v>-</v>
      </c>
      <c r="F20" s="23" t="str">
        <f>IF(H12="Entry Trigger",IF(C12="",IF($H$12="Entry Trigger",$D$12,"-"),MROUND(C12*(1+1.25%),0.05)),"-")</f>
        <v>-</v>
      </c>
      <c r="G20" s="33"/>
      <c r="H20" s="23" t="s">
        <v>20</v>
      </c>
      <c r="I20" s="23" t="str">
        <f>IF($H$13="Entry Trigger","Yes","No")</f>
        <v>No</v>
      </c>
      <c r="J20" s="23" t="str">
        <f>IF($H$13="Entry Trigger","Buy Order","-")</f>
        <v>-</v>
      </c>
      <c r="K20" s="23" t="str">
        <f>IF($H$13="Entry Trigger",I12,"-")</f>
        <v>-</v>
      </c>
      <c r="L20" s="23" t="str">
        <f>IF(M20="-","-","Use Limit")</f>
        <v>-</v>
      </c>
      <c r="M20" s="23" t="str">
        <f>IF(H13="Entry Trigger",IF(C13="",IF($H$13="Entry Trigger",$D$13,"-"),MROUND(C13*(1-1.25%),0.05)),"-")</f>
        <v>-</v>
      </c>
    </row>
    <row r="21" spans="1:13" x14ac:dyDescent="0.2">
      <c r="A21" s="23" t="s">
        <v>38</v>
      </c>
      <c r="B21" s="23" t="str">
        <f>IF($H$12="Entry Trigger","Yes","No")</f>
        <v>No</v>
      </c>
      <c r="C21" s="23" t="str">
        <f>IF($H$12="Entry Trigger","Sell Order","-")</f>
        <v>-</v>
      </c>
      <c r="D21" s="23" t="str">
        <f>IF($H$12="Entry Trigger",(I12*2),"-")</f>
        <v>-</v>
      </c>
      <c r="E21" s="23" t="str">
        <f>IFERROR(IF(F21="-","-",MROUND(F21*(1-0.1%),1)),"NA")</f>
        <v>-</v>
      </c>
      <c r="F21" s="23" t="str">
        <f>IF($H$12="Entry Trigger",$E$12,"-")</f>
        <v>-</v>
      </c>
      <c r="G21" s="33"/>
      <c r="H21" s="23" t="s">
        <v>38</v>
      </c>
      <c r="I21" s="23" t="str">
        <f>IF($H$13="Entry Trigger","Yes","No")</f>
        <v>No</v>
      </c>
      <c r="J21" s="23" t="str">
        <f>IF($H$13="Entry Trigger","Buy Order","-")</f>
        <v>-</v>
      </c>
      <c r="K21" s="23" t="str">
        <f>IF($H$13="Entry Trigger",(I12*2),"-")</f>
        <v>-</v>
      </c>
      <c r="L21" s="23" t="str">
        <f>IFERROR(IF(M21="-","-",MROUND(M21*(1+0.1%),1)),"NA")</f>
        <v>-</v>
      </c>
      <c r="M21" s="23" t="str">
        <f>IF($H$13="Entry Trigger",$E$13,"-")</f>
        <v>-</v>
      </c>
    </row>
    <row r="22" spans="1:13" x14ac:dyDescent="0.2">
      <c r="A22" s="23" t="s">
        <v>39</v>
      </c>
      <c r="B22" s="23" t="str">
        <f>IF($H$12="Target Triggered","Yes","No")</f>
        <v>No</v>
      </c>
      <c r="C22" s="23" t="str">
        <f>IF($H$12="Target Triggered","Sell Order","-")</f>
        <v>-</v>
      </c>
      <c r="D22" s="23" t="str">
        <f>IF($H$12="Target Triggered",I12,"-")</f>
        <v>-</v>
      </c>
      <c r="E22" s="23" t="str">
        <f>IF(F22="-","-",MROUND(F22*(1-0.1%),1))</f>
        <v>-</v>
      </c>
      <c r="F22" s="23" t="str">
        <f>IF($H$12="Target Triggered",$F$12,"-")</f>
        <v>-</v>
      </c>
      <c r="G22" s="33"/>
      <c r="H22" s="23" t="s">
        <v>39</v>
      </c>
      <c r="I22" s="23" t="str">
        <f>IF($H$13="Target Triggered","Yes","No")</f>
        <v>No</v>
      </c>
      <c r="J22" s="23" t="str">
        <f>IF($H$13="Target Triggered","Buy Order","-")</f>
        <v>-</v>
      </c>
      <c r="K22" s="23" t="str">
        <f>IF($H$13="Target Triggered",I12,"-")</f>
        <v>-</v>
      </c>
      <c r="L22" s="23" t="str">
        <f>IF(M22="-","-",MROUND(M22*(1+0.1%),1))</f>
        <v>-</v>
      </c>
      <c r="M22" s="23" t="str">
        <f>IF($H$13="Target Triggered",$F$13,"-")</f>
        <v>-</v>
      </c>
    </row>
    <row r="23" spans="1:13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149" t="s">
        <v>40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</row>
    <row r="26" spans="1:13" x14ac:dyDescent="0.2">
      <c r="A26" s="24"/>
      <c r="B26" s="24"/>
      <c r="C26" s="24"/>
      <c r="D26" s="24"/>
      <c r="E26" s="24"/>
      <c r="F26" s="24"/>
      <c r="G26" s="33"/>
      <c r="H26" s="24"/>
      <c r="I26" s="24"/>
      <c r="J26" s="24"/>
      <c r="K26" s="24"/>
      <c r="L26" s="24"/>
      <c r="M26" s="24"/>
    </row>
    <row r="27" spans="1:13" x14ac:dyDescent="0.2">
      <c r="A27" s="159" t="s">
        <v>80</v>
      </c>
      <c r="B27" s="100" t="s">
        <v>67</v>
      </c>
      <c r="C27" s="100" t="s">
        <v>43</v>
      </c>
      <c r="D27" s="101" t="s">
        <v>68</v>
      </c>
      <c r="E27" s="24"/>
      <c r="F27" s="24"/>
      <c r="G27" s="33"/>
      <c r="H27" s="24"/>
      <c r="I27" s="24"/>
      <c r="J27" s="24"/>
      <c r="K27" s="24"/>
      <c r="L27" s="24"/>
      <c r="M27" s="24"/>
    </row>
    <row r="28" spans="1:13" x14ac:dyDescent="0.2">
      <c r="A28" s="159"/>
      <c r="B28" s="27">
        <v>61678</v>
      </c>
      <c r="C28" s="27">
        <v>61042</v>
      </c>
      <c r="D28" s="28">
        <v>60922</v>
      </c>
      <c r="E28" s="24"/>
      <c r="F28" s="24"/>
      <c r="G28" s="33"/>
      <c r="H28" s="24"/>
      <c r="I28" s="24"/>
      <c r="J28" s="24"/>
      <c r="K28" s="24"/>
      <c r="L28" s="24"/>
      <c r="M28" s="24"/>
    </row>
    <row r="29" spans="1:13" x14ac:dyDescent="0.2">
      <c r="A29" s="24"/>
      <c r="B29" s="24"/>
      <c r="C29" s="24"/>
      <c r="D29" s="24"/>
      <c r="E29" s="24"/>
      <c r="F29" s="24"/>
      <c r="G29" s="33"/>
      <c r="H29" s="24"/>
      <c r="I29" s="24"/>
      <c r="J29" s="24"/>
      <c r="K29" s="24"/>
      <c r="L29" s="24"/>
      <c r="M29" s="24"/>
    </row>
    <row r="30" spans="1:13" x14ac:dyDescent="0.2">
      <c r="A30" s="24"/>
      <c r="B30" s="24"/>
      <c r="C30" s="24"/>
      <c r="D30" s="24"/>
      <c r="E30" s="24"/>
      <c r="F30" s="24"/>
      <c r="G30" s="33"/>
      <c r="H30" s="24"/>
      <c r="I30" s="24"/>
      <c r="J30" s="24"/>
      <c r="K30" s="24"/>
      <c r="L30" s="24"/>
      <c r="M30" s="24"/>
    </row>
    <row r="31" spans="1:13" x14ac:dyDescent="0.2">
      <c r="A31" s="15"/>
      <c r="B31" s="15"/>
      <c r="C31" s="15"/>
      <c r="D31" s="15"/>
      <c r="E31" s="49" t="s">
        <v>16</v>
      </c>
      <c r="F31" s="50" t="s">
        <v>17</v>
      </c>
      <c r="G31" s="15"/>
      <c r="H31" s="15"/>
      <c r="I31" s="24"/>
      <c r="J31" s="24"/>
      <c r="K31" s="24"/>
      <c r="L31" s="24"/>
      <c r="M31" s="24"/>
    </row>
    <row r="32" spans="1:13" x14ac:dyDescent="0.2">
      <c r="A32" s="98"/>
      <c r="B32" s="98" t="s">
        <v>18</v>
      </c>
      <c r="C32" s="98" t="s">
        <v>19</v>
      </c>
      <c r="D32" s="98" t="s">
        <v>20</v>
      </c>
      <c r="E32" s="107" t="s">
        <v>21</v>
      </c>
      <c r="F32" s="108" t="s">
        <v>22</v>
      </c>
      <c r="G32" s="41"/>
      <c r="H32" s="108" t="s">
        <v>65</v>
      </c>
      <c r="I32" s="24"/>
      <c r="J32" s="24"/>
      <c r="K32" s="24"/>
      <c r="L32" s="24"/>
      <c r="M32" s="24"/>
    </row>
    <row r="33" spans="1:13" x14ac:dyDescent="0.2">
      <c r="A33" s="19" t="s">
        <v>27</v>
      </c>
      <c r="B33" s="19">
        <f>MROUND(B28*(1+0.12%),1)</f>
        <v>61752</v>
      </c>
      <c r="C33" s="20"/>
      <c r="D33" s="19">
        <f>IF(H33="TGT","N.A.",MROUND(B33*(1+2%),1))</f>
        <v>62987</v>
      </c>
      <c r="E33" s="42">
        <f>IF(OR(G33="NO TGT",G33=""),MROUND(MAX((B33*(1-2%)),(C28*(1-0.12%))),1),"N.A.")</f>
        <v>60969</v>
      </c>
      <c r="F33" s="43">
        <f>MROUND(MAX((B33*(1-2%)),(D28*(1-0.12%))),1)</f>
        <v>60849</v>
      </c>
      <c r="G33" s="41"/>
      <c r="H33" s="44" t="s">
        <v>2</v>
      </c>
      <c r="I33" s="24"/>
      <c r="J33" s="24"/>
      <c r="K33" s="24"/>
      <c r="L33" s="24"/>
      <c r="M33" s="24"/>
    </row>
    <row r="34" spans="1:13" x14ac:dyDescent="0.2">
      <c r="A34" s="24"/>
      <c r="B34" s="24"/>
      <c r="C34" s="24"/>
      <c r="D34" s="24"/>
      <c r="E34" s="24"/>
      <c r="F34" s="24"/>
      <c r="G34" s="33"/>
      <c r="H34" s="24"/>
      <c r="I34" s="24"/>
      <c r="J34" s="24"/>
      <c r="K34" s="24"/>
      <c r="L34" s="24"/>
      <c r="M34" s="24"/>
    </row>
    <row r="35" spans="1:13" x14ac:dyDescent="0.2">
      <c r="A35" s="24"/>
      <c r="B35" s="24"/>
      <c r="C35" s="24"/>
      <c r="D35" s="24"/>
      <c r="E35" s="24"/>
      <c r="F35" s="24"/>
      <c r="G35" s="33"/>
      <c r="H35" s="24"/>
      <c r="I35" s="24"/>
      <c r="J35" s="24"/>
      <c r="K35" s="24"/>
      <c r="L35" s="24"/>
      <c r="M35" s="24"/>
    </row>
    <row r="36" spans="1:13" x14ac:dyDescent="0.2">
      <c r="A36" s="24"/>
      <c r="B36" s="24"/>
      <c r="C36" s="24"/>
      <c r="D36" s="24"/>
      <c r="E36" s="24"/>
      <c r="F36" s="24"/>
      <c r="G36" s="33"/>
      <c r="H36" s="24"/>
      <c r="I36" s="24"/>
      <c r="J36" s="24"/>
      <c r="K36" s="24"/>
      <c r="L36" s="24"/>
      <c r="M36" s="24"/>
    </row>
    <row r="37" spans="1:13" x14ac:dyDescent="0.2">
      <c r="A37" s="143" t="s">
        <v>29</v>
      </c>
      <c r="B37" s="144"/>
      <c r="C37" s="144"/>
      <c r="D37" s="144"/>
      <c r="E37" s="144"/>
      <c r="F37" s="145"/>
      <c r="G37" s="33"/>
      <c r="H37" s="24"/>
      <c r="I37" s="24"/>
      <c r="J37" s="24"/>
      <c r="K37" s="24"/>
      <c r="L37" s="24"/>
      <c r="M37" s="24"/>
    </row>
    <row r="38" spans="1:13" x14ac:dyDescent="0.2">
      <c r="A38" s="23" t="s">
        <v>31</v>
      </c>
      <c r="B38" s="23" t="s">
        <v>32</v>
      </c>
      <c r="C38" s="23" t="s">
        <v>33</v>
      </c>
      <c r="D38" s="23" t="s">
        <v>34</v>
      </c>
      <c r="E38" s="23" t="s">
        <v>35</v>
      </c>
      <c r="F38" s="23" t="s">
        <v>36</v>
      </c>
      <c r="G38" s="33"/>
      <c r="H38" s="24"/>
      <c r="I38" s="24"/>
      <c r="J38" s="24"/>
      <c r="K38" s="24"/>
      <c r="L38" s="24"/>
      <c r="M38" s="24"/>
    </row>
    <row r="39" spans="1:13" x14ac:dyDescent="0.2">
      <c r="A39" s="23" t="s">
        <v>37</v>
      </c>
      <c r="B39" s="23" t="str">
        <f>IF($H$33="NO Holdings","Yes","No")</f>
        <v>Yes</v>
      </c>
      <c r="C39" s="23" t="str">
        <f>IF($H$33="No Holdings","Buy Order","-")</f>
        <v>Buy Order</v>
      </c>
      <c r="D39" s="23">
        <f>IF($H$33="No Holdings",(I12*2),"-")</f>
        <v>60</v>
      </c>
      <c r="E39" s="23">
        <f>IF(F39="-","-",MROUND(F39*(1+0.1%),1))</f>
        <v>61814</v>
      </c>
      <c r="F39" s="23">
        <f>IF($H$33="No Holdings",$B$33,"-")</f>
        <v>61752</v>
      </c>
      <c r="G39" s="33"/>
      <c r="H39" s="24"/>
      <c r="I39" s="24"/>
      <c r="J39" s="24"/>
      <c r="K39" s="24"/>
      <c r="L39" s="24"/>
      <c r="M39" s="24"/>
    </row>
    <row r="40" spans="1:13" x14ac:dyDescent="0.2">
      <c r="A40" s="23" t="s">
        <v>20</v>
      </c>
      <c r="B40" s="23" t="str">
        <f>IF($H$33="Entry Trigger","Yes","No")</f>
        <v>No</v>
      </c>
      <c r="C40" s="23" t="str">
        <f>IF($H$33="Entry Trigger","Sell Order","-")</f>
        <v>-</v>
      </c>
      <c r="D40" s="23" t="str">
        <f>IF($H$33="Entry Trigger",I12,"-")</f>
        <v>-</v>
      </c>
      <c r="E40" s="23" t="str">
        <f>IF(F40="-","-","Use Limit")</f>
        <v>-</v>
      </c>
      <c r="F40" s="23" t="str">
        <f>IF(H33="Entry Trigger",IF(C33="",IF($H$33="Entry Trigger",$D$33,"-"),MROUND(C33*(1+1.25%),0.05)),"-")</f>
        <v>-</v>
      </c>
      <c r="G40" s="33"/>
      <c r="H40" s="24"/>
      <c r="I40" s="24"/>
      <c r="J40" s="24"/>
      <c r="K40" s="24"/>
      <c r="L40" s="24"/>
      <c r="M40" s="24"/>
    </row>
    <row r="41" spans="1:13" x14ac:dyDescent="0.2">
      <c r="A41" s="23" t="s">
        <v>38</v>
      </c>
      <c r="B41" s="23" t="str">
        <f>IF($H$33="Entry Trigger","Yes","No")</f>
        <v>No</v>
      </c>
      <c r="C41" s="23" t="str">
        <f>IF($H$33="Entry Trigger","Sell Order","-")</f>
        <v>-</v>
      </c>
      <c r="D41" s="23" t="str">
        <f>IF($H$33="Entry Trigger",(I12*2),"-")</f>
        <v>-</v>
      </c>
      <c r="E41" s="23" t="str">
        <f>IFERROR(IF(F41="-","-",MROUND(F41*(1-1%),1)),"NA")</f>
        <v>-</v>
      </c>
      <c r="F41" s="23" t="str">
        <f>IF($H$33="Entry Trigger",$E$33,"-")</f>
        <v>-</v>
      </c>
      <c r="G41" s="33"/>
      <c r="H41" s="24"/>
      <c r="I41" s="24"/>
      <c r="J41" s="24"/>
      <c r="K41" s="24"/>
      <c r="L41" s="24"/>
      <c r="M41" s="24"/>
    </row>
    <row r="42" spans="1:13" x14ac:dyDescent="0.2">
      <c r="A42" s="23" t="s">
        <v>39</v>
      </c>
      <c r="B42" s="23" t="str">
        <f>IF($H$33="Target Triggered","Yes","No")</f>
        <v>No</v>
      </c>
      <c r="C42" s="23" t="str">
        <f>IF($H$33="Target Triggered","Sell Order","-")</f>
        <v>-</v>
      </c>
      <c r="D42" s="23" t="str">
        <f>IF($H$33="Target Triggered",I12,"-")</f>
        <v>-</v>
      </c>
      <c r="E42" s="23" t="str">
        <f>IF(F42="-","-",MROUND(F42*(1-0.1%),1))</f>
        <v>-</v>
      </c>
      <c r="F42" s="23" t="str">
        <f>IF($H$33="Target Triggered",$F$33,"-")</f>
        <v>-</v>
      </c>
      <c r="G42" s="33"/>
      <c r="H42" s="24"/>
      <c r="I42" s="24"/>
      <c r="J42" s="24"/>
      <c r="K42" s="24"/>
      <c r="L42" s="24"/>
      <c r="M42" s="24"/>
    </row>
    <row r="43" spans="1:13" x14ac:dyDescent="0.2">
      <c r="A43" s="24"/>
      <c r="B43" s="24"/>
      <c r="C43" s="24"/>
      <c r="D43" s="24"/>
      <c r="E43" s="24"/>
      <c r="F43" s="24"/>
      <c r="G43" s="33"/>
      <c r="H43" s="24"/>
      <c r="I43" s="24"/>
      <c r="J43" s="24"/>
      <c r="K43" s="24"/>
      <c r="L43" s="24"/>
      <c r="M43" s="24"/>
    </row>
    <row r="44" spans="1:13" x14ac:dyDescent="0.2">
      <c r="A44" s="149" t="s">
        <v>44</v>
      </c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</row>
    <row r="45" spans="1:13" x14ac:dyDescent="0.2">
      <c r="A45" s="24"/>
      <c r="B45" s="24"/>
      <c r="C45" s="24"/>
      <c r="D45" s="24"/>
      <c r="E45" s="24"/>
      <c r="F45" s="24"/>
      <c r="G45" s="33"/>
      <c r="H45" s="24"/>
      <c r="I45" s="24"/>
      <c r="J45" s="24"/>
      <c r="K45" s="24"/>
      <c r="L45" s="24"/>
      <c r="M45" s="24"/>
    </row>
    <row r="46" spans="1:13" x14ac:dyDescent="0.2">
      <c r="A46" s="159" t="s">
        <v>45</v>
      </c>
      <c r="B46" s="102" t="s">
        <v>69</v>
      </c>
      <c r="C46" s="102" t="s">
        <v>47</v>
      </c>
      <c r="D46" s="24"/>
      <c r="E46" s="24"/>
      <c r="F46" s="24"/>
      <c r="G46" s="33"/>
      <c r="H46" s="24"/>
      <c r="I46" s="24"/>
      <c r="J46" s="24"/>
      <c r="K46" s="24"/>
      <c r="L46" s="24"/>
      <c r="M46" s="24"/>
    </row>
    <row r="47" spans="1:13" x14ac:dyDescent="0.2">
      <c r="A47" s="159"/>
      <c r="B47" s="30">
        <v>61678</v>
      </c>
      <c r="C47" s="31">
        <f>(MROUND(B47*(1+0.12%),1))</f>
        <v>61752</v>
      </c>
      <c r="D47" s="24"/>
      <c r="E47" s="24"/>
      <c r="F47" s="24"/>
      <c r="G47" s="33"/>
      <c r="H47" s="24"/>
      <c r="I47" s="24"/>
      <c r="J47" s="24"/>
      <c r="K47" s="24"/>
      <c r="L47" s="24"/>
      <c r="M47" s="24"/>
    </row>
    <row r="48" spans="1:13" x14ac:dyDescent="0.2">
      <c r="A48" s="24"/>
      <c r="B48" s="24"/>
      <c r="C48" s="24"/>
      <c r="D48" s="24"/>
      <c r="E48" s="24"/>
      <c r="F48" s="24"/>
      <c r="G48" s="33"/>
      <c r="H48" s="24"/>
      <c r="I48" s="24"/>
      <c r="J48" s="24"/>
      <c r="K48" s="24"/>
      <c r="L48" s="24"/>
      <c r="M48" s="24"/>
    </row>
    <row r="49" spans="1:13" x14ac:dyDescent="0.2">
      <c r="A49" s="24"/>
      <c r="B49" s="24"/>
      <c r="C49" s="24"/>
      <c r="D49" s="24"/>
      <c r="E49" s="24"/>
      <c r="F49" s="24"/>
      <c r="G49" s="33"/>
      <c r="H49" s="24"/>
      <c r="I49" s="24"/>
      <c r="J49" s="24"/>
      <c r="K49" s="24"/>
      <c r="L49" s="24"/>
      <c r="M49" s="24"/>
    </row>
    <row r="50" spans="1:13" x14ac:dyDescent="0.2">
      <c r="A50" s="149" t="s">
        <v>48</v>
      </c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</row>
    <row r="51" spans="1:13" x14ac:dyDescent="0.2">
      <c r="A51" s="24"/>
      <c r="B51" s="24"/>
      <c r="C51" s="24"/>
      <c r="D51" s="24"/>
      <c r="E51" s="24"/>
      <c r="F51" s="24"/>
      <c r="G51" s="33"/>
      <c r="H51" s="24"/>
      <c r="I51" s="24"/>
      <c r="J51" s="24"/>
      <c r="K51" s="24"/>
      <c r="L51" s="24"/>
      <c r="M51" s="24"/>
    </row>
    <row r="52" spans="1:13" x14ac:dyDescent="0.2">
      <c r="A52" s="159" t="s">
        <v>80</v>
      </c>
      <c r="B52" s="100" t="s">
        <v>70</v>
      </c>
      <c r="C52" s="100" t="s">
        <v>50</v>
      </c>
      <c r="D52" s="101" t="s">
        <v>71</v>
      </c>
      <c r="E52" s="24"/>
      <c r="F52" s="24"/>
      <c r="G52" s="33"/>
      <c r="H52" s="24"/>
      <c r="I52" s="24"/>
      <c r="J52" s="24"/>
      <c r="K52" s="24"/>
      <c r="L52" s="24"/>
      <c r="M52" s="24"/>
    </row>
    <row r="53" spans="1:13" x14ac:dyDescent="0.2">
      <c r="A53" s="159"/>
      <c r="B53" s="27">
        <v>72685</v>
      </c>
      <c r="C53" s="27">
        <v>74444</v>
      </c>
      <c r="D53" s="28">
        <v>74540</v>
      </c>
      <c r="E53" s="24"/>
      <c r="F53" s="24"/>
      <c r="G53" s="33"/>
      <c r="H53" s="24"/>
      <c r="I53" s="24"/>
      <c r="J53" s="24"/>
      <c r="K53" s="24"/>
      <c r="L53" s="24"/>
      <c r="M53" s="24"/>
    </row>
    <row r="54" spans="1:13" x14ac:dyDescent="0.2">
      <c r="A54" s="24"/>
      <c r="B54" s="24"/>
      <c r="C54" s="24"/>
      <c r="D54" s="24"/>
      <c r="E54" s="24"/>
      <c r="F54" s="24"/>
      <c r="G54" s="33"/>
      <c r="H54" s="24"/>
      <c r="I54" s="24"/>
      <c r="J54" s="24"/>
      <c r="K54" s="24"/>
      <c r="L54" s="24"/>
      <c r="M54" s="24"/>
    </row>
    <row r="55" spans="1:13" x14ac:dyDescent="0.2">
      <c r="A55" s="24"/>
      <c r="B55" s="24"/>
      <c r="C55" s="24"/>
      <c r="D55" s="24"/>
      <c r="E55" s="24"/>
      <c r="F55" s="24"/>
      <c r="G55" s="33"/>
      <c r="H55" s="24"/>
      <c r="I55" s="24"/>
      <c r="J55" s="24"/>
      <c r="K55" s="24"/>
      <c r="L55" s="24"/>
      <c r="M55" s="24"/>
    </row>
    <row r="56" spans="1:13" x14ac:dyDescent="0.2">
      <c r="A56" s="15"/>
      <c r="B56" s="15"/>
      <c r="C56" s="15"/>
      <c r="D56" s="15"/>
      <c r="E56" s="49" t="s">
        <v>16</v>
      </c>
      <c r="F56" s="50" t="s">
        <v>17</v>
      </c>
      <c r="G56" s="15"/>
      <c r="H56" s="15"/>
      <c r="I56" s="24"/>
      <c r="J56" s="24"/>
      <c r="K56" s="24"/>
      <c r="L56" s="24"/>
      <c r="M56" s="24"/>
    </row>
    <row r="57" spans="1:13" x14ac:dyDescent="0.2">
      <c r="A57" s="98"/>
      <c r="B57" s="98" t="s">
        <v>18</v>
      </c>
      <c r="C57" s="98" t="s">
        <v>19</v>
      </c>
      <c r="D57" s="98" t="s">
        <v>20</v>
      </c>
      <c r="E57" s="107" t="s">
        <v>21</v>
      </c>
      <c r="F57" s="108" t="s">
        <v>22</v>
      </c>
      <c r="G57" s="41"/>
      <c r="H57" s="108" t="s">
        <v>65</v>
      </c>
      <c r="I57" s="24"/>
      <c r="J57" s="24"/>
      <c r="K57" s="24"/>
      <c r="L57" s="24"/>
      <c r="M57" s="24"/>
    </row>
    <row r="58" spans="1:13" x14ac:dyDescent="0.2">
      <c r="A58" s="22" t="s">
        <v>72</v>
      </c>
      <c r="B58" s="22">
        <f>MROUND(B53*(1-0.12%),1)</f>
        <v>72598</v>
      </c>
      <c r="C58" s="20"/>
      <c r="D58" s="22">
        <f>IF(H58="TGT","N.A.",MROUND(B58*(1-2%),1))</f>
        <v>71146</v>
      </c>
      <c r="E58" s="45">
        <f>IF(OR(G58="NO TGT",G58=""),MROUND(MIN((B58*(1+2%)),(C53*(1+0.12%))),1),"N.A.")</f>
        <v>74050</v>
      </c>
      <c r="F58" s="46">
        <f>MROUND(MIN((B58*(1+2%)),(D53*(1+0.12%))),1)</f>
        <v>74050</v>
      </c>
      <c r="G58" s="41"/>
      <c r="H58" s="44" t="s">
        <v>7</v>
      </c>
      <c r="I58" s="24"/>
      <c r="J58" s="24"/>
      <c r="K58" s="24"/>
      <c r="L58" s="24"/>
      <c r="M58" s="24"/>
    </row>
    <row r="59" spans="1:13" x14ac:dyDescent="0.2">
      <c r="A59" s="24"/>
      <c r="B59" s="24"/>
      <c r="C59" s="24"/>
      <c r="D59" s="24"/>
      <c r="E59" s="24"/>
      <c r="F59" s="24"/>
      <c r="G59" s="33"/>
      <c r="H59" s="24"/>
      <c r="I59" s="24"/>
      <c r="J59" s="24"/>
      <c r="K59" s="24"/>
      <c r="L59" s="24"/>
      <c r="M59" s="24"/>
    </row>
    <row r="60" spans="1:13" x14ac:dyDescent="0.2">
      <c r="A60" s="24"/>
      <c r="B60" s="24"/>
      <c r="C60" s="24"/>
      <c r="D60" s="24"/>
      <c r="E60" s="24"/>
      <c r="F60" s="24"/>
      <c r="G60" s="33"/>
      <c r="H60" s="24"/>
      <c r="I60" s="24"/>
      <c r="J60" s="24"/>
      <c r="K60" s="24"/>
      <c r="L60" s="24"/>
      <c r="M60" s="24"/>
    </row>
    <row r="61" spans="1:13" x14ac:dyDescent="0.2">
      <c r="A61" s="24"/>
      <c r="B61" s="24"/>
      <c r="C61" s="24"/>
      <c r="D61" s="24"/>
      <c r="E61" s="24"/>
      <c r="F61" s="24"/>
      <c r="G61" s="33"/>
      <c r="H61" s="24"/>
      <c r="I61" s="24"/>
      <c r="J61" s="24"/>
      <c r="K61" s="24"/>
      <c r="L61" s="24"/>
      <c r="M61" s="24"/>
    </row>
    <row r="62" spans="1:13" x14ac:dyDescent="0.2">
      <c r="A62" s="146" t="s">
        <v>30</v>
      </c>
      <c r="B62" s="147"/>
      <c r="C62" s="147"/>
      <c r="D62" s="147"/>
      <c r="E62" s="147"/>
      <c r="F62" s="148"/>
      <c r="G62" s="33"/>
      <c r="H62" s="24"/>
      <c r="I62" s="24"/>
      <c r="J62" s="24"/>
      <c r="K62" s="24"/>
      <c r="L62" s="24"/>
      <c r="M62" s="24"/>
    </row>
    <row r="63" spans="1:13" x14ac:dyDescent="0.2">
      <c r="A63" s="23" t="s">
        <v>31</v>
      </c>
      <c r="B63" s="23" t="s">
        <v>32</v>
      </c>
      <c r="C63" s="23" t="s">
        <v>33</v>
      </c>
      <c r="D63" s="23" t="s">
        <v>34</v>
      </c>
      <c r="E63" s="23" t="s">
        <v>35</v>
      </c>
      <c r="F63" s="23" t="s">
        <v>36</v>
      </c>
      <c r="G63" s="33"/>
      <c r="H63" s="24"/>
      <c r="I63" s="24"/>
      <c r="J63" s="24"/>
      <c r="K63" s="24"/>
      <c r="L63" s="24"/>
      <c r="M63" s="24"/>
    </row>
    <row r="64" spans="1:13" x14ac:dyDescent="0.2">
      <c r="A64" s="23" t="s">
        <v>37</v>
      </c>
      <c r="B64" s="23" t="str">
        <f>IF($H$58="NO Holdings","Yes","No")</f>
        <v>No</v>
      </c>
      <c r="C64" s="23" t="str">
        <f>IF($H$58="No Holdings","Sell Order","-")</f>
        <v>-</v>
      </c>
      <c r="D64" s="23" t="str">
        <f>IF($H$58="No Holdings",(I12*2),"-")</f>
        <v>-</v>
      </c>
      <c r="E64" s="23" t="str">
        <f>IF(F64="-","-",MROUND(F64*(1+1%),1))</f>
        <v>-</v>
      </c>
      <c r="F64" s="23" t="str">
        <f>IF($H$58="No Holdings",$B$58,"-")</f>
        <v>-</v>
      </c>
      <c r="G64" s="33"/>
      <c r="H64" s="24"/>
      <c r="I64" s="24"/>
      <c r="J64" s="24"/>
      <c r="K64" s="24"/>
      <c r="L64" s="24"/>
      <c r="M64" s="24"/>
    </row>
    <row r="65" spans="1:13" x14ac:dyDescent="0.2">
      <c r="A65" s="23" t="s">
        <v>20</v>
      </c>
      <c r="B65" s="23" t="str">
        <f>IF($H$58="Entry Trigger","Yes","No")</f>
        <v>No</v>
      </c>
      <c r="C65" s="23" t="str">
        <f>IF($H$58="Entry Trigger","Buy Order","-")</f>
        <v>-</v>
      </c>
      <c r="D65" s="23" t="str">
        <f>IF($H$58="Entry Trigger",I12,"-")</f>
        <v>-</v>
      </c>
      <c r="E65" s="23" t="str">
        <f>IF(F65="-","-","Use Limit")</f>
        <v>-</v>
      </c>
      <c r="F65" s="23" t="str">
        <f>IF(H58="Entry Trigger",IF(C58="",IF($H$58="Entry Trigger",$D$58,"-"),MROUND(C58*(1+1.25%),0.05)),"-")</f>
        <v>-</v>
      </c>
      <c r="G65" s="33"/>
      <c r="H65" s="24"/>
      <c r="I65" s="24"/>
      <c r="J65" s="24"/>
      <c r="K65" s="24"/>
      <c r="L65" s="24"/>
      <c r="M65" s="24"/>
    </row>
    <row r="66" spans="1:13" x14ac:dyDescent="0.2">
      <c r="A66" s="23" t="s">
        <v>38</v>
      </c>
      <c r="B66" s="23" t="str">
        <f>IF($H$58="Entry Trigger","Yes","No")</f>
        <v>No</v>
      </c>
      <c r="C66" s="23" t="str">
        <f>IF($H$58="Entry Trigger","Buy Order","-")</f>
        <v>-</v>
      </c>
      <c r="D66" s="23" t="str">
        <f>IF($H$58="Entry Trigger",(I12*2),"-")</f>
        <v>-</v>
      </c>
      <c r="E66" s="23" t="str">
        <f>IFERROR(IF(F66="-","-",MROUND(F66*(1+0.1%),1)),"NA")</f>
        <v>-</v>
      </c>
      <c r="F66" s="23" t="str">
        <f>IF($H$58="Entry Trigger",$E$58,"-")</f>
        <v>-</v>
      </c>
      <c r="G66" s="33"/>
      <c r="H66" s="24"/>
      <c r="I66" s="24"/>
      <c r="J66" s="24"/>
      <c r="K66" s="24"/>
      <c r="L66" s="24"/>
      <c r="M66" s="24"/>
    </row>
    <row r="67" spans="1:13" x14ac:dyDescent="0.2">
      <c r="A67" s="23" t="s">
        <v>39</v>
      </c>
      <c r="B67" s="23" t="str">
        <f>IF($H$58="Target Triggered","Yes","No")</f>
        <v>Yes</v>
      </c>
      <c r="C67" s="23" t="str">
        <f>IF($H$58="Target Triggered","Buy Order","-")</f>
        <v>Buy Order</v>
      </c>
      <c r="D67" s="23">
        <f>IF($H$58="Target Triggered",I12,"-")</f>
        <v>30</v>
      </c>
      <c r="E67" s="23">
        <f>IF(F67="-","-",(MROUND(F67*(1+0.1%),1)))</f>
        <v>74124</v>
      </c>
      <c r="F67" s="23">
        <f>IF($H$58="Target Triggered",$F$58,"-")</f>
        <v>74050</v>
      </c>
      <c r="G67" s="33"/>
      <c r="H67" s="24"/>
      <c r="I67" s="24"/>
      <c r="J67" s="24"/>
      <c r="K67" s="24"/>
      <c r="L67" s="24"/>
      <c r="M67" s="24"/>
    </row>
    <row r="68" spans="1:13" x14ac:dyDescent="0.2">
      <c r="A68" s="24"/>
      <c r="B68" s="24"/>
      <c r="C68" s="24"/>
      <c r="D68" s="24"/>
      <c r="E68" s="24"/>
      <c r="F68" s="24"/>
      <c r="G68" s="33"/>
      <c r="H68" s="24"/>
      <c r="I68" s="24"/>
      <c r="J68" s="24"/>
      <c r="K68" s="24"/>
      <c r="L68" s="24"/>
      <c r="M68" s="24"/>
    </row>
    <row r="69" spans="1:13" x14ac:dyDescent="0.2">
      <c r="A69" s="149" t="s">
        <v>51</v>
      </c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</row>
    <row r="70" spans="1:13" x14ac:dyDescent="0.2">
      <c r="A70" s="24"/>
      <c r="B70" s="24"/>
      <c r="C70" s="24"/>
      <c r="D70" s="24"/>
      <c r="E70" s="24"/>
      <c r="F70" s="24"/>
      <c r="G70" s="33"/>
      <c r="H70" s="24"/>
      <c r="I70" s="24"/>
      <c r="J70" s="24"/>
      <c r="K70" s="24"/>
      <c r="L70" s="24"/>
      <c r="M70" s="24"/>
    </row>
    <row r="71" spans="1:13" x14ac:dyDescent="0.2">
      <c r="A71" s="159" t="s">
        <v>52</v>
      </c>
      <c r="B71" s="102" t="s">
        <v>73</v>
      </c>
      <c r="C71" s="102" t="s">
        <v>47</v>
      </c>
      <c r="D71" s="24"/>
      <c r="E71" s="24"/>
      <c r="F71" s="24"/>
      <c r="G71" s="33"/>
      <c r="H71" s="24"/>
      <c r="I71" s="24"/>
      <c r="J71" s="24"/>
      <c r="K71" s="24"/>
      <c r="L71" s="24"/>
      <c r="M71" s="24"/>
    </row>
    <row r="72" spans="1:13" x14ac:dyDescent="0.2">
      <c r="A72" s="159"/>
      <c r="B72" s="30">
        <v>72685</v>
      </c>
      <c r="C72" s="31">
        <f>MROUND(B72*(1-0.12%),1)</f>
        <v>72598</v>
      </c>
      <c r="D72" s="24"/>
      <c r="E72" s="24"/>
      <c r="F72" s="24"/>
      <c r="G72" s="33"/>
      <c r="H72" s="24"/>
      <c r="I72" s="24"/>
      <c r="J72" s="24"/>
      <c r="K72" s="24"/>
      <c r="L72" s="24"/>
      <c r="M72" s="24"/>
    </row>
    <row r="75" spans="1:13" x14ac:dyDescent="0.2">
      <c r="B75" s="58"/>
      <c r="C75" s="58"/>
    </row>
    <row r="76" spans="1:13" x14ac:dyDescent="0.2">
      <c r="B76" s="58"/>
      <c r="C76" s="58"/>
    </row>
    <row r="77" spans="1:13" x14ac:dyDescent="0.2">
      <c r="B77" s="58"/>
      <c r="C77" s="58"/>
    </row>
    <row r="78" spans="1:13" x14ac:dyDescent="0.2">
      <c r="B78" s="58"/>
      <c r="C78" s="58"/>
    </row>
    <row r="79" spans="1:13" x14ac:dyDescent="0.2">
      <c r="A79" s="59"/>
      <c r="B79" s="60"/>
      <c r="C79" s="60"/>
      <c r="D79" s="59"/>
      <c r="E79" s="59"/>
    </row>
    <row r="80" spans="1:13" x14ac:dyDescent="0.2">
      <c r="A80" s="59"/>
      <c r="B80" s="60"/>
      <c r="C80" s="60"/>
      <c r="D80" s="59"/>
      <c r="E80" s="59"/>
    </row>
    <row r="81" spans="1:5" x14ac:dyDescent="0.2">
      <c r="A81" s="59"/>
      <c r="B81" s="60"/>
      <c r="C81" s="60"/>
      <c r="D81" s="59"/>
      <c r="E81" s="59"/>
    </row>
    <row r="82" spans="1:5" x14ac:dyDescent="0.2">
      <c r="A82" s="59"/>
      <c r="B82" s="59"/>
      <c r="C82" s="59"/>
      <c r="D82" s="59"/>
      <c r="E82" s="59"/>
    </row>
    <row r="83" spans="1:5" ht="19" x14ac:dyDescent="0.25">
      <c r="B83" s="52" t="s">
        <v>3</v>
      </c>
      <c r="C83" s="53"/>
      <c r="D83" s="53"/>
      <c r="E83" s="59"/>
    </row>
    <row r="84" spans="1:5" ht="19" x14ac:dyDescent="0.25">
      <c r="B84" s="54" t="s">
        <v>6</v>
      </c>
      <c r="E84" s="59"/>
    </row>
    <row r="85" spans="1:5" ht="19" x14ac:dyDescent="0.25">
      <c r="B85" s="54" t="s">
        <v>12</v>
      </c>
      <c r="C85" s="53"/>
      <c r="D85" s="53"/>
      <c r="E85" s="59"/>
    </row>
    <row r="86" spans="1:5" ht="19" x14ac:dyDescent="0.25">
      <c r="B86" s="54" t="s">
        <v>14</v>
      </c>
      <c r="C86" s="53"/>
      <c r="E86" s="59"/>
    </row>
  </sheetData>
  <sheetProtection algorithmName="SHA-512" hashValue="AiDb2KxVsnGKmxDjzp6PT0kyFtXU3NAaxe1ExfC2jTiJ+aJ2MriqjUf0FZO8FhDYUdXzik5BDWSS3QFvKyqf7g==" saltValue="YVAay/elLXrkAguAKZ2OUw==" spinCount="100000" sheet="1" objects="1" scenarios="1"/>
  <mergeCells count="15">
    <mergeCell ref="A69:M69"/>
    <mergeCell ref="A27:A28"/>
    <mergeCell ref="A46:A47"/>
    <mergeCell ref="A52:A53"/>
    <mergeCell ref="A71:A72"/>
    <mergeCell ref="A25:M25"/>
    <mergeCell ref="A37:F37"/>
    <mergeCell ref="A44:M44"/>
    <mergeCell ref="A50:M50"/>
    <mergeCell ref="A62:F62"/>
    <mergeCell ref="A1:M1"/>
    <mergeCell ref="A3:B3"/>
    <mergeCell ref="C3:E3"/>
    <mergeCell ref="A17:F17"/>
    <mergeCell ref="H17:M17"/>
  </mergeCells>
  <dataValidations count="2">
    <dataValidation type="list" allowBlank="1" showInputMessage="1" showErrorMessage="1" sqref="G33 G58 G12:G13" xr:uid="{00000000-0002-0000-0500-000000000000}">
      <formula1>$O$1:$O$3</formula1>
    </dataValidation>
    <dataValidation type="list" allowBlank="1" showInputMessage="1" showErrorMessage="1" sqref="H33 H58 H12:H13" xr:uid="{00000000-0002-0000-0500-000001000000}">
      <formula1>$P$1:$P$3</formula1>
    </dataValidation>
  </dataValidations>
  <pageMargins left="0.69930555555555596" right="0.69930555555555596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5"/>
  <sheetViews>
    <sheetView zoomScale="140" zoomScaleNormal="140" workbookViewId="0">
      <selection activeCell="E9" sqref="E9"/>
    </sheetView>
  </sheetViews>
  <sheetFormatPr baseColWidth="10" defaultColWidth="9" defaultRowHeight="16" x14ac:dyDescent="0.2"/>
  <cols>
    <col min="1" max="1" width="14.83203125" customWidth="1"/>
    <col min="2" max="2" width="12.33203125" customWidth="1"/>
    <col min="3" max="3" width="12.1640625" customWidth="1"/>
    <col min="4" max="4" width="12.5" customWidth="1"/>
    <col min="5" max="5" width="12.6640625" customWidth="1"/>
    <col min="6" max="7" width="13.5" customWidth="1"/>
    <col min="8" max="8" width="18.83203125" customWidth="1"/>
    <col min="9" max="9" width="12" customWidth="1"/>
    <col min="10" max="11" width="12.1640625" customWidth="1"/>
    <col min="12" max="12" width="12" customWidth="1"/>
    <col min="13" max="13" width="13.5" customWidth="1"/>
    <col min="15" max="15" width="10.33203125" customWidth="1"/>
    <col min="16" max="16" width="13.83203125" hidden="1" customWidth="1"/>
  </cols>
  <sheetData>
    <row r="1" spans="1:16" x14ac:dyDescent="0.2">
      <c r="A1" s="155" t="s">
        <v>81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P1" t="s">
        <v>2</v>
      </c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t="s">
        <v>4</v>
      </c>
    </row>
    <row r="3" spans="1:16" x14ac:dyDescent="0.2">
      <c r="A3" s="156" t="s">
        <v>59</v>
      </c>
      <c r="B3" s="157"/>
      <c r="C3" s="158"/>
      <c r="D3" s="158"/>
      <c r="E3" s="158"/>
      <c r="F3" s="15"/>
      <c r="G3" s="15"/>
      <c r="H3" s="15"/>
      <c r="I3" s="15"/>
      <c r="J3" s="15"/>
      <c r="K3" s="15"/>
      <c r="L3" s="15"/>
      <c r="M3" s="2"/>
      <c r="P3" t="s">
        <v>7</v>
      </c>
    </row>
    <row r="4" spans="1:16" ht="19" x14ac:dyDescent="0.25">
      <c r="A4" s="3"/>
      <c r="B4" s="4"/>
      <c r="C4" s="94"/>
      <c r="D4" s="94"/>
      <c r="E4" s="94"/>
      <c r="F4" s="15"/>
      <c r="G4" s="15"/>
      <c r="H4" s="15"/>
      <c r="I4" s="33"/>
      <c r="J4" s="51"/>
      <c r="K4" s="52" t="s">
        <v>3</v>
      </c>
      <c r="L4" s="53"/>
      <c r="M4" s="2"/>
    </row>
    <row r="5" spans="1:16" ht="19" x14ac:dyDescent="0.25">
      <c r="A5" s="7" t="s">
        <v>5</v>
      </c>
      <c r="B5" s="9"/>
      <c r="C5" s="9"/>
      <c r="D5" s="83"/>
      <c r="E5" s="8"/>
      <c r="F5" s="15"/>
      <c r="G5" s="15"/>
      <c r="H5" s="15"/>
      <c r="I5" s="33"/>
      <c r="J5" s="51"/>
      <c r="K5" s="54" t="s">
        <v>6</v>
      </c>
      <c r="M5" s="2"/>
    </row>
    <row r="6" spans="1:16" ht="19" x14ac:dyDescent="0.25">
      <c r="A6" s="95" t="s">
        <v>82</v>
      </c>
      <c r="B6" s="96" t="s">
        <v>9</v>
      </c>
      <c r="C6" s="96" t="s">
        <v>10</v>
      </c>
      <c r="D6" s="96" t="s">
        <v>61</v>
      </c>
      <c r="E6" s="95" t="s">
        <v>62</v>
      </c>
      <c r="F6" s="103" t="s">
        <v>63</v>
      </c>
      <c r="G6" s="104" t="s">
        <v>64</v>
      </c>
      <c r="H6" s="15"/>
      <c r="I6" s="33"/>
      <c r="J6" s="51"/>
      <c r="K6" s="54" t="s">
        <v>12</v>
      </c>
      <c r="L6" s="53"/>
      <c r="M6" s="2"/>
    </row>
    <row r="7" spans="1:16" ht="19" x14ac:dyDescent="0.25">
      <c r="A7" s="12" t="s">
        <v>13</v>
      </c>
      <c r="B7" s="14">
        <v>249200</v>
      </c>
      <c r="C7" s="14">
        <v>253880</v>
      </c>
      <c r="D7" s="97">
        <v>256336</v>
      </c>
      <c r="E7" s="97">
        <v>256486</v>
      </c>
      <c r="F7" s="12">
        <f>MAX(B7:E7)</f>
        <v>256486</v>
      </c>
      <c r="G7" s="91">
        <f>MAX(D7:E7)</f>
        <v>256486</v>
      </c>
      <c r="H7" s="15"/>
      <c r="I7" s="33"/>
      <c r="J7" s="51"/>
      <c r="K7" s="54" t="s">
        <v>14</v>
      </c>
      <c r="L7" s="53"/>
      <c r="M7" s="2"/>
    </row>
    <row r="8" spans="1:16" x14ac:dyDescent="0.2">
      <c r="A8" s="12" t="s">
        <v>15</v>
      </c>
      <c r="B8" s="14">
        <v>238000</v>
      </c>
      <c r="C8" s="14">
        <v>243998</v>
      </c>
      <c r="D8" s="97">
        <v>249870</v>
      </c>
      <c r="E8" s="97">
        <v>249737</v>
      </c>
      <c r="F8" s="12">
        <f>MIN(B8:E8)</f>
        <v>238000</v>
      </c>
      <c r="G8" s="91">
        <f>MIN(D8:E8)</f>
        <v>249737</v>
      </c>
      <c r="H8" s="15"/>
      <c r="I8" s="15"/>
      <c r="J8" s="15"/>
      <c r="K8" s="15"/>
      <c r="L8" s="15"/>
      <c r="M8" s="2"/>
    </row>
    <row r="9" spans="1:16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2"/>
    </row>
    <row r="10" spans="1:16" x14ac:dyDescent="0.2">
      <c r="A10" s="15"/>
      <c r="B10" s="15"/>
      <c r="C10" s="15"/>
      <c r="D10" s="15"/>
      <c r="E10" s="105" t="s">
        <v>16</v>
      </c>
      <c r="F10" s="106" t="s">
        <v>17</v>
      </c>
      <c r="G10" s="15"/>
      <c r="H10" s="15"/>
      <c r="I10" s="15"/>
      <c r="J10" s="15"/>
      <c r="K10" s="15"/>
      <c r="L10" s="15"/>
      <c r="M10" s="2"/>
    </row>
    <row r="11" spans="1:16" x14ac:dyDescent="0.2">
      <c r="A11" s="98"/>
      <c r="B11" s="98" t="s">
        <v>18</v>
      </c>
      <c r="C11" s="98" t="s">
        <v>19</v>
      </c>
      <c r="D11" s="98" t="s">
        <v>20</v>
      </c>
      <c r="E11" s="107" t="s">
        <v>21</v>
      </c>
      <c r="F11" s="108" t="s">
        <v>22</v>
      </c>
      <c r="G11" s="41"/>
      <c r="H11" s="108" t="s">
        <v>65</v>
      </c>
      <c r="I11" s="109" t="s">
        <v>26</v>
      </c>
      <c r="J11" s="56"/>
      <c r="K11" s="15"/>
      <c r="L11" s="15"/>
      <c r="M11" s="2"/>
    </row>
    <row r="12" spans="1:16" x14ac:dyDescent="0.2">
      <c r="A12" s="19" t="s">
        <v>27</v>
      </c>
      <c r="B12" s="19">
        <f>MROUND(F7*(1+0.12%),1)</f>
        <v>256794</v>
      </c>
      <c r="C12" s="20"/>
      <c r="D12" s="19">
        <f>IF(H12="TGT","N.A.",MROUND(B12*(1+2%),1))</f>
        <v>261930</v>
      </c>
      <c r="E12" s="42">
        <f>IF(OR(G12="NO TGT",G12=""),MROUND(MAX((B12*(1-2%)),(G8*(1-0.12%))),1),"N.A.")</f>
        <v>251658</v>
      </c>
      <c r="F12" s="43">
        <f>MROUND(MAX((B12*(1-2%)),(F8*(1-0.12%))),1)</f>
        <v>251658</v>
      </c>
      <c r="G12" s="41"/>
      <c r="H12" s="44" t="s">
        <v>7</v>
      </c>
      <c r="I12" s="30">
        <v>5</v>
      </c>
      <c r="J12" s="56"/>
      <c r="K12" s="15"/>
      <c r="L12" s="15"/>
      <c r="M12" s="2"/>
    </row>
    <row r="13" spans="1:16" x14ac:dyDescent="0.2">
      <c r="A13" s="22" t="s">
        <v>28</v>
      </c>
      <c r="B13" s="22">
        <f>MROUND(F8*(1-0.12%),1)</f>
        <v>237714</v>
      </c>
      <c r="C13" s="20"/>
      <c r="D13" s="22">
        <f>IF(H13="TGT","N.A.",MROUND(B13*(1-2%),1))</f>
        <v>232960</v>
      </c>
      <c r="E13" s="45">
        <f>IF(OR(G13="NO TGT",G13=""),MROUND(MIN((B13*(1+2%)),(G7*(1+0.12%))),1),"N.A.")</f>
        <v>242468</v>
      </c>
      <c r="F13" s="46">
        <f>MROUND(MIN((B13*(1+2%)),(F7*(1+0.12%))),1)</f>
        <v>242468</v>
      </c>
      <c r="G13" s="41"/>
      <c r="H13" s="44" t="s">
        <v>7</v>
      </c>
      <c r="I13" s="56"/>
      <c r="J13" s="56"/>
      <c r="K13" s="15"/>
      <c r="L13" s="15"/>
      <c r="M13" s="2"/>
    </row>
    <row r="14" spans="1:1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143" t="s">
        <v>29</v>
      </c>
      <c r="B17" s="144"/>
      <c r="C17" s="144"/>
      <c r="D17" s="144"/>
      <c r="E17" s="144"/>
      <c r="F17" s="145"/>
      <c r="G17" s="33"/>
      <c r="H17" s="146" t="s">
        <v>30</v>
      </c>
      <c r="I17" s="147"/>
      <c r="J17" s="147"/>
      <c r="K17" s="147"/>
      <c r="L17" s="147"/>
      <c r="M17" s="148"/>
    </row>
    <row r="18" spans="1:13" x14ac:dyDescent="0.2">
      <c r="A18" s="23" t="s">
        <v>31</v>
      </c>
      <c r="B18" s="23" t="s">
        <v>32</v>
      </c>
      <c r="C18" s="23" t="s">
        <v>33</v>
      </c>
      <c r="D18" s="23" t="s">
        <v>34</v>
      </c>
      <c r="E18" s="23" t="s">
        <v>35</v>
      </c>
      <c r="F18" s="23" t="s">
        <v>36</v>
      </c>
      <c r="G18" s="33"/>
      <c r="H18" s="23" t="s">
        <v>31</v>
      </c>
      <c r="I18" s="23" t="s">
        <v>32</v>
      </c>
      <c r="J18" s="23" t="s">
        <v>33</v>
      </c>
      <c r="K18" s="23" t="s">
        <v>34</v>
      </c>
      <c r="L18" s="23" t="s">
        <v>35</v>
      </c>
      <c r="M18" s="23" t="s">
        <v>36</v>
      </c>
    </row>
    <row r="19" spans="1:13" x14ac:dyDescent="0.2">
      <c r="A19" s="23" t="s">
        <v>37</v>
      </c>
      <c r="B19" s="23" t="str">
        <f>IF($H$12="NO Holdings","Yes","No")</f>
        <v>No</v>
      </c>
      <c r="C19" s="23" t="str">
        <f>IF($H$12="No Holdings","Buy Order","-")</f>
        <v>-</v>
      </c>
      <c r="D19" s="23" t="str">
        <f>IF($H$12="No Holdings",(I12*2),"-")</f>
        <v>-</v>
      </c>
      <c r="E19" s="23" t="str">
        <f>IF(F19="-","-",MROUND(F19*(1+0.1%),1))</f>
        <v>-</v>
      </c>
      <c r="F19" s="23" t="str">
        <f>IF($H$12="No Holdings",$B$12,"-")</f>
        <v>-</v>
      </c>
      <c r="G19" s="33"/>
      <c r="H19" s="23" t="s">
        <v>37</v>
      </c>
      <c r="I19" s="23" t="str">
        <f>IF($H$13="NO Holdings","Yes","No")</f>
        <v>No</v>
      </c>
      <c r="J19" s="23" t="str">
        <f>IF($H$13="No Holdings","Sell Order","-")</f>
        <v>-</v>
      </c>
      <c r="K19" s="23" t="str">
        <f>IF($H$13="No Holdings",(I12*2),"-")</f>
        <v>-</v>
      </c>
      <c r="L19" s="23" t="str">
        <f>IF(M19="-","-",MROUND(M19*(1-0.1%),1))</f>
        <v>-</v>
      </c>
      <c r="M19" s="23" t="str">
        <f>IF($H$13="No Holdings",$B$13,"-")</f>
        <v>-</v>
      </c>
    </row>
    <row r="20" spans="1:13" x14ac:dyDescent="0.2">
      <c r="A20" s="23" t="s">
        <v>20</v>
      </c>
      <c r="B20" s="23" t="str">
        <f>IF($H$12="Entry Trigger","Yes","No")</f>
        <v>No</v>
      </c>
      <c r="C20" s="23" t="str">
        <f>IF($H$12="Entry Trigger","Sell Order","-")</f>
        <v>-</v>
      </c>
      <c r="D20" s="23" t="str">
        <f>IF($H$12="Entry Trigger",I12,"-")</f>
        <v>-</v>
      </c>
      <c r="E20" s="23" t="str">
        <f>IF(F20="-","-","Use Limit")</f>
        <v>-</v>
      </c>
      <c r="F20" s="23" t="str">
        <f>IF(H12="Entry Trigger",IF(C12="",IF($H$12="Entry Trigger",$D$12,"-"),MROUND(C12*(1+1.25%),0.05)),"-")</f>
        <v>-</v>
      </c>
      <c r="G20" s="33"/>
      <c r="H20" s="23" t="s">
        <v>20</v>
      </c>
      <c r="I20" s="23" t="str">
        <f>IF($H$13="Entry Trigger","Yes","No")</f>
        <v>No</v>
      </c>
      <c r="J20" s="23" t="str">
        <f>IF($H$13="Entry Trigger","Buy Order","-")</f>
        <v>-</v>
      </c>
      <c r="K20" s="23" t="str">
        <f>IF($H$13="Entry Trigger",I12,"-")</f>
        <v>-</v>
      </c>
      <c r="L20" s="23" t="str">
        <f>IF(M20="-","-","Use Limit")</f>
        <v>-</v>
      </c>
      <c r="M20" s="23" t="str">
        <f>IF(H13="Entry Trigger",IF(C13="",IF($H$13="Entry Trigger",$D$13,"-"),MROUND(C13*(1-1.25%),0.05)),"-")</f>
        <v>-</v>
      </c>
    </row>
    <row r="21" spans="1:13" x14ac:dyDescent="0.2">
      <c r="A21" s="23" t="s">
        <v>38</v>
      </c>
      <c r="B21" s="23" t="str">
        <f>IF($H$12="Entry Trigger","Yes","No")</f>
        <v>No</v>
      </c>
      <c r="C21" s="23" t="str">
        <f>IF($H$12="Entry Trigger","Sell Order","-")</f>
        <v>-</v>
      </c>
      <c r="D21" s="23" t="str">
        <f>IF($H$12="Entry Trigger",(I12*2),"-")</f>
        <v>-</v>
      </c>
      <c r="E21" s="23" t="str">
        <f>IFERROR(IF(F21="-","-",MROUND(F21*(1-0.1%),1)),"NA")</f>
        <v>-</v>
      </c>
      <c r="F21" s="23" t="str">
        <f>IF($H$12="Entry Trigger",$E$12,"-")</f>
        <v>-</v>
      </c>
      <c r="G21" s="33"/>
      <c r="H21" s="23" t="s">
        <v>38</v>
      </c>
      <c r="I21" s="23" t="str">
        <f>IF($H$13="Entry Trigger","Yes","No")</f>
        <v>No</v>
      </c>
      <c r="J21" s="23" t="str">
        <f>IF($H$13="Entry Trigger","Buy Order","-")</f>
        <v>-</v>
      </c>
      <c r="K21" s="23" t="str">
        <f>IF($H$13="Entry Trigger",(I12*2),"-")</f>
        <v>-</v>
      </c>
      <c r="L21" s="23" t="str">
        <f>IFERROR(IF(M21="-","-",MROUND(M21*(1+0.1%),1)),"NA")</f>
        <v>-</v>
      </c>
      <c r="M21" s="23" t="str">
        <f>IF($H$13="Entry Trigger",$E$13,"-")</f>
        <v>-</v>
      </c>
    </row>
    <row r="22" spans="1:13" x14ac:dyDescent="0.2">
      <c r="A22" s="23" t="s">
        <v>39</v>
      </c>
      <c r="B22" s="23" t="str">
        <f>IF($H$12="Target Triggered","Yes","No")</f>
        <v>Yes</v>
      </c>
      <c r="C22" s="23" t="str">
        <f>IF($H$12="Target Triggered","Sell Order","-")</f>
        <v>Sell Order</v>
      </c>
      <c r="D22" s="23">
        <f>IF($H$12="Target Triggered",I12,"-")</f>
        <v>5</v>
      </c>
      <c r="E22" s="23">
        <f>IF(F22="-","-",MROUND(F22*(1-0.1%),1))</f>
        <v>251406</v>
      </c>
      <c r="F22" s="23">
        <f>IF($H$12="Target Triggered",$F$12,"-")</f>
        <v>251658</v>
      </c>
      <c r="G22" s="33"/>
      <c r="H22" s="23" t="s">
        <v>39</v>
      </c>
      <c r="I22" s="23" t="str">
        <f>IF($H$13="Target Triggered","Yes","No")</f>
        <v>Yes</v>
      </c>
      <c r="J22" s="23" t="str">
        <f>IF($H$13="Target Triggered","Buy Order","-")</f>
        <v>Buy Order</v>
      </c>
      <c r="K22" s="23">
        <f>IF($H$13="Target Triggered",I12,"-")</f>
        <v>5</v>
      </c>
      <c r="L22" s="23">
        <f>IF(M22="-","-",MROUND(M22*(1+0.1%),1))</f>
        <v>242710</v>
      </c>
      <c r="M22" s="23">
        <f>IF($H$13="Target Triggered",$F$13,"-")</f>
        <v>242468</v>
      </c>
    </row>
    <row r="23" spans="1:13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149" t="s">
        <v>40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</row>
    <row r="26" spans="1:13" x14ac:dyDescent="0.2">
      <c r="A26" s="24"/>
      <c r="B26" s="24"/>
      <c r="C26" s="24"/>
      <c r="D26" s="24"/>
      <c r="E26" s="24"/>
      <c r="F26" s="24"/>
      <c r="G26" s="33"/>
      <c r="H26" s="24"/>
      <c r="I26" s="24"/>
      <c r="J26" s="24"/>
      <c r="K26" s="24"/>
      <c r="L26" s="24"/>
      <c r="M26" s="24"/>
    </row>
    <row r="27" spans="1:13" x14ac:dyDescent="0.2">
      <c r="A27" s="159" t="s">
        <v>83</v>
      </c>
      <c r="B27" s="100" t="s">
        <v>67</v>
      </c>
      <c r="C27" s="100" t="s">
        <v>43</v>
      </c>
      <c r="D27" s="101" t="s">
        <v>68</v>
      </c>
      <c r="E27" s="24"/>
      <c r="F27" s="24"/>
      <c r="G27" s="33"/>
      <c r="H27" s="24"/>
      <c r="I27" s="24"/>
      <c r="J27" s="24"/>
      <c r="K27" s="24"/>
      <c r="L27" s="24"/>
      <c r="M27" s="24"/>
    </row>
    <row r="28" spans="1:13" x14ac:dyDescent="0.2">
      <c r="A28" s="159"/>
      <c r="B28" s="27">
        <v>247989</v>
      </c>
      <c r="C28" s="27">
        <v>238222</v>
      </c>
      <c r="D28" s="28">
        <v>264750</v>
      </c>
      <c r="E28" s="24"/>
      <c r="F28" s="24"/>
      <c r="G28" s="33"/>
      <c r="H28" s="24"/>
      <c r="I28" s="24"/>
      <c r="J28" s="24"/>
      <c r="K28" s="24"/>
      <c r="L28" s="24"/>
      <c r="M28" s="24"/>
    </row>
    <row r="29" spans="1:13" x14ac:dyDescent="0.2">
      <c r="A29" s="24"/>
      <c r="B29" s="24"/>
      <c r="C29" s="24"/>
      <c r="D29" s="24"/>
      <c r="E29" s="24"/>
      <c r="F29" s="24"/>
      <c r="G29" s="33"/>
      <c r="H29" s="24"/>
      <c r="I29" s="24"/>
      <c r="J29" s="24"/>
      <c r="K29" s="24"/>
      <c r="L29" s="24"/>
      <c r="M29" s="24"/>
    </row>
    <row r="30" spans="1:13" x14ac:dyDescent="0.2">
      <c r="A30" s="24"/>
      <c r="B30" s="24"/>
      <c r="C30" s="24"/>
      <c r="D30" s="24"/>
      <c r="E30" s="24"/>
      <c r="F30" s="24"/>
      <c r="G30" s="33"/>
      <c r="H30" s="24"/>
      <c r="I30" s="24"/>
      <c r="J30" s="24"/>
      <c r="K30" s="24"/>
      <c r="L30" s="24"/>
      <c r="M30" s="24"/>
    </row>
    <row r="31" spans="1:13" x14ac:dyDescent="0.2">
      <c r="A31" s="15"/>
      <c r="B31" s="15"/>
      <c r="C31" s="15"/>
      <c r="D31" s="15"/>
      <c r="E31" s="49" t="s">
        <v>16</v>
      </c>
      <c r="F31" s="50" t="s">
        <v>17</v>
      </c>
      <c r="G31" s="15"/>
      <c r="H31" s="15"/>
      <c r="I31" s="24"/>
      <c r="J31" s="24"/>
      <c r="K31" s="24"/>
      <c r="L31" s="24"/>
      <c r="M31" s="24"/>
    </row>
    <row r="32" spans="1:13" x14ac:dyDescent="0.2">
      <c r="A32" s="98"/>
      <c r="B32" s="98" t="s">
        <v>18</v>
      </c>
      <c r="C32" s="98" t="s">
        <v>19</v>
      </c>
      <c r="D32" s="98" t="s">
        <v>20</v>
      </c>
      <c r="E32" s="107" t="s">
        <v>21</v>
      </c>
      <c r="F32" s="108" t="s">
        <v>22</v>
      </c>
      <c r="G32" s="41"/>
      <c r="H32" s="108" t="s">
        <v>65</v>
      </c>
      <c r="I32" s="24"/>
      <c r="J32" s="24"/>
      <c r="K32" s="24"/>
      <c r="L32" s="24"/>
      <c r="M32" s="24"/>
    </row>
    <row r="33" spans="1:13" x14ac:dyDescent="0.2">
      <c r="A33" s="19" t="s">
        <v>27</v>
      </c>
      <c r="B33" s="19">
        <f>MROUND(B28*(1+0.12%),1)</f>
        <v>248287</v>
      </c>
      <c r="C33" s="20"/>
      <c r="D33" s="19">
        <f>IF(H33="TGT","N.A.",MROUND(B33*(1+2%),1))</f>
        <v>253253</v>
      </c>
      <c r="E33" s="42">
        <f>IF(OR(G33="NO TGT",G33=""),MROUND(MAX((B33*(1-2%)),(C28*(1-0.12%))),1),"N.A.")</f>
        <v>243321</v>
      </c>
      <c r="F33" s="43">
        <f>MROUND(MAX((B33*(1-2%)),(D28*(1-0.12%))),1)</f>
        <v>264432</v>
      </c>
      <c r="G33" s="41"/>
      <c r="H33" s="44" t="s">
        <v>2</v>
      </c>
      <c r="I33" s="24"/>
      <c r="J33" s="24"/>
      <c r="K33" s="24"/>
      <c r="L33" s="24"/>
      <c r="M33" s="24"/>
    </row>
    <row r="34" spans="1:13" x14ac:dyDescent="0.2">
      <c r="A34" s="24"/>
      <c r="B34" s="24"/>
      <c r="C34" s="24"/>
      <c r="D34" s="24"/>
      <c r="E34" s="24"/>
      <c r="F34" s="24"/>
      <c r="G34" s="33"/>
      <c r="H34" s="24"/>
      <c r="I34" s="24"/>
      <c r="J34" s="24"/>
      <c r="K34" s="24"/>
      <c r="L34" s="24"/>
      <c r="M34" s="24"/>
    </row>
    <row r="35" spans="1:13" x14ac:dyDescent="0.2">
      <c r="A35" s="24"/>
      <c r="B35" s="24"/>
      <c r="C35" s="24"/>
      <c r="D35" s="24"/>
      <c r="E35" s="24"/>
      <c r="F35" s="24"/>
      <c r="G35" s="33"/>
      <c r="H35" s="24"/>
      <c r="I35" s="24"/>
      <c r="J35" s="24"/>
      <c r="K35" s="24"/>
      <c r="L35" s="24"/>
      <c r="M35" s="24"/>
    </row>
    <row r="36" spans="1:13" x14ac:dyDescent="0.2">
      <c r="A36" s="24"/>
      <c r="B36" s="24"/>
      <c r="C36" s="24"/>
      <c r="D36" s="24"/>
      <c r="E36" s="24"/>
      <c r="F36" s="24"/>
      <c r="G36" s="33"/>
      <c r="H36" s="24"/>
      <c r="I36" s="24"/>
      <c r="J36" s="24"/>
      <c r="K36" s="24"/>
      <c r="L36" s="24"/>
      <c r="M36" s="24"/>
    </row>
    <row r="37" spans="1:13" x14ac:dyDescent="0.2">
      <c r="A37" s="143" t="s">
        <v>29</v>
      </c>
      <c r="B37" s="144"/>
      <c r="C37" s="144"/>
      <c r="D37" s="144"/>
      <c r="E37" s="144"/>
      <c r="F37" s="145"/>
      <c r="G37" s="33"/>
      <c r="H37" s="24"/>
      <c r="I37" s="24"/>
      <c r="J37" s="24"/>
      <c r="K37" s="24"/>
      <c r="L37" s="24"/>
      <c r="M37" s="24"/>
    </row>
    <row r="38" spans="1:13" x14ac:dyDescent="0.2">
      <c r="A38" s="23" t="s">
        <v>31</v>
      </c>
      <c r="B38" s="23" t="s">
        <v>32</v>
      </c>
      <c r="C38" s="23" t="s">
        <v>33</v>
      </c>
      <c r="D38" s="23" t="s">
        <v>34</v>
      </c>
      <c r="E38" s="23" t="s">
        <v>35</v>
      </c>
      <c r="F38" s="23" t="s">
        <v>36</v>
      </c>
      <c r="G38" s="33"/>
      <c r="H38" s="24"/>
      <c r="I38" s="24"/>
      <c r="J38" s="24"/>
      <c r="K38" s="24"/>
      <c r="L38" s="24"/>
      <c r="M38" s="24"/>
    </row>
    <row r="39" spans="1:13" x14ac:dyDescent="0.2">
      <c r="A39" s="23" t="s">
        <v>37</v>
      </c>
      <c r="B39" s="23" t="str">
        <f>IF($H$33="NO Holdings","Yes","No")</f>
        <v>Yes</v>
      </c>
      <c r="C39" s="23" t="str">
        <f>IF($H$33="No Holdings","Buy Order","-")</f>
        <v>Buy Order</v>
      </c>
      <c r="D39" s="23">
        <f>IF($H$33="No Holdings",(I12*2),"-")</f>
        <v>10</v>
      </c>
      <c r="E39" s="23">
        <f>IF(F39="-","-",MROUND(F39*(1+0.1%),1))</f>
        <v>248535</v>
      </c>
      <c r="F39" s="23">
        <f>IF($H$33="No Holdings",$B$33,"-")</f>
        <v>248287</v>
      </c>
      <c r="G39" s="33"/>
      <c r="H39" s="24"/>
      <c r="I39" s="24"/>
      <c r="J39" s="24"/>
      <c r="K39" s="24"/>
      <c r="L39" s="24"/>
      <c r="M39" s="24"/>
    </row>
    <row r="40" spans="1:13" x14ac:dyDescent="0.2">
      <c r="A40" s="23" t="s">
        <v>20</v>
      </c>
      <c r="B40" s="23" t="str">
        <f>IF($H$33="Entry Trigger","Yes","No")</f>
        <v>No</v>
      </c>
      <c r="C40" s="23" t="str">
        <f>IF($H$33="Entry Trigger","Sell Order","-")</f>
        <v>-</v>
      </c>
      <c r="D40" s="23" t="str">
        <f>IF($H$33="Entry Trigger",I12,"-")</f>
        <v>-</v>
      </c>
      <c r="E40" s="23" t="str">
        <f>IF(F40="-","-","Use Limit")</f>
        <v>-</v>
      </c>
      <c r="F40" s="23" t="str">
        <f>IF(H33="Entry Trigger",IF(C33="",IF($H$33="Entry Trigger",$D$33,"-"),MROUND(C33*(1+1.25%),0.05)),"-")</f>
        <v>-</v>
      </c>
      <c r="G40" s="33"/>
      <c r="H40" s="24"/>
      <c r="I40" s="24"/>
      <c r="J40" s="24"/>
      <c r="K40" s="24"/>
      <c r="L40" s="24"/>
      <c r="M40" s="24"/>
    </row>
    <row r="41" spans="1:13" x14ac:dyDescent="0.2">
      <c r="A41" s="23" t="s">
        <v>38</v>
      </c>
      <c r="B41" s="23" t="str">
        <f>IF($H$33="Entry Trigger","Yes","No")</f>
        <v>No</v>
      </c>
      <c r="C41" s="23" t="str">
        <f>IF($H$33="Entry Trigger","Sell Order","-")</f>
        <v>-</v>
      </c>
      <c r="D41" s="23" t="str">
        <f>IF($H$33="Entry Trigger",(I12*2),"-")</f>
        <v>-</v>
      </c>
      <c r="E41" s="23" t="str">
        <f>IFERROR(IF(F41="-","-",MROUND(F41*(1-1%),1)),"NA")</f>
        <v>-</v>
      </c>
      <c r="F41" s="23" t="str">
        <f>IF($H$33="Entry Trigger",$E$33,"-")</f>
        <v>-</v>
      </c>
      <c r="G41" s="33"/>
      <c r="H41" s="24"/>
      <c r="I41" s="24"/>
      <c r="J41" s="24"/>
      <c r="K41" s="24"/>
      <c r="L41" s="24"/>
      <c r="M41" s="24"/>
    </row>
    <row r="42" spans="1:13" x14ac:dyDescent="0.2">
      <c r="A42" s="23" t="s">
        <v>39</v>
      </c>
      <c r="B42" s="23" t="str">
        <f>IF($H$33="Target Triggered","Yes","No")</f>
        <v>No</v>
      </c>
      <c r="C42" s="23" t="str">
        <f>IF($H$33="Target Triggered","Sell Order","-")</f>
        <v>-</v>
      </c>
      <c r="D42" s="23" t="str">
        <f>IF($H$33="Target Triggered",I12,"-")</f>
        <v>-</v>
      </c>
      <c r="E42" s="23" t="str">
        <f>IF(F42="-","-",MROUND(F42*(1-0.1%),1))</f>
        <v>-</v>
      </c>
      <c r="F42" s="23" t="str">
        <f>IF($H$33="Target Triggered",$F$33,"-")</f>
        <v>-</v>
      </c>
      <c r="G42" s="33"/>
      <c r="H42" s="24"/>
      <c r="I42" s="24"/>
      <c r="J42" s="24"/>
      <c r="K42" s="24"/>
      <c r="L42" s="24"/>
      <c r="M42" s="24"/>
    </row>
    <row r="43" spans="1:13" x14ac:dyDescent="0.2">
      <c r="A43" s="24"/>
      <c r="B43" s="24"/>
      <c r="C43" s="24"/>
      <c r="D43" s="24"/>
      <c r="E43" s="24"/>
      <c r="F43" s="24"/>
      <c r="G43" s="33"/>
      <c r="H43" s="24"/>
      <c r="I43" s="24"/>
      <c r="J43" s="24"/>
      <c r="K43" s="24"/>
      <c r="L43" s="24"/>
      <c r="M43" s="24"/>
    </row>
    <row r="44" spans="1:13" x14ac:dyDescent="0.2">
      <c r="A44" s="149" t="s">
        <v>44</v>
      </c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</row>
    <row r="45" spans="1:13" x14ac:dyDescent="0.2">
      <c r="A45" s="24"/>
      <c r="B45" s="24"/>
      <c r="C45" s="24"/>
      <c r="D45" s="24"/>
      <c r="E45" s="24"/>
      <c r="F45" s="24"/>
      <c r="G45" s="33"/>
      <c r="H45" s="24"/>
      <c r="I45" s="24"/>
      <c r="J45" s="24"/>
      <c r="K45" s="24"/>
      <c r="L45" s="24"/>
      <c r="M45" s="24"/>
    </row>
    <row r="46" spans="1:13" x14ac:dyDescent="0.2">
      <c r="A46" s="159" t="s">
        <v>45</v>
      </c>
      <c r="B46" s="102" t="s">
        <v>69</v>
      </c>
      <c r="C46" s="102" t="s">
        <v>47</v>
      </c>
      <c r="D46" s="24"/>
      <c r="E46" s="24"/>
      <c r="F46" s="24"/>
      <c r="G46" s="33"/>
      <c r="H46" s="24"/>
      <c r="I46" s="24"/>
      <c r="J46" s="24"/>
      <c r="K46" s="24"/>
      <c r="L46" s="24"/>
      <c r="M46" s="24"/>
    </row>
    <row r="47" spans="1:13" x14ac:dyDescent="0.2">
      <c r="A47" s="159"/>
      <c r="B47" s="30">
        <v>88605</v>
      </c>
      <c r="C47" s="31">
        <f>MROUND(B47*(1+0.12%),1)</f>
        <v>88711</v>
      </c>
      <c r="D47" s="24"/>
      <c r="E47" s="24"/>
      <c r="F47" s="24"/>
      <c r="G47" s="33"/>
      <c r="H47" s="24"/>
      <c r="I47" s="24"/>
      <c r="J47" s="24"/>
      <c r="K47" s="24"/>
      <c r="L47" s="24"/>
      <c r="M47" s="24"/>
    </row>
    <row r="48" spans="1:13" x14ac:dyDescent="0.2">
      <c r="A48" s="24"/>
      <c r="B48" s="24"/>
      <c r="C48" s="24"/>
      <c r="D48" s="24"/>
      <c r="E48" s="24"/>
      <c r="F48" s="24"/>
      <c r="G48" s="33"/>
      <c r="H48" s="24"/>
      <c r="I48" s="24"/>
      <c r="J48" s="24"/>
      <c r="K48" s="24"/>
      <c r="L48" s="24"/>
      <c r="M48" s="24"/>
    </row>
    <row r="49" spans="1:13" x14ac:dyDescent="0.2">
      <c r="A49" s="149" t="s">
        <v>48</v>
      </c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</row>
    <row r="50" spans="1:13" x14ac:dyDescent="0.2">
      <c r="A50" s="24"/>
      <c r="B50" s="24"/>
      <c r="C50" s="24"/>
      <c r="D50" s="24"/>
      <c r="E50" s="24"/>
      <c r="F50" s="24"/>
      <c r="G50" s="33"/>
      <c r="H50" s="24"/>
      <c r="I50" s="24"/>
      <c r="J50" s="24"/>
      <c r="K50" s="24"/>
      <c r="L50" s="24"/>
      <c r="M50" s="24"/>
    </row>
    <row r="51" spans="1:13" x14ac:dyDescent="0.2">
      <c r="A51" s="159" t="s">
        <v>83</v>
      </c>
      <c r="B51" s="100" t="s">
        <v>70</v>
      </c>
      <c r="C51" s="100" t="s">
        <v>50</v>
      </c>
      <c r="D51" s="101" t="s">
        <v>71</v>
      </c>
      <c r="E51" s="24"/>
      <c r="F51" s="24"/>
      <c r="G51" s="33"/>
      <c r="H51" s="24"/>
      <c r="I51" s="24"/>
      <c r="J51" s="24"/>
      <c r="K51" s="24"/>
      <c r="L51" s="24"/>
      <c r="M51" s="24"/>
    </row>
    <row r="52" spans="1:13" x14ac:dyDescent="0.2">
      <c r="A52" s="159"/>
      <c r="B52" s="27">
        <v>248479</v>
      </c>
      <c r="C52" s="27">
        <v>275600</v>
      </c>
      <c r="D52" s="28">
        <v>281659</v>
      </c>
      <c r="E52" s="24"/>
      <c r="F52" s="24"/>
      <c r="G52" s="33"/>
      <c r="H52" s="24"/>
      <c r="I52" s="24"/>
      <c r="J52" s="24"/>
      <c r="K52" s="24"/>
      <c r="L52" s="24"/>
      <c r="M52" s="24"/>
    </row>
    <row r="53" spans="1:13" x14ac:dyDescent="0.2">
      <c r="A53" s="24"/>
      <c r="B53" s="24"/>
      <c r="C53" s="24"/>
      <c r="D53" s="24"/>
      <c r="E53" s="24"/>
      <c r="F53" s="24"/>
      <c r="G53" s="33"/>
      <c r="H53" s="24"/>
      <c r="I53" s="24"/>
      <c r="J53" s="24"/>
      <c r="K53" s="24"/>
      <c r="L53" s="24"/>
      <c r="M53" s="24"/>
    </row>
    <row r="54" spans="1:13" x14ac:dyDescent="0.2">
      <c r="A54" s="24"/>
      <c r="B54" s="24"/>
      <c r="C54" s="24"/>
      <c r="D54" s="24"/>
      <c r="E54" s="24"/>
      <c r="F54" s="24"/>
      <c r="G54" s="33"/>
      <c r="H54" s="24"/>
      <c r="I54" s="24"/>
      <c r="J54" s="24"/>
      <c r="K54" s="24"/>
      <c r="L54" s="24"/>
      <c r="M54" s="24"/>
    </row>
    <row r="55" spans="1:13" x14ac:dyDescent="0.2">
      <c r="A55" s="15"/>
      <c r="B55" s="15"/>
      <c r="C55" s="15"/>
      <c r="D55" s="15"/>
      <c r="E55" s="49" t="s">
        <v>16</v>
      </c>
      <c r="F55" s="50" t="s">
        <v>17</v>
      </c>
      <c r="G55" s="15"/>
      <c r="H55" s="15"/>
      <c r="I55" s="24"/>
      <c r="J55" s="24"/>
      <c r="K55" s="24"/>
      <c r="L55" s="24"/>
      <c r="M55" s="24"/>
    </row>
    <row r="56" spans="1:13" x14ac:dyDescent="0.2">
      <c r="A56" s="98"/>
      <c r="B56" s="98" t="s">
        <v>18</v>
      </c>
      <c r="C56" s="98" t="s">
        <v>19</v>
      </c>
      <c r="D56" s="98" t="s">
        <v>20</v>
      </c>
      <c r="E56" s="107" t="s">
        <v>21</v>
      </c>
      <c r="F56" s="108" t="s">
        <v>22</v>
      </c>
      <c r="G56" s="41"/>
      <c r="H56" s="108" t="s">
        <v>65</v>
      </c>
      <c r="I56" s="24"/>
      <c r="J56" s="24"/>
      <c r="K56" s="24"/>
      <c r="L56" s="24"/>
      <c r="M56" s="24"/>
    </row>
    <row r="57" spans="1:13" x14ac:dyDescent="0.2">
      <c r="A57" s="22" t="s">
        <v>72</v>
      </c>
      <c r="B57" s="22">
        <f>MROUND(B52*(1-0.12%),1)</f>
        <v>248181</v>
      </c>
      <c r="C57" s="20"/>
      <c r="D57" s="22">
        <f>IF(H57="TGT","N.A.",MROUND(B57*(1-2%),1))</f>
        <v>243217</v>
      </c>
      <c r="E57" s="45">
        <f>IF(OR(G57="NO TGT",G57=""),MROUND(MIN((B57*(1+2%)),(C52*(1+0.12%))),1),"N.A.")</f>
        <v>253145</v>
      </c>
      <c r="F57" s="46">
        <f>MROUND(MIN((B57*(1+2%)),(D52*(1+0.12%))),1)</f>
        <v>253145</v>
      </c>
      <c r="G57" s="41"/>
      <c r="H57" s="44" t="s">
        <v>7</v>
      </c>
      <c r="I57" s="24"/>
      <c r="J57" s="24"/>
      <c r="K57" s="24"/>
      <c r="L57" s="24"/>
      <c r="M57" s="24"/>
    </row>
    <row r="58" spans="1:13" x14ac:dyDescent="0.2">
      <c r="A58" s="24"/>
      <c r="B58" s="24"/>
      <c r="C58" s="24"/>
      <c r="D58" s="24"/>
      <c r="E58" s="24"/>
      <c r="F58" s="24"/>
      <c r="G58" s="33"/>
      <c r="H58" s="24"/>
      <c r="I58" s="24"/>
      <c r="J58" s="24"/>
      <c r="K58" s="24"/>
      <c r="L58" s="24"/>
      <c r="M58" s="24"/>
    </row>
    <row r="59" spans="1:13" x14ac:dyDescent="0.2">
      <c r="A59" s="24"/>
      <c r="B59" s="24"/>
      <c r="C59" s="24"/>
      <c r="D59" s="24"/>
      <c r="E59" s="24"/>
      <c r="F59" s="24"/>
      <c r="G59" s="33"/>
      <c r="H59" s="24"/>
      <c r="I59" s="24"/>
      <c r="J59" s="24"/>
      <c r="K59" s="24"/>
      <c r="L59" s="24"/>
      <c r="M59" s="24"/>
    </row>
    <row r="60" spans="1:13" x14ac:dyDescent="0.2">
      <c r="A60" s="24"/>
      <c r="B60" s="24"/>
      <c r="C60" s="24"/>
      <c r="D60" s="24"/>
      <c r="E60" s="24"/>
      <c r="F60" s="24"/>
      <c r="G60" s="33"/>
      <c r="H60" s="24"/>
      <c r="I60" s="24"/>
      <c r="J60" s="24"/>
      <c r="K60" s="24"/>
      <c r="L60" s="24"/>
      <c r="M60" s="24"/>
    </row>
    <row r="61" spans="1:13" x14ac:dyDescent="0.2">
      <c r="A61" s="146" t="s">
        <v>30</v>
      </c>
      <c r="B61" s="147"/>
      <c r="C61" s="147"/>
      <c r="D61" s="147"/>
      <c r="E61" s="147"/>
      <c r="F61" s="148"/>
      <c r="G61" s="33"/>
      <c r="H61" s="24"/>
      <c r="I61" s="24"/>
      <c r="J61" s="24"/>
      <c r="K61" s="24"/>
      <c r="L61" s="24"/>
      <c r="M61" s="24"/>
    </row>
    <row r="62" spans="1:13" x14ac:dyDescent="0.2">
      <c r="A62" s="23" t="s">
        <v>31</v>
      </c>
      <c r="B62" s="23" t="s">
        <v>32</v>
      </c>
      <c r="C62" s="23" t="s">
        <v>33</v>
      </c>
      <c r="D62" s="23" t="s">
        <v>34</v>
      </c>
      <c r="E62" s="23" t="s">
        <v>35</v>
      </c>
      <c r="F62" s="23" t="s">
        <v>36</v>
      </c>
      <c r="G62" s="33"/>
      <c r="H62" s="24"/>
      <c r="I62" s="24"/>
      <c r="J62" s="24"/>
      <c r="K62" s="24"/>
      <c r="L62" s="24"/>
      <c r="M62" s="24"/>
    </row>
    <row r="63" spans="1:13" x14ac:dyDescent="0.2">
      <c r="A63" s="23" t="s">
        <v>37</v>
      </c>
      <c r="B63" s="23" t="str">
        <f>IF($H$57="NO Holdings","Yes","No")</f>
        <v>No</v>
      </c>
      <c r="C63" s="23" t="str">
        <f>IF($H$57="No Holdings","Sell Order","-")</f>
        <v>-</v>
      </c>
      <c r="D63" s="23" t="str">
        <f>IF($H$57="No Holdings",(I12*2),"-")</f>
        <v>-</v>
      </c>
      <c r="E63" s="23" t="str">
        <f>IF(F63="-","-",MROUND(F63*(1+1%),1))</f>
        <v>-</v>
      </c>
      <c r="F63" s="23" t="str">
        <f>IF($H$57="No Holdings",$B$57,"-")</f>
        <v>-</v>
      </c>
      <c r="G63" s="33"/>
      <c r="H63" s="24"/>
      <c r="I63" s="24"/>
      <c r="J63" s="24"/>
      <c r="K63" s="24"/>
      <c r="L63" s="24"/>
      <c r="M63" s="24"/>
    </row>
    <row r="64" spans="1:13" x14ac:dyDescent="0.2">
      <c r="A64" s="23" t="s">
        <v>20</v>
      </c>
      <c r="B64" s="23" t="str">
        <f>IF($H$57="Entry Trigger","Yes","No")</f>
        <v>No</v>
      </c>
      <c r="C64" s="23" t="str">
        <f>IF($H$57="Entry Trigger","Buy Order","-")</f>
        <v>-</v>
      </c>
      <c r="D64" s="23" t="str">
        <f>IF($H$57="Entry Trigger",I12,"-")</f>
        <v>-</v>
      </c>
      <c r="E64" s="23" t="str">
        <f>IF(F64="-","-","Use Limit")</f>
        <v>-</v>
      </c>
      <c r="F64" s="23" t="str">
        <f>IF(H57="Entry Trigger",IF(C57="",IF($H$57="Entry Trigger",$D$57,"-"),MROUND(C57*(1+1.25%),0.05)),"-")</f>
        <v>-</v>
      </c>
      <c r="G64" s="33"/>
      <c r="H64" s="24"/>
      <c r="I64" s="24"/>
      <c r="J64" s="24"/>
      <c r="K64" s="24"/>
      <c r="L64" s="24"/>
      <c r="M64" s="24"/>
    </row>
    <row r="65" spans="1:13" x14ac:dyDescent="0.2">
      <c r="A65" s="23" t="s">
        <v>38</v>
      </c>
      <c r="B65" s="23" t="str">
        <f>IF($H$57="Entry Trigger","Yes","No")</f>
        <v>No</v>
      </c>
      <c r="C65" s="23" t="str">
        <f>IF($H$57="Entry Trigger","Buy Order","-")</f>
        <v>-</v>
      </c>
      <c r="D65" s="23" t="str">
        <f>IF($H$57="Entry Trigger",(I12*2),"-")</f>
        <v>-</v>
      </c>
      <c r="E65" s="23" t="str">
        <f>IFERROR(IF(F65="-","-",MROUND(F65*(1+0.1%),1)),"NA")</f>
        <v>-</v>
      </c>
      <c r="F65" s="23" t="str">
        <f>IF($H$57="Entry Trigger",$E$57,"-")</f>
        <v>-</v>
      </c>
      <c r="G65" s="33"/>
      <c r="H65" s="24"/>
      <c r="I65" s="24"/>
      <c r="J65" s="24"/>
      <c r="K65" s="24"/>
      <c r="L65" s="24"/>
      <c r="M65" s="24"/>
    </row>
    <row r="66" spans="1:13" x14ac:dyDescent="0.2">
      <c r="A66" s="23" t="s">
        <v>39</v>
      </c>
      <c r="B66" s="23" t="str">
        <f>IF($H$57="Target Triggered","Yes","No")</f>
        <v>Yes</v>
      </c>
      <c r="C66" s="23" t="str">
        <f>IF($H$57="Target Triggered","Buy Order","-")</f>
        <v>Buy Order</v>
      </c>
      <c r="D66" s="23">
        <f>IF($H$57="Target Triggered",I12,"-")</f>
        <v>5</v>
      </c>
      <c r="E66" s="23">
        <f>IF(F66="-","-",(MROUND(F66*(1+0.1%),1)))</f>
        <v>253398</v>
      </c>
      <c r="F66" s="23">
        <f>IF($H$57="Target Triggered",$F$57,"-")</f>
        <v>253145</v>
      </c>
      <c r="G66" s="33"/>
      <c r="H66" s="24"/>
      <c r="I66" s="24"/>
      <c r="J66" s="24"/>
      <c r="K66" s="24"/>
      <c r="L66" s="24"/>
      <c r="M66" s="24"/>
    </row>
    <row r="67" spans="1:13" x14ac:dyDescent="0.2">
      <c r="A67" s="24"/>
      <c r="B67" s="24"/>
      <c r="C67" s="24"/>
      <c r="D67" s="24"/>
      <c r="E67" s="24"/>
      <c r="F67" s="24"/>
      <c r="G67" s="33"/>
      <c r="H67" s="24"/>
      <c r="I67" s="24"/>
      <c r="J67" s="24"/>
      <c r="K67" s="24"/>
      <c r="L67" s="24"/>
      <c r="M67" s="24"/>
    </row>
    <row r="68" spans="1:13" x14ac:dyDescent="0.2">
      <c r="A68" s="149" t="s">
        <v>51</v>
      </c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</row>
    <row r="69" spans="1:13" x14ac:dyDescent="0.2">
      <c r="A69" s="24"/>
      <c r="B69" s="24"/>
      <c r="C69" s="24"/>
      <c r="D69" s="24"/>
      <c r="E69" s="24"/>
      <c r="F69" s="24"/>
      <c r="G69" s="33"/>
      <c r="H69" s="24"/>
      <c r="I69" s="24"/>
      <c r="J69" s="24"/>
      <c r="K69" s="24"/>
      <c r="L69" s="24"/>
      <c r="M69" s="24"/>
    </row>
    <row r="70" spans="1:13" x14ac:dyDescent="0.2">
      <c r="A70" s="159" t="s">
        <v>52</v>
      </c>
      <c r="B70" s="102" t="s">
        <v>73</v>
      </c>
      <c r="C70" s="102" t="s">
        <v>47</v>
      </c>
      <c r="D70" s="24"/>
      <c r="E70" s="24"/>
      <c r="F70" s="24"/>
      <c r="G70" s="33"/>
      <c r="H70" s="24"/>
      <c r="I70" s="24"/>
      <c r="J70" s="24"/>
      <c r="K70" s="24"/>
      <c r="L70" s="24"/>
      <c r="M70" s="24"/>
    </row>
    <row r="71" spans="1:13" x14ac:dyDescent="0.2">
      <c r="A71" s="159"/>
      <c r="B71" s="30">
        <v>72685</v>
      </c>
      <c r="C71" s="31">
        <f>MROUND(B71*(1-0.12%),1)</f>
        <v>72598</v>
      </c>
      <c r="D71" s="24"/>
      <c r="E71" s="24"/>
      <c r="F71" s="24"/>
      <c r="G71" s="33"/>
      <c r="H71" s="24"/>
      <c r="I71" s="24"/>
      <c r="J71" s="24"/>
      <c r="K71" s="24"/>
      <c r="L71" s="24"/>
      <c r="M71" s="24"/>
    </row>
    <row r="74" spans="1:13" x14ac:dyDescent="0.2">
      <c r="B74" s="58"/>
      <c r="C74" s="58"/>
    </row>
    <row r="75" spans="1:13" x14ac:dyDescent="0.2">
      <c r="B75" s="58"/>
      <c r="C75" s="58"/>
    </row>
    <row r="76" spans="1:13" x14ac:dyDescent="0.2">
      <c r="B76" s="58"/>
      <c r="C76" s="58"/>
    </row>
    <row r="77" spans="1:13" x14ac:dyDescent="0.2">
      <c r="B77" s="58"/>
      <c r="C77" s="58"/>
    </row>
    <row r="78" spans="1:13" x14ac:dyDescent="0.2">
      <c r="A78" s="59"/>
      <c r="B78" s="60"/>
      <c r="C78" s="60"/>
      <c r="D78" s="59"/>
      <c r="E78" s="59"/>
    </row>
    <row r="79" spans="1:13" x14ac:dyDescent="0.2">
      <c r="A79" s="59"/>
      <c r="B79" s="60"/>
      <c r="C79" s="60"/>
      <c r="D79" s="59"/>
      <c r="E79" s="59"/>
    </row>
    <row r="80" spans="1:13" x14ac:dyDescent="0.2">
      <c r="A80" s="59"/>
      <c r="B80" s="60"/>
      <c r="C80" s="60"/>
      <c r="D80" s="59"/>
      <c r="E80" s="59"/>
    </row>
    <row r="81" spans="1:5" x14ac:dyDescent="0.2">
      <c r="A81" s="59"/>
      <c r="B81" s="59"/>
      <c r="C81" s="59"/>
      <c r="D81" s="59"/>
      <c r="E81" s="59"/>
    </row>
    <row r="82" spans="1:5" ht="19" x14ac:dyDescent="0.25">
      <c r="B82" s="52" t="s">
        <v>3</v>
      </c>
      <c r="C82" s="53"/>
      <c r="D82" s="53"/>
      <c r="E82" s="59"/>
    </row>
    <row r="83" spans="1:5" ht="19" x14ac:dyDescent="0.25">
      <c r="B83" s="54" t="s">
        <v>6</v>
      </c>
      <c r="E83" s="59"/>
    </row>
    <row r="84" spans="1:5" ht="19" x14ac:dyDescent="0.25">
      <c r="B84" s="54" t="s">
        <v>12</v>
      </c>
      <c r="C84" s="53"/>
      <c r="D84" s="53"/>
      <c r="E84" s="59"/>
    </row>
    <row r="85" spans="1:5" ht="19" x14ac:dyDescent="0.25">
      <c r="B85" s="54" t="s">
        <v>14</v>
      </c>
      <c r="C85" s="53"/>
      <c r="E85" s="59"/>
    </row>
  </sheetData>
  <sheetProtection algorithmName="SHA-512" hashValue="JDhRpv4JpnH3RVfElofXFKUNDoyPwEUkSlMva3e9QXnWg2kn/n1Ir4Y/AZDRDje3SHRtlUUc+lIivOTwvn0ilQ==" saltValue="FGh5ls8uyUumCx0JVkJyNw==" spinCount="100000" sheet="1" objects="1" scenarios="1"/>
  <mergeCells count="15">
    <mergeCell ref="A68:M68"/>
    <mergeCell ref="A27:A28"/>
    <mergeCell ref="A46:A47"/>
    <mergeCell ref="A51:A52"/>
    <mergeCell ref="A70:A71"/>
    <mergeCell ref="A25:M25"/>
    <mergeCell ref="A37:F37"/>
    <mergeCell ref="A44:M44"/>
    <mergeCell ref="A49:M49"/>
    <mergeCell ref="A61:F61"/>
    <mergeCell ref="A1:M1"/>
    <mergeCell ref="A3:B3"/>
    <mergeCell ref="C3:E3"/>
    <mergeCell ref="A17:F17"/>
    <mergeCell ref="H17:M17"/>
  </mergeCells>
  <dataValidations count="2">
    <dataValidation type="list" allowBlank="1" showInputMessage="1" showErrorMessage="1" sqref="G33 G57 G12:G13" xr:uid="{00000000-0002-0000-0600-000000000000}">
      <formula1>$O$1:$O$3</formula1>
    </dataValidation>
    <dataValidation type="list" allowBlank="1" showInputMessage="1" showErrorMessage="1" sqref="H33 H57 H12:H13" xr:uid="{00000000-0002-0000-0600-000001000000}">
      <formula1>$P$1:$P$3</formula1>
    </dataValidation>
  </dataValidations>
  <pageMargins left="0.69930555555555596" right="0.69930555555555596" top="0.75" bottom="0.75" header="0.3" footer="0.3"/>
  <ignoredErrors>
    <ignoredError sqref="G7:G8" formulaRange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5"/>
  <sheetViews>
    <sheetView zoomScale="140" zoomScaleNormal="140" workbookViewId="0">
      <selection activeCell="E9" sqref="E9"/>
    </sheetView>
  </sheetViews>
  <sheetFormatPr baseColWidth="10" defaultColWidth="9" defaultRowHeight="16" x14ac:dyDescent="0.2"/>
  <cols>
    <col min="1" max="1" width="19" customWidth="1"/>
    <col min="2" max="2" width="13.1640625" customWidth="1"/>
    <col min="3" max="3" width="12.1640625" customWidth="1"/>
    <col min="4" max="4" width="12.5" customWidth="1"/>
    <col min="5" max="5" width="13.33203125" customWidth="1"/>
    <col min="6" max="7" width="13.5" customWidth="1"/>
    <col min="8" max="8" width="18.83203125" customWidth="1"/>
    <col min="9" max="9" width="12" customWidth="1"/>
    <col min="10" max="11" width="12.1640625" customWidth="1"/>
    <col min="12" max="12" width="12" customWidth="1"/>
    <col min="13" max="13" width="13.5" customWidth="1"/>
    <col min="15" max="15" width="10.33203125" customWidth="1"/>
    <col min="16" max="16" width="13.83203125" hidden="1" customWidth="1"/>
  </cols>
  <sheetData>
    <row r="1" spans="1:16" x14ac:dyDescent="0.2">
      <c r="A1" s="155" t="s">
        <v>84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P1" t="s">
        <v>2</v>
      </c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t="s">
        <v>4</v>
      </c>
    </row>
    <row r="3" spans="1:16" x14ac:dyDescent="0.2">
      <c r="A3" s="160" t="s">
        <v>59</v>
      </c>
      <c r="B3" s="161"/>
      <c r="C3" s="158"/>
      <c r="D3" s="158"/>
      <c r="E3" s="158"/>
      <c r="F3" s="15"/>
      <c r="G3" s="15"/>
      <c r="H3" s="15"/>
      <c r="I3" s="15"/>
      <c r="J3" s="15"/>
      <c r="K3" s="15"/>
      <c r="L3" s="15"/>
      <c r="M3" s="2"/>
      <c r="P3" t="s">
        <v>7</v>
      </c>
    </row>
    <row r="4" spans="1:16" ht="19" x14ac:dyDescent="0.25">
      <c r="A4" s="3"/>
      <c r="B4" s="4"/>
      <c r="C4" s="82"/>
      <c r="D4" s="82"/>
      <c r="E4" s="82"/>
      <c r="F4" s="15"/>
      <c r="G4" s="15"/>
      <c r="H4" s="15"/>
      <c r="I4" s="33"/>
      <c r="J4" s="51"/>
      <c r="K4" s="52" t="s">
        <v>3</v>
      </c>
      <c r="L4" s="53"/>
      <c r="M4" s="2"/>
    </row>
    <row r="5" spans="1:16" ht="19" x14ac:dyDescent="0.25">
      <c r="A5" s="7" t="s">
        <v>5</v>
      </c>
      <c r="B5" s="9"/>
      <c r="C5" s="9"/>
      <c r="D5" s="83"/>
      <c r="E5" s="8"/>
      <c r="F5" s="15"/>
      <c r="G5" s="15"/>
      <c r="H5" s="15"/>
      <c r="I5" s="33"/>
      <c r="J5" s="51"/>
      <c r="K5" s="54" t="s">
        <v>6</v>
      </c>
      <c r="M5" s="2"/>
    </row>
    <row r="6" spans="1:16" ht="19" x14ac:dyDescent="0.25">
      <c r="A6" s="84" t="s">
        <v>85</v>
      </c>
      <c r="B6" s="85" t="s">
        <v>9</v>
      </c>
      <c r="C6" s="85" t="s">
        <v>10</v>
      </c>
      <c r="D6" s="85" t="s">
        <v>61</v>
      </c>
      <c r="E6" s="84" t="s">
        <v>62</v>
      </c>
      <c r="F6" s="89" t="s">
        <v>63</v>
      </c>
      <c r="G6" s="55" t="s">
        <v>64</v>
      </c>
      <c r="H6" s="15"/>
      <c r="I6" s="33"/>
      <c r="J6" s="51"/>
      <c r="K6" s="54" t="s">
        <v>12</v>
      </c>
      <c r="L6" s="53"/>
      <c r="M6" s="2"/>
    </row>
    <row r="7" spans="1:16" ht="19" x14ac:dyDescent="0.25">
      <c r="A7" s="63" t="s">
        <v>13</v>
      </c>
      <c r="B7" s="86">
        <v>243699</v>
      </c>
      <c r="C7" s="87">
        <v>253871</v>
      </c>
      <c r="D7" s="87">
        <v>256288</v>
      </c>
      <c r="E7" s="90">
        <v>256543</v>
      </c>
      <c r="F7" s="12">
        <f>MAX(B7:E7)</f>
        <v>256543</v>
      </c>
      <c r="G7" s="91">
        <f>MAX(D7:E7)</f>
        <v>256543</v>
      </c>
      <c r="H7" s="15"/>
      <c r="I7" s="33"/>
      <c r="J7" s="51"/>
      <c r="K7" s="54" t="s">
        <v>14</v>
      </c>
      <c r="L7" s="53"/>
      <c r="M7" s="2"/>
    </row>
    <row r="8" spans="1:16" x14ac:dyDescent="0.2">
      <c r="A8" s="63" t="s">
        <v>15</v>
      </c>
      <c r="B8" s="86">
        <v>238705</v>
      </c>
      <c r="C8" s="87">
        <v>243596</v>
      </c>
      <c r="D8" s="87">
        <v>249901</v>
      </c>
      <c r="E8" s="90">
        <v>249764</v>
      </c>
      <c r="F8" s="12">
        <f>MIN(B8:E8)</f>
        <v>238705</v>
      </c>
      <c r="G8" s="91">
        <f>MIN(D8:E8)</f>
        <v>249764</v>
      </c>
      <c r="H8" s="15"/>
      <c r="I8" s="15"/>
      <c r="J8" s="15"/>
      <c r="K8" s="15"/>
      <c r="L8" s="15"/>
      <c r="M8" s="2"/>
    </row>
    <row r="9" spans="1:16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2"/>
    </row>
    <row r="10" spans="1:16" x14ac:dyDescent="0.2">
      <c r="A10" s="15"/>
      <c r="B10" s="15"/>
      <c r="C10" s="15"/>
      <c r="D10" s="15"/>
      <c r="E10" s="37" t="s">
        <v>16</v>
      </c>
      <c r="F10" s="38" t="s">
        <v>17</v>
      </c>
      <c r="G10" s="15"/>
      <c r="H10" s="15"/>
      <c r="I10" s="15"/>
      <c r="J10" s="15"/>
      <c r="K10" s="15"/>
      <c r="L10" s="15"/>
      <c r="M10" s="2"/>
    </row>
    <row r="11" spans="1:16" x14ac:dyDescent="0.2">
      <c r="A11" s="16"/>
      <c r="B11" s="17" t="s">
        <v>18</v>
      </c>
      <c r="C11" s="17" t="s">
        <v>19</v>
      </c>
      <c r="D11" s="17" t="s">
        <v>20</v>
      </c>
      <c r="E11" s="39" t="s">
        <v>21</v>
      </c>
      <c r="F11" s="40" t="s">
        <v>22</v>
      </c>
      <c r="G11" s="77"/>
      <c r="H11" s="40" t="s">
        <v>65</v>
      </c>
      <c r="I11" s="55" t="s">
        <v>26</v>
      </c>
      <c r="J11" s="56"/>
      <c r="K11" s="15"/>
      <c r="L11" s="15"/>
      <c r="M11" s="2"/>
    </row>
    <row r="12" spans="1:16" x14ac:dyDescent="0.2">
      <c r="A12" s="18" t="s">
        <v>27</v>
      </c>
      <c r="B12" s="19">
        <f>MROUND(F7*(1+0.12%),1)</f>
        <v>256851</v>
      </c>
      <c r="C12" s="66"/>
      <c r="D12" s="19">
        <f>IF(H12="TGT","N.A.",MROUND(B12*(1+2%),1))</f>
        <v>261988</v>
      </c>
      <c r="E12" s="42">
        <f>IF(OR(G12="NO TGT",G12=""),MROUND(MAX((B12*(1-2%)),(G8*(1-0.12%))),1),"N.A.")</f>
        <v>251714</v>
      </c>
      <c r="F12" s="43">
        <f>MROUND(MAX((B12*(1-2%)),(F8*(1-0.12%))),1)</f>
        <v>251714</v>
      </c>
      <c r="G12" s="41"/>
      <c r="H12" s="74" t="s">
        <v>2</v>
      </c>
      <c r="I12" s="71">
        <v>1</v>
      </c>
      <c r="J12" s="56"/>
      <c r="K12" s="15"/>
      <c r="L12" s="15"/>
      <c r="M12" s="2"/>
    </row>
    <row r="13" spans="1:16" x14ac:dyDescent="0.2">
      <c r="A13" s="21" t="s">
        <v>28</v>
      </c>
      <c r="B13" s="22">
        <f>MROUND(F8*(1-0.12%),1)</f>
        <v>238419</v>
      </c>
      <c r="C13" s="66"/>
      <c r="D13" s="22">
        <f>IF(H13="TGT","N.A.",MROUND(B13*(1-2%),1))</f>
        <v>233651</v>
      </c>
      <c r="E13" s="45">
        <f>IF(OR(G13="NO TGT",G13=""),MROUND(MIN((B13*(1+2%)),(G7*(1+0.12%))),1),"N.A.")</f>
        <v>243187</v>
      </c>
      <c r="F13" s="46">
        <f>MROUND(MIN((B13*(1+2%)),(F7*(1+0.12%))),1)</f>
        <v>243187</v>
      </c>
      <c r="G13" s="41"/>
      <c r="H13" s="74" t="s">
        <v>2</v>
      </c>
      <c r="I13" s="56"/>
      <c r="J13" s="56"/>
      <c r="K13" s="15"/>
      <c r="L13" s="15"/>
      <c r="M13" s="2"/>
    </row>
    <row r="14" spans="1:1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143" t="s">
        <v>29</v>
      </c>
      <c r="B17" s="144"/>
      <c r="C17" s="144"/>
      <c r="D17" s="144"/>
      <c r="E17" s="144"/>
      <c r="F17" s="145"/>
      <c r="G17" s="33"/>
      <c r="H17" s="146" t="s">
        <v>30</v>
      </c>
      <c r="I17" s="147"/>
      <c r="J17" s="147"/>
      <c r="K17" s="147"/>
      <c r="L17" s="147"/>
      <c r="M17" s="148"/>
    </row>
    <row r="18" spans="1:13" x14ac:dyDescent="0.2">
      <c r="A18" s="23" t="s">
        <v>31</v>
      </c>
      <c r="B18" s="23" t="s">
        <v>32</v>
      </c>
      <c r="C18" s="23" t="s">
        <v>33</v>
      </c>
      <c r="D18" s="23" t="s">
        <v>34</v>
      </c>
      <c r="E18" s="23" t="s">
        <v>35</v>
      </c>
      <c r="F18" s="23" t="s">
        <v>36</v>
      </c>
      <c r="G18" s="33"/>
      <c r="H18" s="23" t="s">
        <v>31</v>
      </c>
      <c r="I18" s="23" t="s">
        <v>32</v>
      </c>
      <c r="J18" s="23" t="s">
        <v>33</v>
      </c>
      <c r="K18" s="23" t="s">
        <v>34</v>
      </c>
      <c r="L18" s="23" t="s">
        <v>35</v>
      </c>
      <c r="M18" s="23" t="s">
        <v>36</v>
      </c>
    </row>
    <row r="19" spans="1:13" x14ac:dyDescent="0.2">
      <c r="A19" s="23" t="s">
        <v>37</v>
      </c>
      <c r="B19" s="23" t="str">
        <f>IF($H$12="NO Holdings","Yes","No")</f>
        <v>Yes</v>
      </c>
      <c r="C19" s="23" t="str">
        <f>IF($H$12="No Holdings","Buy Order","-")</f>
        <v>Buy Order</v>
      </c>
      <c r="D19" s="23">
        <f>IF($H$12="No Holdings",(I12*2),"-")</f>
        <v>2</v>
      </c>
      <c r="E19" s="23">
        <f>IF(F19="-","-",MROUND(F19*(1+0.1%),1))</f>
        <v>257108</v>
      </c>
      <c r="F19" s="23">
        <f>IF($H$12="No Holdings",$B$12,"-")</f>
        <v>256851</v>
      </c>
      <c r="G19" s="33"/>
      <c r="H19" s="23" t="s">
        <v>37</v>
      </c>
      <c r="I19" s="23" t="str">
        <f>IF($H$13="NO Holdings","Yes","No")</f>
        <v>Yes</v>
      </c>
      <c r="J19" s="23" t="str">
        <f>IF($H$13="No Holdings","Sell Order","-")</f>
        <v>Sell Order</v>
      </c>
      <c r="K19" s="23">
        <f>IF($H$13="No Holdings",(I12*2),"-")</f>
        <v>2</v>
      </c>
      <c r="L19" s="23">
        <f>IF(M19="-","-",MROUND(M19*(1-0.1%),1))</f>
        <v>238181</v>
      </c>
      <c r="M19" s="23">
        <f>IF($H$13="No Holdings",$B$13,"-")</f>
        <v>238419</v>
      </c>
    </row>
    <row r="20" spans="1:13" x14ac:dyDescent="0.2">
      <c r="A20" s="23" t="s">
        <v>20</v>
      </c>
      <c r="B20" s="23" t="str">
        <f>IF($H$12="Entry Trigger","Yes","No")</f>
        <v>No</v>
      </c>
      <c r="C20" s="23" t="str">
        <f>IF($H$12="Entry Trigger","Sell Order","-")</f>
        <v>-</v>
      </c>
      <c r="D20" s="23" t="str">
        <f>IF($H$12="Entry Trigger",I12,"-")</f>
        <v>-</v>
      </c>
      <c r="E20" s="23" t="str">
        <f>IF(F20="-","-","Use Limit")</f>
        <v>-</v>
      </c>
      <c r="F20" s="23" t="str">
        <f>IF(H12="Entry Trigger",IF(C12="",IF($H$12="Entry Trigger",$D$12,"-"),MROUND(C12*(1+1.25%),0.05)),"-")</f>
        <v>-</v>
      </c>
      <c r="G20" s="33"/>
      <c r="H20" s="23" t="s">
        <v>20</v>
      </c>
      <c r="I20" s="23" t="str">
        <f>IF($H$13="Entry Trigger","Yes","No")</f>
        <v>No</v>
      </c>
      <c r="J20" s="23" t="str">
        <f>IF($H$13="Entry Trigger","Buy Order","-")</f>
        <v>-</v>
      </c>
      <c r="K20" s="23" t="str">
        <f>IF($H$13="Entry Trigger",I12,"-")</f>
        <v>-</v>
      </c>
      <c r="L20" s="23" t="str">
        <f>IF(M20="-","-","Use Limit")</f>
        <v>-</v>
      </c>
      <c r="M20" s="23" t="str">
        <f>IF(H13="Entry Trigger",IF(C13="",IF($H$13="Entry Trigger",$D$13,"-"),MROUND(C13*(1-1.25%),0.05)),"-")</f>
        <v>-</v>
      </c>
    </row>
    <row r="21" spans="1:13" x14ac:dyDescent="0.2">
      <c r="A21" s="23" t="s">
        <v>38</v>
      </c>
      <c r="B21" s="23" t="str">
        <f>IF($H$12="Entry Trigger","Yes","No")</f>
        <v>No</v>
      </c>
      <c r="C21" s="23" t="str">
        <f>IF($H$12="Entry Trigger","Sell Order","-")</f>
        <v>-</v>
      </c>
      <c r="D21" s="23" t="str">
        <f>IF($H$12="Entry Trigger",(I12*2),"-")</f>
        <v>-</v>
      </c>
      <c r="E21" s="23" t="str">
        <f>IFERROR(IF(F21="-","-",MROUND(F21*(1-0.1%),1)),"NA")</f>
        <v>-</v>
      </c>
      <c r="F21" s="23" t="str">
        <f>IF($H$12="Entry Trigger",$E$12,"-")</f>
        <v>-</v>
      </c>
      <c r="G21" s="33"/>
      <c r="H21" s="23" t="s">
        <v>38</v>
      </c>
      <c r="I21" s="23" t="str">
        <f>IF($H$13="Entry Trigger","Yes","No")</f>
        <v>No</v>
      </c>
      <c r="J21" s="23" t="str">
        <f>IF($H$13="Entry Trigger","Buy Order","-")</f>
        <v>-</v>
      </c>
      <c r="K21" s="23" t="str">
        <f>IF($H$13="Entry Trigger",(I12*2),"-")</f>
        <v>-</v>
      </c>
      <c r="L21" s="23" t="str">
        <f>IFERROR(IF(M21="-","-",MROUND(M21*(1+0.1%),1)),"NA")</f>
        <v>-</v>
      </c>
      <c r="M21" s="23" t="str">
        <f>IF($H$13="Entry Trigger",$E$13,"-")</f>
        <v>-</v>
      </c>
    </row>
    <row r="22" spans="1:13" x14ac:dyDescent="0.2">
      <c r="A22" s="23" t="s">
        <v>39</v>
      </c>
      <c r="B22" s="23" t="str">
        <f>IF($H$12="Target Triggered","Yes","No")</f>
        <v>No</v>
      </c>
      <c r="C22" s="23" t="str">
        <f>IF($H$12="Target Triggered","Sell Order","-")</f>
        <v>-</v>
      </c>
      <c r="D22" s="23" t="str">
        <f>IF($H$12="Target Triggered",I12,"-")</f>
        <v>-</v>
      </c>
      <c r="E22" s="23" t="str">
        <f>IF(F22="-","-",MROUND(F22*(1-0.1%),1))</f>
        <v>-</v>
      </c>
      <c r="F22" s="23" t="str">
        <f>IF($H$12="Target Triggered",$F$12,"-")</f>
        <v>-</v>
      </c>
      <c r="G22" s="33"/>
      <c r="H22" s="23" t="s">
        <v>39</v>
      </c>
      <c r="I22" s="23" t="str">
        <f>IF($H$13="Target Triggered","Yes","No")</f>
        <v>No</v>
      </c>
      <c r="J22" s="23" t="str">
        <f>IF($H$13="Target Triggered","Buy Order","-")</f>
        <v>-</v>
      </c>
      <c r="K22" s="23" t="str">
        <f>IF($H$13="Target Triggered",I12,"-")</f>
        <v>-</v>
      </c>
      <c r="L22" s="23" t="str">
        <f>IF(M22="-","-",MROUND(M22*(1+0.1%),1))</f>
        <v>-</v>
      </c>
      <c r="M22" s="23" t="str">
        <f>IF($H$13="Target Triggered",$F$13,"-")</f>
        <v>-</v>
      </c>
    </row>
    <row r="23" spans="1:13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162" t="s">
        <v>40</v>
      </c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</row>
    <row r="26" spans="1:13" x14ac:dyDescent="0.2">
      <c r="A26" s="24"/>
      <c r="B26" s="24"/>
      <c r="C26" s="24"/>
      <c r="D26" s="24"/>
      <c r="E26" s="24"/>
      <c r="F26" s="24"/>
      <c r="G26" s="33"/>
      <c r="H26" s="24"/>
      <c r="I26" s="24"/>
      <c r="J26" s="24"/>
      <c r="K26" s="24"/>
      <c r="L26" s="24"/>
      <c r="M26" s="24"/>
    </row>
    <row r="27" spans="1:13" x14ac:dyDescent="0.2">
      <c r="A27" s="163" t="s">
        <v>86</v>
      </c>
      <c r="B27" s="25" t="s">
        <v>67</v>
      </c>
      <c r="C27" s="25" t="s">
        <v>43</v>
      </c>
      <c r="D27" s="88" t="s">
        <v>68</v>
      </c>
      <c r="E27" s="24"/>
      <c r="F27" s="24"/>
      <c r="G27" s="33"/>
      <c r="H27" s="24"/>
      <c r="I27" s="24"/>
      <c r="J27" s="24"/>
      <c r="K27" s="24"/>
      <c r="L27" s="24"/>
      <c r="M27" s="24"/>
    </row>
    <row r="28" spans="1:13" x14ac:dyDescent="0.2">
      <c r="A28" s="163"/>
      <c r="B28" s="68">
        <v>247989</v>
      </c>
      <c r="C28" s="68">
        <v>227000</v>
      </c>
      <c r="D28" s="69">
        <v>265000</v>
      </c>
      <c r="E28" s="24"/>
      <c r="F28" s="24"/>
      <c r="G28" s="33"/>
      <c r="H28" s="24"/>
      <c r="I28" s="24"/>
      <c r="J28" s="24"/>
      <c r="K28" s="24"/>
      <c r="L28" s="24"/>
      <c r="M28" s="24"/>
    </row>
    <row r="29" spans="1:13" x14ac:dyDescent="0.2">
      <c r="A29" s="24"/>
      <c r="B29" s="24"/>
      <c r="C29" s="24"/>
      <c r="D29" s="24"/>
      <c r="E29" s="24"/>
      <c r="F29" s="24"/>
      <c r="G29" s="33"/>
      <c r="H29" s="24"/>
      <c r="I29" s="24"/>
      <c r="J29" s="24"/>
      <c r="K29" s="24"/>
      <c r="L29" s="24"/>
      <c r="M29" s="24"/>
    </row>
    <row r="30" spans="1:13" x14ac:dyDescent="0.2">
      <c r="A30" s="24"/>
      <c r="B30" s="24"/>
      <c r="C30" s="24"/>
      <c r="D30" s="24"/>
      <c r="E30" s="24"/>
      <c r="F30" s="24"/>
      <c r="G30" s="33"/>
      <c r="H30" s="24"/>
      <c r="I30" s="24"/>
      <c r="J30" s="24"/>
      <c r="K30" s="24"/>
      <c r="L30" s="24"/>
      <c r="M30" s="24"/>
    </row>
    <row r="31" spans="1:13" x14ac:dyDescent="0.2">
      <c r="A31" s="15"/>
      <c r="B31" s="15"/>
      <c r="C31" s="15"/>
      <c r="D31" s="15"/>
      <c r="E31" s="47" t="s">
        <v>16</v>
      </c>
      <c r="F31" s="48" t="s">
        <v>17</v>
      </c>
      <c r="G31" s="15"/>
      <c r="H31" s="15"/>
      <c r="I31" s="24"/>
      <c r="J31" s="24"/>
      <c r="K31" s="24"/>
      <c r="L31" s="24"/>
      <c r="M31" s="24"/>
    </row>
    <row r="32" spans="1:13" x14ac:dyDescent="0.2">
      <c r="A32" s="17"/>
      <c r="B32" s="17" t="s">
        <v>18</v>
      </c>
      <c r="C32" s="17" t="s">
        <v>19</v>
      </c>
      <c r="D32" s="17" t="s">
        <v>20</v>
      </c>
      <c r="E32" s="39" t="s">
        <v>21</v>
      </c>
      <c r="F32" s="40" t="s">
        <v>22</v>
      </c>
      <c r="G32" s="41"/>
      <c r="H32" s="40" t="s">
        <v>65</v>
      </c>
      <c r="I32" s="24"/>
      <c r="J32" s="24"/>
      <c r="K32" s="24"/>
      <c r="L32" s="24"/>
      <c r="M32" s="24"/>
    </row>
    <row r="33" spans="1:13" x14ac:dyDescent="0.2">
      <c r="A33" s="19" t="s">
        <v>27</v>
      </c>
      <c r="B33" s="19">
        <f>MROUND(B28*(1+0.12%),1)</f>
        <v>248287</v>
      </c>
      <c r="C33" s="66"/>
      <c r="D33" s="19">
        <f>IF(H33="TGT","N.A.",MROUND(B33*(1+2%),1))</f>
        <v>253253</v>
      </c>
      <c r="E33" s="42">
        <f>IF(OR(G33="NO TGT",G33=""),MROUND(MAX((B33*(1-2%)),(C28*(1-0.12%))),1),"N.A.")</f>
        <v>243321</v>
      </c>
      <c r="F33" s="43">
        <f>MROUND(MAX((B33*(1-2%)),(D28*(1-0.12%))),1)</f>
        <v>264682</v>
      </c>
      <c r="G33" s="41"/>
      <c r="H33" s="74" t="s">
        <v>2</v>
      </c>
      <c r="I33" s="24"/>
      <c r="J33" s="24"/>
      <c r="K33" s="24"/>
      <c r="L33" s="24"/>
      <c r="M33" s="24"/>
    </row>
    <row r="34" spans="1:13" x14ac:dyDescent="0.2">
      <c r="A34" s="24"/>
      <c r="B34" s="24"/>
      <c r="C34" s="24"/>
      <c r="D34" s="24"/>
      <c r="E34" s="24"/>
      <c r="F34" s="24"/>
      <c r="G34" s="33"/>
      <c r="H34" s="24"/>
      <c r="I34" s="24"/>
      <c r="J34" s="24"/>
      <c r="K34" s="24"/>
      <c r="L34" s="24"/>
      <c r="M34" s="24"/>
    </row>
    <row r="35" spans="1:13" x14ac:dyDescent="0.2">
      <c r="A35" s="24"/>
      <c r="B35" s="24"/>
      <c r="C35" s="24"/>
      <c r="D35" s="24"/>
      <c r="E35" s="24"/>
      <c r="F35" s="24"/>
      <c r="G35" s="33"/>
      <c r="H35" s="24"/>
      <c r="I35" s="24"/>
      <c r="J35" s="24"/>
      <c r="K35" s="24"/>
      <c r="L35" s="24"/>
      <c r="M35" s="24"/>
    </row>
    <row r="36" spans="1:13" x14ac:dyDescent="0.2">
      <c r="A36" s="24"/>
      <c r="B36" s="24"/>
      <c r="C36" s="24"/>
      <c r="D36" s="24"/>
      <c r="E36" s="24"/>
      <c r="F36" s="24"/>
      <c r="G36" s="33"/>
      <c r="H36" s="24"/>
      <c r="I36" s="24"/>
      <c r="J36" s="24"/>
      <c r="K36" s="24"/>
      <c r="L36" s="24"/>
      <c r="M36" s="24"/>
    </row>
    <row r="37" spans="1:13" x14ac:dyDescent="0.2">
      <c r="A37" s="143" t="s">
        <v>29</v>
      </c>
      <c r="B37" s="144"/>
      <c r="C37" s="144"/>
      <c r="D37" s="144"/>
      <c r="E37" s="144"/>
      <c r="F37" s="145"/>
      <c r="G37" s="33"/>
      <c r="H37" s="24"/>
      <c r="I37" s="24"/>
      <c r="J37" s="24"/>
      <c r="K37" s="24"/>
      <c r="L37" s="24"/>
      <c r="M37" s="24"/>
    </row>
    <row r="38" spans="1:13" x14ac:dyDescent="0.2">
      <c r="A38" s="23" t="s">
        <v>31</v>
      </c>
      <c r="B38" s="23" t="s">
        <v>32</v>
      </c>
      <c r="C38" s="23" t="s">
        <v>33</v>
      </c>
      <c r="D38" s="23" t="s">
        <v>34</v>
      </c>
      <c r="E38" s="23" t="s">
        <v>35</v>
      </c>
      <c r="F38" s="23" t="s">
        <v>36</v>
      </c>
      <c r="G38" s="33"/>
      <c r="H38" s="24"/>
      <c r="I38" s="24"/>
      <c r="J38" s="24"/>
      <c r="K38" s="24"/>
      <c r="L38" s="24"/>
      <c r="M38" s="24"/>
    </row>
    <row r="39" spans="1:13" x14ac:dyDescent="0.2">
      <c r="A39" s="23" t="s">
        <v>37</v>
      </c>
      <c r="B39" s="23" t="str">
        <f>IF($H$33="NO Holdings","Yes","No")</f>
        <v>Yes</v>
      </c>
      <c r="C39" s="23" t="str">
        <f>IF($H$33="No Holdings","Buy Order","-")</f>
        <v>Buy Order</v>
      </c>
      <c r="D39" s="23">
        <f>IF($H$33="No Holdings",(I12*2),"-")</f>
        <v>2</v>
      </c>
      <c r="E39" s="23">
        <f>IF(F39="-","-",MROUND(F39*(1+0.1%),1))</f>
        <v>248535</v>
      </c>
      <c r="F39" s="23">
        <f>IF($H$33="No Holdings",$B$33,"-")</f>
        <v>248287</v>
      </c>
      <c r="G39" s="33"/>
      <c r="H39" s="24"/>
      <c r="I39" s="24"/>
      <c r="J39" s="24"/>
      <c r="K39" s="24"/>
      <c r="L39" s="24"/>
      <c r="M39" s="24"/>
    </row>
    <row r="40" spans="1:13" x14ac:dyDescent="0.2">
      <c r="A40" s="23" t="s">
        <v>20</v>
      </c>
      <c r="B40" s="23" t="str">
        <f>IF($H$33="Entry Trigger","Yes","No")</f>
        <v>No</v>
      </c>
      <c r="C40" s="23" t="str">
        <f>IF($H$33="Entry Trigger","Sell Order","-")</f>
        <v>-</v>
      </c>
      <c r="D40" s="23" t="str">
        <f>IF($H$33="Entry Trigger",I12,"-")</f>
        <v>-</v>
      </c>
      <c r="E40" s="23" t="str">
        <f>IF(F40="-","-","Use Limit")</f>
        <v>-</v>
      </c>
      <c r="F40" s="23" t="str">
        <f>IF(H33="Entry Trigger",IF(C33="",IF($H$33="Entry Trigger",$D$33,"-"),MROUND(C33*(1+1.25%),0.05)),"-")</f>
        <v>-</v>
      </c>
      <c r="G40" s="33"/>
      <c r="H40" s="24"/>
      <c r="I40" s="24"/>
      <c r="J40" s="24"/>
      <c r="K40" s="24"/>
      <c r="L40" s="24"/>
      <c r="M40" s="24"/>
    </row>
    <row r="41" spans="1:13" x14ac:dyDescent="0.2">
      <c r="A41" s="23" t="s">
        <v>38</v>
      </c>
      <c r="B41" s="23" t="str">
        <f>IF($H$33="Entry Trigger","Yes","No")</f>
        <v>No</v>
      </c>
      <c r="C41" s="23" t="str">
        <f>IF($H$33="Entry Trigger","Sell Order","-")</f>
        <v>-</v>
      </c>
      <c r="D41" s="23" t="str">
        <f>IF($H$33="Entry Trigger",(I12*2),"-")</f>
        <v>-</v>
      </c>
      <c r="E41" s="23" t="str">
        <f>IFERROR(IF(F41="-","-",MROUND(F41*(1-1%),1)),"NA")</f>
        <v>-</v>
      </c>
      <c r="F41" s="23" t="str">
        <f>IF($H$33="Entry Trigger",$E$33,"-")</f>
        <v>-</v>
      </c>
      <c r="G41" s="33"/>
      <c r="H41" s="24"/>
      <c r="I41" s="24"/>
      <c r="J41" s="24"/>
      <c r="K41" s="24"/>
      <c r="L41" s="24"/>
      <c r="M41" s="24"/>
    </row>
    <row r="42" spans="1:13" x14ac:dyDescent="0.2">
      <c r="A42" s="23" t="s">
        <v>39</v>
      </c>
      <c r="B42" s="23" t="str">
        <f>IF($H$33="Target Triggered","Yes","No")</f>
        <v>No</v>
      </c>
      <c r="C42" s="23" t="str">
        <f>IF($H$33="Target Triggered","Sell Order","-")</f>
        <v>-</v>
      </c>
      <c r="D42" s="23" t="str">
        <f>IF($H$33="Target Triggered",I12,"-")</f>
        <v>-</v>
      </c>
      <c r="E42" s="23" t="str">
        <f>IF(F42="-","-",MROUND(F42*(1-0.1%),1))</f>
        <v>-</v>
      </c>
      <c r="F42" s="23" t="str">
        <f>IF($H$33="Target Triggered",$F$33,"-")</f>
        <v>-</v>
      </c>
      <c r="G42" s="33"/>
      <c r="H42" s="24"/>
      <c r="I42" s="24"/>
      <c r="J42" s="24"/>
      <c r="K42" s="24"/>
      <c r="L42" s="24"/>
      <c r="M42" s="24"/>
    </row>
    <row r="43" spans="1:13" x14ac:dyDescent="0.2">
      <c r="A43" s="24"/>
      <c r="B43" s="24"/>
      <c r="C43" s="24"/>
      <c r="D43" s="24"/>
      <c r="E43" s="24"/>
      <c r="F43" s="24"/>
      <c r="G43" s="33"/>
      <c r="H43" s="24"/>
      <c r="I43" s="24"/>
      <c r="J43" s="24"/>
      <c r="K43" s="24"/>
      <c r="L43" s="24"/>
      <c r="M43" s="24"/>
    </row>
    <row r="44" spans="1:13" x14ac:dyDescent="0.2">
      <c r="A44" s="162" t="s">
        <v>44</v>
      </c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</row>
    <row r="45" spans="1:13" x14ac:dyDescent="0.2">
      <c r="A45" s="24"/>
      <c r="B45" s="24"/>
      <c r="C45" s="24"/>
      <c r="D45" s="24"/>
      <c r="E45" s="24"/>
      <c r="F45" s="24"/>
      <c r="G45" s="33"/>
      <c r="H45" s="24"/>
      <c r="I45" s="24"/>
      <c r="J45" s="24"/>
      <c r="K45" s="24"/>
      <c r="L45" s="24"/>
      <c r="M45" s="24"/>
    </row>
    <row r="46" spans="1:13" x14ac:dyDescent="0.2">
      <c r="A46" s="163" t="s">
        <v>45</v>
      </c>
      <c r="B46" s="70" t="s">
        <v>69</v>
      </c>
      <c r="C46" s="70" t="s">
        <v>47</v>
      </c>
      <c r="D46" s="24"/>
      <c r="E46" s="24"/>
      <c r="F46" s="24"/>
      <c r="G46" s="33"/>
      <c r="H46" s="24"/>
      <c r="I46" s="24"/>
      <c r="J46" s="24"/>
      <c r="K46" s="24"/>
      <c r="L46" s="24"/>
      <c r="M46" s="24"/>
    </row>
    <row r="47" spans="1:13" x14ac:dyDescent="0.2">
      <c r="A47" s="163"/>
      <c r="B47" s="71">
        <v>95500</v>
      </c>
      <c r="C47" s="31">
        <f>MROUND(B47*(1+0.12%),1)</f>
        <v>95615</v>
      </c>
      <c r="D47" s="24"/>
      <c r="E47" s="24"/>
      <c r="F47" s="24"/>
      <c r="G47" s="33"/>
      <c r="H47" s="24"/>
      <c r="I47" s="24"/>
      <c r="J47" s="24"/>
      <c r="K47" s="24"/>
      <c r="L47" s="24"/>
      <c r="M47" s="24"/>
    </row>
    <row r="48" spans="1:13" x14ac:dyDescent="0.2">
      <c r="A48" s="24"/>
      <c r="B48" s="24"/>
      <c r="C48" s="24"/>
      <c r="D48" s="24"/>
      <c r="E48" s="24"/>
      <c r="F48" s="24"/>
      <c r="G48" s="33"/>
      <c r="H48" s="24"/>
      <c r="I48" s="24"/>
      <c r="J48" s="24"/>
      <c r="K48" s="24"/>
      <c r="L48" s="24"/>
      <c r="M48" s="24"/>
    </row>
    <row r="49" spans="1:13" x14ac:dyDescent="0.2">
      <c r="A49" s="162" t="s">
        <v>48</v>
      </c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</row>
    <row r="50" spans="1:13" x14ac:dyDescent="0.2">
      <c r="A50" s="24"/>
      <c r="B50" s="24"/>
      <c r="C50" s="24"/>
      <c r="D50" s="24"/>
      <c r="E50" s="24"/>
      <c r="F50" s="24"/>
      <c r="G50" s="33"/>
      <c r="H50" s="24"/>
      <c r="I50" s="24"/>
      <c r="J50" s="24"/>
      <c r="K50" s="24"/>
      <c r="L50" s="24"/>
      <c r="M50" s="24"/>
    </row>
    <row r="51" spans="1:13" x14ac:dyDescent="0.2">
      <c r="A51" s="163" t="s">
        <v>86</v>
      </c>
      <c r="B51" s="25" t="s">
        <v>70</v>
      </c>
      <c r="C51" s="25" t="s">
        <v>50</v>
      </c>
      <c r="D51" s="88" t="s">
        <v>71</v>
      </c>
      <c r="E51" s="24"/>
      <c r="F51" s="24"/>
      <c r="G51" s="33"/>
      <c r="H51" s="24"/>
      <c r="I51" s="24"/>
      <c r="J51" s="24"/>
      <c r="K51" s="24"/>
      <c r="L51" s="24"/>
      <c r="M51" s="24"/>
    </row>
    <row r="52" spans="1:13" x14ac:dyDescent="0.2">
      <c r="A52" s="163"/>
      <c r="B52" s="68">
        <v>245574</v>
      </c>
      <c r="C52" s="68">
        <v>261974</v>
      </c>
      <c r="D52" s="69">
        <v>281775</v>
      </c>
      <c r="E52" s="24"/>
      <c r="F52" s="24"/>
      <c r="G52" s="33"/>
      <c r="H52" s="24"/>
      <c r="I52" s="24"/>
      <c r="J52" s="24"/>
      <c r="K52" s="24"/>
      <c r="L52" s="24"/>
      <c r="M52" s="24"/>
    </row>
    <row r="53" spans="1:13" x14ac:dyDescent="0.2">
      <c r="A53" s="24"/>
      <c r="B53" s="24"/>
      <c r="C53" s="24"/>
      <c r="D53" s="24"/>
      <c r="E53" s="24"/>
      <c r="F53" s="24"/>
      <c r="G53" s="33"/>
      <c r="H53" s="24"/>
      <c r="I53" s="24"/>
      <c r="J53" s="24"/>
      <c r="K53" s="24"/>
      <c r="L53" s="24"/>
      <c r="M53" s="24"/>
    </row>
    <row r="54" spans="1:13" x14ac:dyDescent="0.2">
      <c r="A54" s="24"/>
      <c r="B54" s="24"/>
      <c r="C54" s="24"/>
      <c r="D54" s="24"/>
      <c r="E54" s="24"/>
      <c r="F54" s="24"/>
      <c r="G54" s="33"/>
      <c r="H54" s="24"/>
      <c r="I54" s="24"/>
      <c r="J54" s="24"/>
      <c r="K54" s="24"/>
      <c r="L54" s="24"/>
      <c r="M54" s="24"/>
    </row>
    <row r="55" spans="1:13" x14ac:dyDescent="0.2">
      <c r="A55" s="15"/>
      <c r="B55" s="15"/>
      <c r="C55" s="15"/>
      <c r="D55" s="15"/>
      <c r="E55" s="92" t="s">
        <v>16</v>
      </c>
      <c r="F55" s="93" t="s">
        <v>17</v>
      </c>
      <c r="G55" s="15"/>
      <c r="H55" s="15"/>
      <c r="I55" s="24"/>
      <c r="J55" s="24"/>
      <c r="K55" s="24"/>
      <c r="L55" s="24"/>
      <c r="M55" s="24"/>
    </row>
    <row r="56" spans="1:13" x14ac:dyDescent="0.2">
      <c r="A56" s="17"/>
      <c r="B56" s="17" t="s">
        <v>18</v>
      </c>
      <c r="C56" s="17" t="s">
        <v>19</v>
      </c>
      <c r="D56" s="17" t="s">
        <v>20</v>
      </c>
      <c r="E56" s="39" t="s">
        <v>21</v>
      </c>
      <c r="F56" s="40" t="s">
        <v>22</v>
      </c>
      <c r="G56" s="41"/>
      <c r="H56" s="73" t="s">
        <v>65</v>
      </c>
      <c r="I56" s="24"/>
      <c r="J56" s="24"/>
      <c r="K56" s="24"/>
      <c r="L56" s="24"/>
      <c r="M56" s="24"/>
    </row>
    <row r="57" spans="1:13" x14ac:dyDescent="0.2">
      <c r="A57" s="22" t="s">
        <v>72</v>
      </c>
      <c r="B57" s="22">
        <f>MROUND(B52*(1-0.12%),1)</f>
        <v>245279</v>
      </c>
      <c r="C57" s="66"/>
      <c r="D57" s="22">
        <f>IF(H57="TGT","N.A.",MROUND(B57*(1-2%),1))</f>
        <v>240373</v>
      </c>
      <c r="E57" s="45">
        <f>IF(OR(G57="NO TGT",G57=""),MROUND(MIN((B57*(1+2%)),(C52*(1+0.12%))),1),"N.A.")</f>
        <v>250185</v>
      </c>
      <c r="F57" s="46">
        <f>MROUND(MIN((B57*(1+2%)),(D52*(1+0.12%))),1)</f>
        <v>250185</v>
      </c>
      <c r="G57" s="41"/>
      <c r="H57" s="74" t="s">
        <v>7</v>
      </c>
      <c r="I57" s="24"/>
      <c r="J57" s="24"/>
      <c r="K57" s="24"/>
      <c r="L57" s="24"/>
      <c r="M57" s="24"/>
    </row>
    <row r="58" spans="1:13" x14ac:dyDescent="0.2">
      <c r="A58" s="24"/>
      <c r="B58" s="24"/>
      <c r="C58" s="24"/>
      <c r="D58" s="24"/>
      <c r="E58" s="24"/>
      <c r="F58" s="24"/>
      <c r="G58" s="33"/>
      <c r="H58" s="24"/>
      <c r="I58" s="24"/>
      <c r="J58" s="24"/>
      <c r="K58" s="24"/>
      <c r="L58" s="24"/>
      <c r="M58" s="24"/>
    </row>
    <row r="59" spans="1:13" x14ac:dyDescent="0.2">
      <c r="A59" s="24"/>
      <c r="B59" s="24"/>
      <c r="C59" s="24"/>
      <c r="D59" s="24"/>
      <c r="E59" s="24"/>
      <c r="F59" s="24"/>
      <c r="G59" s="33"/>
      <c r="H59" s="24"/>
      <c r="I59" s="24"/>
      <c r="J59" s="24"/>
      <c r="K59" s="24"/>
      <c r="L59" s="24"/>
      <c r="M59" s="24"/>
    </row>
    <row r="60" spans="1:13" x14ac:dyDescent="0.2">
      <c r="A60" s="24"/>
      <c r="B60" s="24"/>
      <c r="C60" s="24"/>
      <c r="D60" s="24"/>
      <c r="E60" s="24"/>
      <c r="F60" s="24"/>
      <c r="G60" s="33"/>
      <c r="H60" s="24"/>
      <c r="I60" s="24"/>
      <c r="J60" s="24"/>
      <c r="K60" s="24"/>
      <c r="L60" s="24"/>
      <c r="M60" s="24"/>
    </row>
    <row r="61" spans="1:13" x14ac:dyDescent="0.2">
      <c r="A61" s="146" t="s">
        <v>30</v>
      </c>
      <c r="B61" s="147"/>
      <c r="C61" s="147"/>
      <c r="D61" s="147"/>
      <c r="E61" s="147"/>
      <c r="F61" s="148"/>
      <c r="G61" s="33"/>
      <c r="H61" s="24"/>
      <c r="I61" s="24"/>
      <c r="J61" s="24"/>
      <c r="K61" s="24"/>
      <c r="L61" s="24"/>
      <c r="M61" s="24"/>
    </row>
    <row r="62" spans="1:13" x14ac:dyDescent="0.2">
      <c r="A62" s="23" t="s">
        <v>31</v>
      </c>
      <c r="B62" s="23" t="s">
        <v>32</v>
      </c>
      <c r="C62" s="23" t="s">
        <v>33</v>
      </c>
      <c r="D62" s="23" t="s">
        <v>34</v>
      </c>
      <c r="E62" s="23" t="s">
        <v>35</v>
      </c>
      <c r="F62" s="23" t="s">
        <v>36</v>
      </c>
      <c r="G62" s="33"/>
      <c r="H62" s="24"/>
      <c r="I62" s="24"/>
      <c r="J62" s="24"/>
      <c r="K62" s="24"/>
      <c r="L62" s="24"/>
      <c r="M62" s="24"/>
    </row>
    <row r="63" spans="1:13" x14ac:dyDescent="0.2">
      <c r="A63" s="23" t="s">
        <v>37</v>
      </c>
      <c r="B63" s="23" t="str">
        <f>IF($H$57="NO Holdings","Yes","No")</f>
        <v>No</v>
      </c>
      <c r="C63" s="23" t="str">
        <f>IF($H$57="No Holdings","Sell Order","-")</f>
        <v>-</v>
      </c>
      <c r="D63" s="23" t="str">
        <f>IF($H$57="No Holdings",(I12*2),"-")</f>
        <v>-</v>
      </c>
      <c r="E63" s="23" t="str">
        <f>IF(F63="-","-",MROUND(F63*(1+1%),1))</f>
        <v>-</v>
      </c>
      <c r="F63" s="23" t="str">
        <f>IF($H$57="No Holdings",$B$57,"-")</f>
        <v>-</v>
      </c>
      <c r="G63" s="33"/>
      <c r="H63" s="24"/>
      <c r="I63" s="24"/>
      <c r="J63" s="24"/>
      <c r="K63" s="24"/>
      <c r="L63" s="24"/>
      <c r="M63" s="24"/>
    </row>
    <row r="64" spans="1:13" x14ac:dyDescent="0.2">
      <c r="A64" s="23" t="s">
        <v>20</v>
      </c>
      <c r="B64" s="23" t="str">
        <f>IF($H$57="Entry Trigger","Yes","No")</f>
        <v>No</v>
      </c>
      <c r="C64" s="23" t="str">
        <f>IF($H$57="Entry Trigger","Buy Order","-")</f>
        <v>-</v>
      </c>
      <c r="D64" s="23" t="str">
        <f>IF($H$57="Entry Trigger",I12,"-")</f>
        <v>-</v>
      </c>
      <c r="E64" s="23" t="str">
        <f>IF(F64="-","-","Use Limit")</f>
        <v>-</v>
      </c>
      <c r="F64" s="23" t="str">
        <f>IF(H57="Entry Trigger",IF(C57="",IF($H$57="Entry Trigger",$D$57,"-"),MROUND(C57*(1+1.25%),0.05)),"-")</f>
        <v>-</v>
      </c>
      <c r="G64" s="33"/>
      <c r="H64" s="24"/>
      <c r="I64" s="24"/>
      <c r="J64" s="24"/>
      <c r="K64" s="24"/>
      <c r="L64" s="24"/>
      <c r="M64" s="24"/>
    </row>
    <row r="65" spans="1:13" x14ac:dyDescent="0.2">
      <c r="A65" s="23" t="s">
        <v>38</v>
      </c>
      <c r="B65" s="23" t="str">
        <f>IF($H$57="Entry Trigger","Yes","No")</f>
        <v>No</v>
      </c>
      <c r="C65" s="23" t="str">
        <f>IF($H$57="Entry Trigger","Buy Order","-")</f>
        <v>-</v>
      </c>
      <c r="D65" s="23" t="str">
        <f>IF($H$57="Entry Trigger",(I12*2),"-")</f>
        <v>-</v>
      </c>
      <c r="E65" s="23" t="str">
        <f>IFERROR(IF(F65="-","-",MROUND(F65*(1+0.1%),1)),"NA")</f>
        <v>-</v>
      </c>
      <c r="F65" s="23" t="str">
        <f>IF($H$57="Entry Trigger",$E$57,"-")</f>
        <v>-</v>
      </c>
      <c r="G65" s="33"/>
      <c r="H65" s="24"/>
      <c r="I65" s="24"/>
      <c r="J65" s="24"/>
      <c r="K65" s="24"/>
      <c r="L65" s="24"/>
      <c r="M65" s="24"/>
    </row>
    <row r="66" spans="1:13" x14ac:dyDescent="0.2">
      <c r="A66" s="23" t="s">
        <v>39</v>
      </c>
      <c r="B66" s="23" t="str">
        <f>IF($H$57="Target Triggered","Yes","No")</f>
        <v>Yes</v>
      </c>
      <c r="C66" s="23" t="str">
        <f>IF($H$57="Target Triggered","Buy Order","-")</f>
        <v>Buy Order</v>
      </c>
      <c r="D66" s="23">
        <f>IF($H$57="Target Triggered",I12,"-")</f>
        <v>1</v>
      </c>
      <c r="E66" s="23">
        <f>IF(F66="-","-",(MROUND(F66*(1+0.1%),1)))</f>
        <v>250435</v>
      </c>
      <c r="F66" s="23">
        <f>IF($H$57="Target Triggered",$F$57,"-")</f>
        <v>250185</v>
      </c>
      <c r="G66" s="33"/>
      <c r="H66" s="24"/>
      <c r="I66" s="24"/>
      <c r="J66" s="24"/>
      <c r="K66" s="24"/>
      <c r="L66" s="24"/>
      <c r="M66" s="24"/>
    </row>
    <row r="67" spans="1:13" x14ac:dyDescent="0.2">
      <c r="A67" s="24"/>
      <c r="B67" s="24"/>
      <c r="C67" s="24"/>
      <c r="D67" s="24"/>
      <c r="E67" s="24"/>
      <c r="F67" s="24"/>
      <c r="G67" s="33"/>
      <c r="H67" s="24"/>
      <c r="I67" s="24"/>
      <c r="J67" s="24"/>
      <c r="K67" s="24"/>
      <c r="L67" s="24"/>
      <c r="M67" s="24"/>
    </row>
    <row r="68" spans="1:13" x14ac:dyDescent="0.2">
      <c r="A68" s="162" t="s">
        <v>51</v>
      </c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</row>
    <row r="69" spans="1:13" x14ac:dyDescent="0.2">
      <c r="A69" s="24"/>
      <c r="B69" s="24"/>
      <c r="C69" s="24"/>
      <c r="D69" s="24"/>
      <c r="E69" s="24"/>
      <c r="F69" s="24"/>
      <c r="G69" s="33"/>
      <c r="H69" s="24"/>
      <c r="I69" s="24"/>
      <c r="J69" s="24"/>
      <c r="K69" s="24"/>
      <c r="L69" s="24"/>
      <c r="M69" s="24"/>
    </row>
    <row r="70" spans="1:13" x14ac:dyDescent="0.2">
      <c r="A70" s="163" t="s">
        <v>52</v>
      </c>
      <c r="B70" s="70" t="s">
        <v>73</v>
      </c>
      <c r="C70" s="70" t="s">
        <v>47</v>
      </c>
      <c r="D70" s="24"/>
      <c r="E70" s="24"/>
      <c r="F70" s="24"/>
      <c r="G70" s="33"/>
      <c r="H70" s="24"/>
      <c r="I70" s="24"/>
      <c r="J70" s="24"/>
      <c r="K70" s="24"/>
      <c r="L70" s="24"/>
      <c r="M70" s="24"/>
    </row>
    <row r="71" spans="1:13" x14ac:dyDescent="0.2">
      <c r="A71" s="163"/>
      <c r="B71" s="71">
        <v>72685</v>
      </c>
      <c r="C71" s="31">
        <f>MROUND(B71*(1-0.12%),1)</f>
        <v>72598</v>
      </c>
      <c r="D71" s="24"/>
      <c r="E71" s="24"/>
      <c r="F71" s="24"/>
      <c r="G71" s="33"/>
      <c r="H71" s="24"/>
      <c r="I71" s="24"/>
      <c r="J71" s="24"/>
      <c r="K71" s="24"/>
      <c r="L71" s="24"/>
      <c r="M71" s="24"/>
    </row>
    <row r="74" spans="1:13" x14ac:dyDescent="0.2">
      <c r="B74" s="58"/>
      <c r="C74" s="58"/>
    </row>
    <row r="75" spans="1:13" x14ac:dyDescent="0.2">
      <c r="B75" s="58"/>
      <c r="C75" s="58"/>
    </row>
    <row r="76" spans="1:13" x14ac:dyDescent="0.2">
      <c r="B76" s="58"/>
      <c r="C76" s="58"/>
    </row>
    <row r="77" spans="1:13" x14ac:dyDescent="0.2">
      <c r="B77" s="58"/>
      <c r="C77" s="58"/>
    </row>
    <row r="78" spans="1:13" x14ac:dyDescent="0.2">
      <c r="A78" s="59"/>
      <c r="B78" s="60"/>
      <c r="C78" s="60"/>
      <c r="D78" s="59"/>
      <c r="E78" s="59"/>
    </row>
    <row r="79" spans="1:13" x14ac:dyDescent="0.2">
      <c r="A79" s="59"/>
      <c r="B79" s="60"/>
      <c r="C79" s="60"/>
      <c r="D79" s="59"/>
      <c r="E79" s="59"/>
    </row>
    <row r="80" spans="1:13" x14ac:dyDescent="0.2">
      <c r="A80" s="59"/>
      <c r="B80" s="60"/>
      <c r="C80" s="60"/>
      <c r="D80" s="59"/>
      <c r="E80" s="59"/>
    </row>
    <row r="81" spans="1:5" x14ac:dyDescent="0.2">
      <c r="A81" s="59"/>
      <c r="B81" s="59"/>
      <c r="C81" s="59"/>
      <c r="D81" s="59"/>
      <c r="E81" s="59"/>
    </row>
    <row r="82" spans="1:5" ht="19" x14ac:dyDescent="0.25">
      <c r="B82" s="52" t="s">
        <v>3</v>
      </c>
      <c r="C82" s="53"/>
      <c r="D82" s="53"/>
      <c r="E82" s="59"/>
    </row>
    <row r="83" spans="1:5" ht="19" x14ac:dyDescent="0.25">
      <c r="B83" s="54" t="s">
        <v>6</v>
      </c>
      <c r="E83" s="59"/>
    </row>
    <row r="84" spans="1:5" ht="19" x14ac:dyDescent="0.25">
      <c r="B84" s="54" t="s">
        <v>12</v>
      </c>
      <c r="C84" s="53"/>
      <c r="D84" s="53"/>
      <c r="E84" s="59"/>
    </row>
    <row r="85" spans="1:5" ht="19" x14ac:dyDescent="0.25">
      <c r="B85" s="54" t="s">
        <v>14</v>
      </c>
      <c r="C85" s="53"/>
      <c r="E85" s="59"/>
    </row>
  </sheetData>
  <sheetProtection algorithmName="SHA-512" hashValue="juhIWuvN56e98fa1sONbtrma5bMowVZgjBRwBJWNpB62nLKghalX6vZo8whxy0xwoarn3JaeGN6/3UviVHm42w==" saltValue="sNS80Y90y9KD0BHJArV3EA==" spinCount="100000" sheet="1" objects="1" scenarios="1"/>
  <mergeCells count="15">
    <mergeCell ref="A68:M68"/>
    <mergeCell ref="A27:A28"/>
    <mergeCell ref="A46:A47"/>
    <mergeCell ref="A51:A52"/>
    <mergeCell ref="A70:A71"/>
    <mergeCell ref="A25:M25"/>
    <mergeCell ref="A37:F37"/>
    <mergeCell ref="A44:M44"/>
    <mergeCell ref="A49:M49"/>
    <mergeCell ref="A61:F61"/>
    <mergeCell ref="A1:M1"/>
    <mergeCell ref="A3:B3"/>
    <mergeCell ref="C3:E3"/>
    <mergeCell ref="A17:F17"/>
    <mergeCell ref="H17:M17"/>
  </mergeCells>
  <dataValidations count="2">
    <dataValidation type="list" allowBlank="1" showInputMessage="1" showErrorMessage="1" sqref="G33 G57 G12:G13" xr:uid="{00000000-0002-0000-0700-000000000000}">
      <formula1>$O$1:$O$3</formula1>
    </dataValidation>
    <dataValidation type="list" allowBlank="1" showInputMessage="1" showErrorMessage="1" sqref="H33 H57 H12:H13" xr:uid="{00000000-0002-0000-0700-000001000000}">
      <formula1>$P$1:$P$3</formula1>
    </dataValidation>
  </dataValidations>
  <pageMargins left="0.69930555555555596" right="0.69930555555555596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87"/>
  <sheetViews>
    <sheetView zoomScale="140" zoomScaleNormal="140" workbookViewId="0">
      <selection activeCell="D9" sqref="D9"/>
    </sheetView>
  </sheetViews>
  <sheetFormatPr baseColWidth="10" defaultColWidth="9" defaultRowHeight="16" x14ac:dyDescent="0.2"/>
  <cols>
    <col min="1" max="1" width="19.33203125" customWidth="1"/>
    <col min="2" max="2" width="12.5" customWidth="1"/>
    <col min="3" max="3" width="13.6640625" customWidth="1"/>
    <col min="4" max="4" width="14.6640625" customWidth="1"/>
    <col min="5" max="5" width="12.83203125" customWidth="1"/>
    <col min="6" max="6" width="14.33203125" customWidth="1"/>
    <col min="8" max="8" width="20.5" customWidth="1"/>
    <col min="9" max="9" width="13.1640625" customWidth="1"/>
    <col min="10" max="10" width="12.5" customWidth="1"/>
    <col min="11" max="11" width="12.83203125" customWidth="1"/>
    <col min="12" max="12" width="12.6640625" customWidth="1"/>
    <col min="13" max="13" width="13.5" customWidth="1"/>
    <col min="15" max="15" width="13.33203125" hidden="1" customWidth="1"/>
  </cols>
  <sheetData>
    <row r="1" spans="1:17" x14ac:dyDescent="0.2">
      <c r="A1" s="155" t="s">
        <v>87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33"/>
      <c r="O1" s="33" t="s">
        <v>2</v>
      </c>
      <c r="P1" s="33"/>
      <c r="Q1" s="33"/>
    </row>
    <row r="2" spans="1:17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3"/>
      <c r="O2" s="33" t="s">
        <v>4</v>
      </c>
      <c r="P2" s="33"/>
      <c r="Q2" s="33"/>
    </row>
    <row r="3" spans="1:17" x14ac:dyDescent="0.2">
      <c r="A3" s="156" t="s">
        <v>59</v>
      </c>
      <c r="B3" s="157"/>
      <c r="C3" s="164">
        <v>46020</v>
      </c>
      <c r="D3" s="165"/>
      <c r="E3" s="15"/>
      <c r="F3" s="15"/>
      <c r="G3" s="15"/>
      <c r="H3" s="15"/>
      <c r="I3" s="15"/>
      <c r="J3" s="15"/>
      <c r="K3" s="15"/>
      <c r="L3" s="15"/>
      <c r="M3" s="2"/>
      <c r="N3" s="33"/>
      <c r="O3" s="33" t="s">
        <v>7</v>
      </c>
      <c r="P3" s="33"/>
      <c r="Q3" s="33"/>
    </row>
    <row r="4" spans="1:17" ht="19" x14ac:dyDescent="0.25">
      <c r="A4" s="3"/>
      <c r="B4" s="4"/>
      <c r="C4" s="5"/>
      <c r="D4" s="6"/>
      <c r="E4" s="15"/>
      <c r="F4" s="15"/>
      <c r="G4" s="15"/>
      <c r="H4" s="33"/>
      <c r="I4" s="51"/>
      <c r="J4" s="78" t="s">
        <v>3</v>
      </c>
      <c r="K4" s="79"/>
      <c r="L4" s="15"/>
      <c r="M4" s="2"/>
      <c r="N4" s="33"/>
      <c r="O4" s="33"/>
      <c r="P4" s="33"/>
      <c r="Q4" s="33"/>
    </row>
    <row r="5" spans="1:17" ht="19" x14ac:dyDescent="0.25">
      <c r="A5" s="7" t="s">
        <v>5</v>
      </c>
      <c r="B5" s="61">
        <v>46014</v>
      </c>
      <c r="C5" s="62">
        <v>46015</v>
      </c>
      <c r="D5" s="61">
        <v>46017</v>
      </c>
      <c r="E5" s="15"/>
      <c r="F5" s="15"/>
      <c r="G5" s="15"/>
      <c r="H5" s="33"/>
      <c r="I5" s="51"/>
      <c r="J5" s="80" t="s">
        <v>6</v>
      </c>
      <c r="K5" s="33"/>
      <c r="L5" s="15"/>
      <c r="M5" s="2"/>
      <c r="N5" s="33"/>
      <c r="O5" s="33"/>
      <c r="P5" s="33"/>
      <c r="Q5" s="33"/>
    </row>
    <row r="6" spans="1:17" ht="19" x14ac:dyDescent="0.25">
      <c r="A6" s="10" t="s">
        <v>88</v>
      </c>
      <c r="B6" s="11" t="s">
        <v>9</v>
      </c>
      <c r="C6" s="11" t="s">
        <v>10</v>
      </c>
      <c r="D6" s="11" t="s">
        <v>61</v>
      </c>
      <c r="E6" s="34" t="s">
        <v>89</v>
      </c>
      <c r="F6" s="34" t="s">
        <v>11</v>
      </c>
      <c r="G6" s="15"/>
      <c r="H6" s="33"/>
      <c r="I6" s="51"/>
      <c r="J6" s="80" t="s">
        <v>12</v>
      </c>
      <c r="K6" s="79"/>
      <c r="L6" s="15"/>
      <c r="M6" s="2"/>
      <c r="N6" s="33"/>
      <c r="O6" s="33"/>
      <c r="P6" s="33"/>
      <c r="Q6" s="33"/>
    </row>
    <row r="7" spans="1:17" ht="19" x14ac:dyDescent="0.25">
      <c r="A7" s="63" t="s">
        <v>13</v>
      </c>
      <c r="B7" s="64">
        <v>319.60000000000002</v>
      </c>
      <c r="C7" s="65">
        <v>323.7</v>
      </c>
      <c r="D7" s="65">
        <v>332.4</v>
      </c>
      <c r="E7" s="35">
        <f>MAX(B7:D7)</f>
        <v>332.4</v>
      </c>
      <c r="F7" s="36">
        <f>MAX(C7:D7)</f>
        <v>332.4</v>
      </c>
      <c r="G7" s="15"/>
      <c r="H7" s="33"/>
      <c r="I7" s="51"/>
      <c r="J7" s="80" t="s">
        <v>14</v>
      </c>
      <c r="K7" s="79"/>
      <c r="L7" s="15"/>
      <c r="M7" s="2"/>
      <c r="N7" s="33"/>
      <c r="O7" s="33"/>
      <c r="P7" s="33"/>
      <c r="Q7" s="33"/>
    </row>
    <row r="8" spans="1:17" x14ac:dyDescent="0.2">
      <c r="A8" s="63" t="s">
        <v>15</v>
      </c>
      <c r="B8" s="64">
        <v>295.60000000000002</v>
      </c>
      <c r="C8" s="65">
        <v>300.89999999999998</v>
      </c>
      <c r="D8" s="65">
        <v>312.60000000000002</v>
      </c>
      <c r="E8" s="35">
        <f>MIN(B8:D8)</f>
        <v>295.60000000000002</v>
      </c>
      <c r="F8" s="36">
        <f>MIN(C8:D8)</f>
        <v>300.89999999999998</v>
      </c>
      <c r="G8" s="15"/>
      <c r="H8" s="15"/>
      <c r="I8" s="15"/>
      <c r="J8" s="15"/>
      <c r="K8" s="15"/>
      <c r="L8" s="15"/>
      <c r="M8" s="2"/>
      <c r="N8" s="33"/>
      <c r="O8" s="33"/>
      <c r="P8" s="33"/>
      <c r="Q8" s="33"/>
    </row>
    <row r="9" spans="1:17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2"/>
      <c r="N9" s="33"/>
      <c r="O9" s="33"/>
      <c r="P9" s="33"/>
      <c r="Q9" s="33"/>
    </row>
    <row r="10" spans="1:17" x14ac:dyDescent="0.2">
      <c r="A10" s="15"/>
      <c r="B10" s="15"/>
      <c r="C10" s="15"/>
      <c r="D10" s="15"/>
      <c r="E10" s="37" t="s">
        <v>16</v>
      </c>
      <c r="F10" s="38" t="s">
        <v>17</v>
      </c>
      <c r="G10" s="15"/>
      <c r="H10" s="15"/>
      <c r="I10" s="15"/>
      <c r="J10" s="15"/>
      <c r="K10" s="15"/>
      <c r="L10" s="15"/>
      <c r="M10" s="2"/>
      <c r="N10" s="33"/>
      <c r="O10" s="33"/>
      <c r="P10" s="33"/>
      <c r="Q10" s="33"/>
    </row>
    <row r="11" spans="1:17" x14ac:dyDescent="0.2">
      <c r="A11" s="16"/>
      <c r="B11" s="16" t="s">
        <v>18</v>
      </c>
      <c r="C11" s="16" t="s">
        <v>19</v>
      </c>
      <c r="D11" s="16" t="s">
        <v>20</v>
      </c>
      <c r="E11" s="72" t="s">
        <v>21</v>
      </c>
      <c r="F11" s="73" t="s">
        <v>22</v>
      </c>
      <c r="G11" s="41"/>
      <c r="H11" s="73" t="s">
        <v>65</v>
      </c>
      <c r="I11" s="55" t="s">
        <v>26</v>
      </c>
      <c r="J11" s="56"/>
      <c r="K11" s="15"/>
      <c r="L11" s="15"/>
      <c r="M11" s="2"/>
      <c r="N11" s="33"/>
      <c r="O11" s="33"/>
      <c r="P11" s="33"/>
      <c r="Q11" s="33"/>
    </row>
    <row r="12" spans="1:17" x14ac:dyDescent="0.2">
      <c r="A12" s="19" t="s">
        <v>27</v>
      </c>
      <c r="B12" s="19">
        <f>MROUND(E7*(1+0.4%),0.1)</f>
        <v>333.70000000000005</v>
      </c>
      <c r="C12" s="66"/>
      <c r="D12" s="19">
        <f>IF(H12="TGT","N.A.",MROUND(B12*(1+4%),0.1))</f>
        <v>347</v>
      </c>
      <c r="E12" s="42">
        <f>IF(OR(G12="NO TGT",G12=""),MROUND(MAX((B12*(1-4%)),(F8*(1-0.4%))),0.1),"N.A.")</f>
        <v>320.40000000000003</v>
      </c>
      <c r="F12" s="43">
        <f>MROUND(MAX((B12*(1-4%)),(E8*(1-0.4%))),0.1)</f>
        <v>320.40000000000003</v>
      </c>
      <c r="G12" s="41"/>
      <c r="H12" s="74" t="s">
        <v>4</v>
      </c>
      <c r="I12" s="71">
        <v>1250</v>
      </c>
      <c r="J12" s="56"/>
      <c r="K12" s="15"/>
      <c r="L12" s="15"/>
      <c r="M12" s="2"/>
      <c r="N12" s="33"/>
      <c r="O12" s="33"/>
      <c r="P12" s="33"/>
      <c r="Q12" s="33"/>
    </row>
    <row r="13" spans="1:17" x14ac:dyDescent="0.2">
      <c r="A13" s="22" t="s">
        <v>28</v>
      </c>
      <c r="B13" s="22">
        <f>MROUND(E8*(1-0.4%),0.1)</f>
        <v>294.40000000000003</v>
      </c>
      <c r="C13" s="66"/>
      <c r="D13" s="22">
        <f>IF(H13="TGT","N.A.",MROUND(B13*(1-4%),0.1))</f>
        <v>282.60000000000002</v>
      </c>
      <c r="E13" s="45">
        <f>IF(OR(G13="NO TGT",G13=""),MROUND(MIN((B13*(1+4%)),(F7*(1+0.4%))),0.1),"N.A.")</f>
        <v>306.2</v>
      </c>
      <c r="F13" s="46">
        <f>MROUND(MIN((B13*(1+4%)),(E7*(1+0.4%))),0.1)</f>
        <v>306.2</v>
      </c>
      <c r="G13" s="41"/>
      <c r="H13" s="74" t="s">
        <v>4</v>
      </c>
      <c r="I13" s="56"/>
      <c r="J13" s="56"/>
      <c r="K13" s="15"/>
      <c r="L13" s="15"/>
      <c r="M13" s="2"/>
      <c r="N13" s="33"/>
      <c r="O13" s="33"/>
      <c r="P13" s="33"/>
      <c r="Q13" s="33"/>
    </row>
    <row r="14" spans="1:17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3"/>
      <c r="O14" s="33"/>
      <c r="P14" s="33"/>
      <c r="Q14" s="33"/>
    </row>
    <row r="15" spans="1:17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3"/>
      <c r="O15" s="33"/>
      <c r="P15" s="33"/>
      <c r="Q15" s="33"/>
    </row>
    <row r="16" spans="1:17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3"/>
      <c r="O16" s="33"/>
      <c r="P16" s="33"/>
      <c r="Q16" s="33"/>
    </row>
    <row r="17" spans="1:17" x14ac:dyDescent="0.2">
      <c r="A17" s="143" t="s">
        <v>29</v>
      </c>
      <c r="B17" s="144"/>
      <c r="C17" s="144"/>
      <c r="D17" s="144"/>
      <c r="E17" s="144"/>
      <c r="F17" s="145"/>
      <c r="G17" s="33"/>
      <c r="H17" s="146" t="s">
        <v>30</v>
      </c>
      <c r="I17" s="147"/>
      <c r="J17" s="147"/>
      <c r="K17" s="147"/>
      <c r="L17" s="147"/>
      <c r="M17" s="148"/>
      <c r="N17" s="33"/>
      <c r="O17" s="33"/>
      <c r="P17" s="33"/>
      <c r="Q17" s="33"/>
    </row>
    <row r="18" spans="1:17" x14ac:dyDescent="0.2">
      <c r="A18" s="23" t="s">
        <v>31</v>
      </c>
      <c r="B18" s="23" t="s">
        <v>32</v>
      </c>
      <c r="C18" s="23" t="s">
        <v>33</v>
      </c>
      <c r="D18" s="23" t="s">
        <v>34</v>
      </c>
      <c r="E18" s="23" t="s">
        <v>35</v>
      </c>
      <c r="F18" s="23" t="s">
        <v>36</v>
      </c>
      <c r="G18" s="33"/>
      <c r="H18" s="23" t="s">
        <v>31</v>
      </c>
      <c r="I18" s="23" t="s">
        <v>32</v>
      </c>
      <c r="J18" s="23" t="s">
        <v>33</v>
      </c>
      <c r="K18" s="23" t="s">
        <v>34</v>
      </c>
      <c r="L18" s="23" t="s">
        <v>35</v>
      </c>
      <c r="M18" s="23" t="s">
        <v>36</v>
      </c>
      <c r="N18" s="33"/>
      <c r="O18" s="33"/>
      <c r="P18" s="33"/>
      <c r="Q18" s="33"/>
    </row>
    <row r="19" spans="1:17" x14ac:dyDescent="0.2">
      <c r="A19" s="23" t="s">
        <v>37</v>
      </c>
      <c r="B19" s="23" t="str">
        <f>IF($H$12="NO Holdings","Yes","No")</f>
        <v>No</v>
      </c>
      <c r="C19" s="23" t="str">
        <f>IF($H$12="No Holdings","Buy Order","-")</f>
        <v>-</v>
      </c>
      <c r="D19" s="23" t="str">
        <f>IF($H$12="No Holdings",(I12*2),"-")</f>
        <v>-</v>
      </c>
      <c r="E19" s="23" t="str">
        <f>IF(F19="-","-",MROUND(F19*(1+0.1%),0.1))</f>
        <v>-</v>
      </c>
      <c r="F19" s="23" t="str">
        <f>IF($H$12="No Holdings",$B$12,"-")</f>
        <v>-</v>
      </c>
      <c r="G19" s="33"/>
      <c r="H19" s="23" t="s">
        <v>37</v>
      </c>
      <c r="I19" s="23" t="str">
        <f>IF($H$13="NO Holdings","Yes","No")</f>
        <v>No</v>
      </c>
      <c r="J19" s="23" t="str">
        <f>IF($H$13="No Holdings","Sell Order","-")</f>
        <v>-</v>
      </c>
      <c r="K19" s="23" t="str">
        <f>IF($H$13="No Holdings",(I12*2),"-")</f>
        <v>-</v>
      </c>
      <c r="L19" s="23" t="str">
        <f>IF(M19="-","-",MROUND(M19*(1-0.1%),0.1))</f>
        <v>-</v>
      </c>
      <c r="M19" s="23" t="str">
        <f>IF($H$13="No Holdings",$B$13,"-")</f>
        <v>-</v>
      </c>
      <c r="N19" s="33"/>
      <c r="O19" s="33"/>
      <c r="P19" s="33"/>
      <c r="Q19" s="33"/>
    </row>
    <row r="20" spans="1:17" x14ac:dyDescent="0.2">
      <c r="A20" s="23" t="s">
        <v>20</v>
      </c>
      <c r="B20" s="23" t="str">
        <f>IF($H$12="Entry Trigger","Yes","No")</f>
        <v>Yes</v>
      </c>
      <c r="C20" s="23" t="str">
        <f>IF($H$12="Entry Trigger","Sell Order","-")</f>
        <v>Sell Order</v>
      </c>
      <c r="D20" s="23">
        <f>IF($H$12="Entry Trigger",I12,"-")</f>
        <v>1250</v>
      </c>
      <c r="E20" s="23" t="str">
        <f>IF(F20="-","-","Use Limit")</f>
        <v>Use Limit</v>
      </c>
      <c r="F20" s="23">
        <f>IF(H12="Entry Trigger",IF(C12="",IF($H$12="Entry Trigger",$D$12,"-"),MROUND(C12*(1+1.25%),0.05)),"-")</f>
        <v>347</v>
      </c>
      <c r="G20" s="33"/>
      <c r="H20" s="23" t="s">
        <v>20</v>
      </c>
      <c r="I20" s="23" t="str">
        <f>IF($H$13="Entry Trigger","Yes","No")</f>
        <v>Yes</v>
      </c>
      <c r="J20" s="23" t="str">
        <f>IF($H$13="Entry Trigger","Buy Order","-")</f>
        <v>Buy Order</v>
      </c>
      <c r="K20" s="23">
        <f>IF($H$13="Entry Trigger",I12,"-")</f>
        <v>1250</v>
      </c>
      <c r="L20" s="23" t="str">
        <f>IF(M20="-","-","Use Limit")</f>
        <v>Use Limit</v>
      </c>
      <c r="M20" s="23">
        <f>IF(H13="Entry Trigger",IF(C13="",IF($H$13="Entry Trigger",$D$13,"-"),MROUND(C13*(1-1.25%),0.05)),"-")</f>
        <v>282.60000000000002</v>
      </c>
      <c r="N20" s="33"/>
      <c r="O20" s="33"/>
      <c r="P20" s="33"/>
      <c r="Q20" s="33"/>
    </row>
    <row r="21" spans="1:17" x14ac:dyDescent="0.2">
      <c r="A21" s="23" t="s">
        <v>38</v>
      </c>
      <c r="B21" s="23" t="str">
        <f>IF($H$12="Entry Trigger","Yes","No")</f>
        <v>Yes</v>
      </c>
      <c r="C21" s="23" t="str">
        <f>IF($H$12="Entry Trigger","Sell Order","-")</f>
        <v>Sell Order</v>
      </c>
      <c r="D21" s="23">
        <f>IF($H$12="Entry Trigger",(I12*2),"-")</f>
        <v>2500</v>
      </c>
      <c r="E21" s="23">
        <f>IFERROR(IF(F21="-","-",MROUND(F21*(1-0.1%),0.1)),"NA")</f>
        <v>320.10000000000002</v>
      </c>
      <c r="F21" s="23">
        <f>IF($H$12="Entry Trigger",$E$12,"-")</f>
        <v>320.40000000000003</v>
      </c>
      <c r="G21" s="33"/>
      <c r="H21" s="23" t="s">
        <v>38</v>
      </c>
      <c r="I21" s="23" t="str">
        <f>IF($H$13="Entry Trigger","Yes","No")</f>
        <v>Yes</v>
      </c>
      <c r="J21" s="23" t="str">
        <f>IF($H$13="Entry Trigger","Buy Order","-")</f>
        <v>Buy Order</v>
      </c>
      <c r="K21" s="23">
        <f>IF($H$13="Entry Trigger",(I12*2),"-")</f>
        <v>2500</v>
      </c>
      <c r="L21" s="23">
        <f>IFERROR(IF(M21="-","-",MROUND(M21*(1+0.1%),0.1)),"NA")</f>
        <v>306.5</v>
      </c>
      <c r="M21" s="23">
        <f>IF($H$13="Entry Trigger",$E$13,"-")</f>
        <v>306.2</v>
      </c>
      <c r="N21" s="33"/>
      <c r="O21" s="33"/>
      <c r="P21" s="33"/>
      <c r="Q21" s="33"/>
    </row>
    <row r="22" spans="1:17" x14ac:dyDescent="0.2">
      <c r="A22" s="23" t="s">
        <v>39</v>
      </c>
      <c r="B22" s="23" t="str">
        <f>IF($H$12="Target Triggered","Yes","No")</f>
        <v>No</v>
      </c>
      <c r="C22" s="23" t="str">
        <f>IF($H$12="Target Triggered","Sell Order","-")</f>
        <v>-</v>
      </c>
      <c r="D22" s="23" t="str">
        <f>IF($H$12="Target Triggered",I12,"-")</f>
        <v>-</v>
      </c>
      <c r="E22" s="23" t="str">
        <f>IF(F22="-","-",MROUND(F22*(1-0.1%),0.1))</f>
        <v>-</v>
      </c>
      <c r="F22" s="23" t="str">
        <f>IF($H$12="Target Triggered",$F$12,"-")</f>
        <v>-</v>
      </c>
      <c r="G22" s="33"/>
      <c r="H22" s="23" t="s">
        <v>39</v>
      </c>
      <c r="I22" s="23" t="str">
        <f>IF($H$13="Target Triggered","Yes","No")</f>
        <v>No</v>
      </c>
      <c r="J22" s="23" t="str">
        <f>IF($H$13="Target Triggered","Buy Order","-")</f>
        <v>-</v>
      </c>
      <c r="K22" s="23" t="str">
        <f>IF($H$13="Target Triggered",I12,"-")</f>
        <v>-</v>
      </c>
      <c r="L22" s="23" t="str">
        <f>IF(M22="-","-",MROUND(M22*(1+0.1%),0.1))</f>
        <v>-</v>
      </c>
      <c r="M22" s="23" t="str">
        <f>IF($H$13="Target Triggered",$F$13,"-")</f>
        <v>-</v>
      </c>
      <c r="N22" s="33"/>
      <c r="O22" s="33"/>
      <c r="P22" s="33"/>
      <c r="Q22" s="33"/>
    </row>
    <row r="23" spans="1:17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3"/>
      <c r="O23" s="33"/>
      <c r="P23" s="33"/>
      <c r="Q23" s="33"/>
    </row>
    <row r="24" spans="1:17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3"/>
      <c r="O24" s="33"/>
      <c r="P24" s="33"/>
      <c r="Q24" s="33"/>
    </row>
    <row r="25" spans="1:17" x14ac:dyDescent="0.2">
      <c r="A25" s="162" t="s">
        <v>40</v>
      </c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33"/>
      <c r="O25" s="33"/>
      <c r="P25" s="33"/>
      <c r="Q25" s="33"/>
    </row>
    <row r="26" spans="1:17" x14ac:dyDescent="0.2">
      <c r="A26" s="24"/>
      <c r="B26" s="24"/>
      <c r="C26" s="24"/>
      <c r="D26" s="24"/>
      <c r="E26" s="24"/>
      <c r="F26" s="24"/>
      <c r="G26" s="33"/>
      <c r="H26" s="24"/>
      <c r="I26" s="24"/>
      <c r="J26" s="24"/>
      <c r="K26" s="24"/>
      <c r="L26" s="24"/>
      <c r="M26" s="24"/>
      <c r="N26" s="33"/>
      <c r="O26" s="33"/>
      <c r="P26" s="33"/>
      <c r="Q26" s="33"/>
    </row>
    <row r="27" spans="1:17" x14ac:dyDescent="0.2">
      <c r="A27" s="166" t="s">
        <v>90</v>
      </c>
      <c r="B27" s="67" t="s">
        <v>67</v>
      </c>
      <c r="C27" s="67" t="s">
        <v>43</v>
      </c>
      <c r="D27" s="32" t="s">
        <v>91</v>
      </c>
      <c r="E27" s="24"/>
      <c r="F27" s="24"/>
      <c r="G27" s="33"/>
      <c r="H27" s="24"/>
      <c r="I27" s="24"/>
      <c r="J27" s="24"/>
      <c r="K27" s="24"/>
      <c r="L27" s="24"/>
      <c r="M27" s="24"/>
      <c r="N27" s="33"/>
      <c r="O27" s="33"/>
      <c r="P27" s="33"/>
      <c r="Q27" s="33"/>
    </row>
    <row r="28" spans="1:17" x14ac:dyDescent="0.2">
      <c r="A28" s="166"/>
      <c r="B28" s="68"/>
      <c r="C28" s="68"/>
      <c r="D28" s="69"/>
      <c r="E28" s="24"/>
      <c r="F28" s="24"/>
      <c r="G28" s="33"/>
      <c r="H28" s="24"/>
      <c r="I28" s="24"/>
      <c r="J28" s="24"/>
      <c r="K28" s="24"/>
      <c r="L28" s="24"/>
      <c r="M28" s="24"/>
      <c r="N28" s="33"/>
      <c r="O28" s="33"/>
      <c r="P28" s="33"/>
      <c r="Q28" s="33"/>
    </row>
    <row r="29" spans="1:17" x14ac:dyDescent="0.2">
      <c r="A29" s="24"/>
      <c r="B29" s="24"/>
      <c r="C29" s="24"/>
      <c r="D29" s="24"/>
      <c r="E29" s="24"/>
      <c r="F29" s="24"/>
      <c r="G29" s="33"/>
      <c r="H29" s="24"/>
      <c r="I29" s="24"/>
      <c r="J29" s="24"/>
      <c r="K29" s="24"/>
      <c r="L29" s="24"/>
      <c r="M29" s="24"/>
      <c r="N29" s="33"/>
      <c r="O29" s="33"/>
      <c r="P29" s="33"/>
      <c r="Q29" s="33"/>
    </row>
    <row r="30" spans="1:17" x14ac:dyDescent="0.2">
      <c r="A30" s="24"/>
      <c r="B30" s="24"/>
      <c r="C30" s="24"/>
      <c r="D30" s="24"/>
      <c r="E30" s="24"/>
      <c r="F30" s="24"/>
      <c r="G30" s="33"/>
      <c r="H30" s="24"/>
      <c r="I30" s="24"/>
      <c r="J30" s="24"/>
      <c r="K30" s="24"/>
      <c r="L30" s="24"/>
      <c r="M30" s="24"/>
      <c r="N30" s="33"/>
      <c r="O30" s="33"/>
      <c r="P30" s="33"/>
      <c r="Q30" s="33"/>
    </row>
    <row r="31" spans="1:17" x14ac:dyDescent="0.2">
      <c r="A31" s="15"/>
      <c r="B31" s="15"/>
      <c r="C31" s="15"/>
      <c r="D31" s="15"/>
      <c r="E31" s="75" t="s">
        <v>16</v>
      </c>
      <c r="F31" s="76" t="s">
        <v>17</v>
      </c>
      <c r="G31" s="15"/>
      <c r="H31" s="15"/>
      <c r="I31" s="24"/>
      <c r="J31" s="24"/>
      <c r="K31" s="24"/>
      <c r="L31" s="24"/>
      <c r="M31" s="24"/>
      <c r="N31" s="33"/>
      <c r="O31" s="33"/>
      <c r="P31" s="33"/>
      <c r="Q31" s="33"/>
    </row>
    <row r="32" spans="1:17" x14ac:dyDescent="0.2">
      <c r="A32" s="167" t="s">
        <v>27</v>
      </c>
      <c r="B32" s="16" t="s">
        <v>18</v>
      </c>
      <c r="C32" s="16" t="s">
        <v>19</v>
      </c>
      <c r="D32" s="16" t="s">
        <v>20</v>
      </c>
      <c r="E32" s="72" t="s">
        <v>21</v>
      </c>
      <c r="F32" s="73" t="s">
        <v>22</v>
      </c>
      <c r="G32" s="77"/>
      <c r="H32" s="73" t="s">
        <v>65</v>
      </c>
      <c r="I32" s="24"/>
      <c r="J32" s="24"/>
      <c r="K32" s="24"/>
      <c r="L32" s="24"/>
      <c r="M32" s="24"/>
      <c r="N32" s="33"/>
      <c r="O32" s="33"/>
      <c r="P32" s="33"/>
      <c r="Q32" s="33"/>
    </row>
    <row r="33" spans="1:17" x14ac:dyDescent="0.2">
      <c r="A33" s="168"/>
      <c r="B33" s="19">
        <f>MROUND(B28*(1+0.4%),0.1)</f>
        <v>0</v>
      </c>
      <c r="C33" s="66"/>
      <c r="D33" s="19">
        <f>IF(H33="TGT","N.A.",MROUND(B33*(1+4%),0.1))</f>
        <v>0</v>
      </c>
      <c r="E33" s="42">
        <f>IF(OR(G33="NO TGT",G33=""),MROUND(MAX((B33*(1-4%)),(C28*(1-0.4%))),0.1),"N.A.")</f>
        <v>0</v>
      </c>
      <c r="F33" s="43">
        <f>MROUND(MAX((B33*(1-4%)),(D28*(1-0.4%))),0.1)</f>
        <v>0</v>
      </c>
      <c r="G33" s="41"/>
      <c r="H33" s="74" t="s">
        <v>7</v>
      </c>
      <c r="I33" s="24"/>
      <c r="J33" s="24"/>
      <c r="K33" s="24"/>
      <c r="L33" s="24"/>
      <c r="M33" s="24"/>
      <c r="N33" s="33"/>
      <c r="O33" s="33"/>
      <c r="P33" s="33"/>
      <c r="Q33" s="33"/>
    </row>
    <row r="34" spans="1:17" x14ac:dyDescent="0.2">
      <c r="A34" s="24"/>
      <c r="B34" s="24"/>
      <c r="C34" s="24"/>
      <c r="D34" s="24"/>
      <c r="E34" s="24"/>
      <c r="F34" s="24"/>
      <c r="G34" s="33"/>
      <c r="H34" s="24"/>
      <c r="I34" s="24"/>
      <c r="J34" s="24"/>
      <c r="K34" s="24"/>
      <c r="L34" s="24"/>
      <c r="M34" s="24"/>
      <c r="N34" s="33"/>
      <c r="O34" s="33"/>
      <c r="P34" s="33"/>
      <c r="Q34" s="33"/>
    </row>
    <row r="35" spans="1:17" x14ac:dyDescent="0.2">
      <c r="A35" s="24"/>
      <c r="B35" s="24"/>
      <c r="C35" s="24"/>
      <c r="D35" s="24"/>
      <c r="E35" s="24"/>
      <c r="F35" s="24"/>
      <c r="G35" s="33"/>
      <c r="H35" s="24"/>
      <c r="I35" s="24"/>
      <c r="J35" s="24"/>
      <c r="K35" s="24"/>
      <c r="L35" s="24"/>
      <c r="M35" s="24"/>
      <c r="N35" s="33"/>
      <c r="O35" s="33"/>
      <c r="P35" s="33"/>
      <c r="Q35" s="33"/>
    </row>
    <row r="36" spans="1:17" x14ac:dyDescent="0.2">
      <c r="A36" s="24"/>
      <c r="B36" s="24"/>
      <c r="C36" s="24"/>
      <c r="D36" s="24"/>
      <c r="E36" s="24"/>
      <c r="F36" s="24"/>
      <c r="G36" s="33"/>
      <c r="H36" s="24"/>
      <c r="I36" s="24"/>
      <c r="J36" s="24"/>
      <c r="K36" s="24"/>
      <c r="L36" s="24"/>
      <c r="M36" s="24"/>
      <c r="N36" s="33"/>
      <c r="O36" s="33"/>
      <c r="P36" s="33"/>
      <c r="Q36" s="33"/>
    </row>
    <row r="37" spans="1:17" x14ac:dyDescent="0.2">
      <c r="A37" s="143" t="s">
        <v>29</v>
      </c>
      <c r="B37" s="144"/>
      <c r="C37" s="144"/>
      <c r="D37" s="144"/>
      <c r="E37" s="144"/>
      <c r="F37" s="145"/>
      <c r="G37" s="33"/>
      <c r="H37" s="24"/>
      <c r="I37" s="24"/>
      <c r="J37" s="24"/>
      <c r="K37" s="24"/>
      <c r="L37" s="24"/>
      <c r="M37" s="24"/>
      <c r="N37" s="33"/>
      <c r="O37" s="33"/>
      <c r="P37" s="33"/>
      <c r="Q37" s="33"/>
    </row>
    <row r="38" spans="1:17" x14ac:dyDescent="0.2">
      <c r="A38" s="23" t="s">
        <v>31</v>
      </c>
      <c r="B38" s="23" t="s">
        <v>32</v>
      </c>
      <c r="C38" s="23" t="s">
        <v>33</v>
      </c>
      <c r="D38" s="23" t="s">
        <v>34</v>
      </c>
      <c r="E38" s="23" t="s">
        <v>35</v>
      </c>
      <c r="F38" s="23" t="s">
        <v>36</v>
      </c>
      <c r="G38" s="33"/>
      <c r="H38" s="24"/>
      <c r="I38" s="24"/>
      <c r="J38" s="24"/>
      <c r="K38" s="24"/>
      <c r="L38" s="24"/>
      <c r="M38" s="24"/>
      <c r="N38" s="33"/>
      <c r="O38" s="33"/>
      <c r="P38" s="33"/>
      <c r="Q38" s="33"/>
    </row>
    <row r="39" spans="1:17" x14ac:dyDescent="0.2">
      <c r="A39" s="23" t="s">
        <v>37</v>
      </c>
      <c r="B39" s="23" t="str">
        <f>IF($H$33="NO Holdings","Yes","No")</f>
        <v>No</v>
      </c>
      <c r="C39" s="23" t="str">
        <f>IF($H$33="No Holdings","Buy Order","-")</f>
        <v>-</v>
      </c>
      <c r="D39" s="23" t="str">
        <f>IF($H$33="No Holdings",(I12*2),"-")</f>
        <v>-</v>
      </c>
      <c r="E39" s="23" t="str">
        <f>IF(F39="-","-",MROUND(F39*(1+0.1%),0.1))</f>
        <v>-</v>
      </c>
      <c r="F39" s="23" t="str">
        <f>IF($H$33="No Holdings",$B$33,"-")</f>
        <v>-</v>
      </c>
      <c r="G39" s="33"/>
      <c r="H39" s="24"/>
      <c r="I39" s="24"/>
      <c r="J39" s="24"/>
      <c r="K39" s="24"/>
      <c r="L39" s="24"/>
      <c r="M39" s="24"/>
      <c r="N39" s="33"/>
      <c r="O39" s="33"/>
      <c r="P39" s="33"/>
      <c r="Q39" s="33"/>
    </row>
    <row r="40" spans="1:17" x14ac:dyDescent="0.2">
      <c r="A40" s="23" t="s">
        <v>20</v>
      </c>
      <c r="B40" s="23" t="str">
        <f>IF($H$33="Entry Trigger","Yes","No")</f>
        <v>No</v>
      </c>
      <c r="C40" s="23" t="str">
        <f>IF($H$33="Entry Trigger","Sell Order","-")</f>
        <v>-</v>
      </c>
      <c r="D40" s="23" t="str">
        <f>IF($H$33="Entry Trigger",I12,"-")</f>
        <v>-</v>
      </c>
      <c r="E40" s="23" t="str">
        <f>IF(F40="-","-","Use Limit")</f>
        <v>-</v>
      </c>
      <c r="F40" s="23" t="str">
        <f>IF(H33="Entry Trigger",IF(C33="",IF($H$33="Entry Trigger",$D$33,"-"),MROUND(C33*(1+1.25%),0.05)),"-")</f>
        <v>-</v>
      </c>
      <c r="G40" s="33"/>
      <c r="H40" s="24"/>
      <c r="I40" s="24"/>
      <c r="J40" s="24"/>
      <c r="K40" s="24"/>
      <c r="L40" s="24"/>
      <c r="M40" s="24"/>
      <c r="N40" s="33"/>
      <c r="O40" s="33"/>
      <c r="P40" s="33"/>
      <c r="Q40" s="33"/>
    </row>
    <row r="41" spans="1:17" x14ac:dyDescent="0.2">
      <c r="A41" s="23" t="s">
        <v>38</v>
      </c>
      <c r="B41" s="23" t="str">
        <f>IF($H$33="Entry Trigger","Yes","No")</f>
        <v>No</v>
      </c>
      <c r="C41" s="23" t="str">
        <f>IF($H$33="Entry Trigger","Sell Order","-")</f>
        <v>-</v>
      </c>
      <c r="D41" s="23" t="str">
        <f>IF($H$33="Entry Trigger",(I12*2),"-")</f>
        <v>-</v>
      </c>
      <c r="E41" s="23" t="str">
        <f>IFERROR(IF(F41="-","-",MROUND(F41*(1-1%),0.1)),"NA")</f>
        <v>-</v>
      </c>
      <c r="F41" s="23" t="str">
        <f>IF($H$33="Entry Trigger",$E$33,"-")</f>
        <v>-</v>
      </c>
      <c r="G41" s="33"/>
      <c r="H41" s="24"/>
      <c r="I41" s="24"/>
      <c r="J41" s="24"/>
      <c r="K41" s="24"/>
      <c r="L41" s="24"/>
      <c r="M41" s="24"/>
      <c r="N41" s="33"/>
      <c r="O41" s="33"/>
      <c r="P41" s="33"/>
      <c r="Q41" s="33"/>
    </row>
    <row r="42" spans="1:17" x14ac:dyDescent="0.2">
      <c r="A42" s="23" t="s">
        <v>39</v>
      </c>
      <c r="B42" s="23" t="str">
        <f>IF($H$33="Target Triggered","Yes","No")</f>
        <v>Yes</v>
      </c>
      <c r="C42" s="23" t="str">
        <f>IF($H$33="Target Triggered","Sell Order","-")</f>
        <v>Sell Order</v>
      </c>
      <c r="D42" s="23">
        <f>IF($H$33="Target Triggered",I12,"-")</f>
        <v>1250</v>
      </c>
      <c r="E42" s="23">
        <f>IF(F42="-","-",MROUND(F42*(1-0.1%),0.1))</f>
        <v>0</v>
      </c>
      <c r="F42" s="23">
        <f>IF($H$33="Target Triggered",$F$33,"-")</f>
        <v>0</v>
      </c>
      <c r="G42" s="33"/>
      <c r="H42" s="24"/>
      <c r="I42" s="24"/>
      <c r="J42" s="24"/>
      <c r="K42" s="24"/>
      <c r="L42" s="24"/>
      <c r="M42" s="24"/>
      <c r="N42" s="33"/>
      <c r="O42" s="33"/>
      <c r="P42" s="33"/>
      <c r="Q42" s="33"/>
    </row>
    <row r="43" spans="1:17" x14ac:dyDescent="0.2">
      <c r="A43" s="24"/>
      <c r="B43" s="24"/>
      <c r="C43" s="24"/>
      <c r="D43" s="24"/>
      <c r="E43" s="24"/>
      <c r="F43" s="24"/>
      <c r="G43" s="33"/>
      <c r="H43" s="24"/>
      <c r="I43" s="24"/>
      <c r="J43" s="24"/>
      <c r="K43" s="24"/>
      <c r="L43" s="24"/>
      <c r="M43" s="24"/>
      <c r="N43" s="33"/>
      <c r="O43" s="33"/>
      <c r="P43" s="33"/>
      <c r="Q43" s="33"/>
    </row>
    <row r="44" spans="1:17" x14ac:dyDescent="0.2">
      <c r="A44" s="162" t="s">
        <v>44</v>
      </c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33"/>
      <c r="O44" s="33"/>
      <c r="P44" s="33"/>
      <c r="Q44" s="33"/>
    </row>
    <row r="45" spans="1:17" x14ac:dyDescent="0.2">
      <c r="A45" s="24"/>
      <c r="B45" s="24"/>
      <c r="C45" s="24"/>
      <c r="D45" s="24"/>
      <c r="E45" s="24"/>
      <c r="F45" s="24"/>
      <c r="G45" s="33"/>
      <c r="H45" s="24"/>
      <c r="I45" s="24"/>
      <c r="J45" s="24"/>
      <c r="K45" s="24"/>
      <c r="L45" s="24"/>
      <c r="M45" s="24"/>
      <c r="N45" s="33"/>
      <c r="O45" s="33"/>
      <c r="P45" s="33"/>
      <c r="Q45" s="33"/>
    </row>
    <row r="46" spans="1:17" x14ac:dyDescent="0.2">
      <c r="A46" s="163" t="s">
        <v>45</v>
      </c>
      <c r="B46" s="70" t="s">
        <v>69</v>
      </c>
      <c r="C46" s="70" t="s">
        <v>47</v>
      </c>
      <c r="D46" s="24"/>
      <c r="E46" s="24"/>
      <c r="F46" s="24"/>
      <c r="G46" s="33"/>
      <c r="H46" s="24"/>
      <c r="I46" s="24"/>
      <c r="J46" s="24"/>
      <c r="K46" s="24"/>
      <c r="L46" s="24"/>
      <c r="M46" s="24"/>
      <c r="N46" s="33"/>
      <c r="O46" s="33"/>
      <c r="P46" s="33"/>
      <c r="Q46" s="33"/>
    </row>
    <row r="47" spans="1:17" x14ac:dyDescent="0.2">
      <c r="A47" s="163"/>
      <c r="B47" s="71"/>
      <c r="C47" s="31">
        <f>MROUND(B47*(1+0.4%),0.1)</f>
        <v>0</v>
      </c>
      <c r="D47" s="24"/>
      <c r="E47" s="24"/>
      <c r="F47" s="24"/>
      <c r="G47" s="33"/>
      <c r="H47" s="24"/>
      <c r="I47" s="24"/>
      <c r="J47" s="24"/>
      <c r="K47" s="24"/>
      <c r="L47" s="24"/>
      <c r="M47" s="24"/>
      <c r="N47" s="33"/>
      <c r="O47" s="33"/>
      <c r="P47" s="33"/>
      <c r="Q47" s="33"/>
    </row>
    <row r="48" spans="1:17" x14ac:dyDescent="0.2">
      <c r="A48" s="24"/>
      <c r="B48" s="24"/>
      <c r="C48" s="24"/>
      <c r="D48" s="24"/>
      <c r="E48" s="24"/>
      <c r="F48" s="24"/>
      <c r="G48" s="33"/>
      <c r="H48" s="24"/>
      <c r="I48" s="24"/>
      <c r="J48" s="24"/>
      <c r="K48" s="24"/>
      <c r="L48" s="24"/>
      <c r="M48" s="24"/>
      <c r="N48" s="33"/>
      <c r="O48" s="33"/>
      <c r="P48" s="33"/>
      <c r="Q48" s="33"/>
    </row>
    <row r="49" spans="1:17" x14ac:dyDescent="0.2">
      <c r="A49" s="162" t="s">
        <v>48</v>
      </c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33"/>
      <c r="O49" s="33"/>
      <c r="P49" s="33"/>
      <c r="Q49" s="33"/>
    </row>
    <row r="50" spans="1:17" x14ac:dyDescent="0.2">
      <c r="A50" s="24"/>
      <c r="B50" s="24"/>
      <c r="C50" s="24"/>
      <c r="D50" s="24"/>
      <c r="E50" s="24"/>
      <c r="F50" s="24"/>
      <c r="G50" s="33"/>
      <c r="H50" s="24"/>
      <c r="I50" s="24"/>
      <c r="J50" s="24"/>
      <c r="K50" s="24"/>
      <c r="L50" s="24"/>
      <c r="M50" s="24"/>
      <c r="N50" s="33"/>
      <c r="O50" s="33"/>
      <c r="P50" s="33"/>
      <c r="Q50" s="33"/>
    </row>
    <row r="51" spans="1:17" x14ac:dyDescent="0.2">
      <c r="A51" s="166" t="s">
        <v>90</v>
      </c>
      <c r="B51" s="25" t="s">
        <v>70</v>
      </c>
      <c r="C51" s="25" t="s">
        <v>50</v>
      </c>
      <c r="D51" s="26" t="s">
        <v>92</v>
      </c>
      <c r="E51" s="24"/>
      <c r="F51" s="24"/>
      <c r="G51" s="33"/>
      <c r="H51" s="24"/>
      <c r="I51" s="24"/>
      <c r="J51" s="24"/>
      <c r="K51" s="24"/>
      <c r="L51" s="24"/>
      <c r="M51" s="24"/>
      <c r="N51" s="33"/>
      <c r="O51" s="33"/>
      <c r="P51" s="33"/>
      <c r="Q51" s="33"/>
    </row>
    <row r="52" spans="1:17" x14ac:dyDescent="0.2">
      <c r="A52" s="166"/>
      <c r="B52" s="68"/>
      <c r="C52" s="68"/>
      <c r="D52" s="69"/>
      <c r="E52" s="24"/>
      <c r="F52" s="24"/>
      <c r="G52" s="33"/>
      <c r="H52" s="24"/>
      <c r="I52" s="24"/>
      <c r="J52" s="24"/>
      <c r="K52" s="24"/>
      <c r="L52" s="24"/>
      <c r="M52" s="24"/>
      <c r="N52" s="33"/>
      <c r="O52" s="33"/>
      <c r="P52" s="33"/>
      <c r="Q52" s="33"/>
    </row>
    <row r="53" spans="1:17" x14ac:dyDescent="0.2">
      <c r="A53" s="24"/>
      <c r="B53" s="24"/>
      <c r="C53" s="24"/>
      <c r="D53" s="24"/>
      <c r="E53" s="24"/>
      <c r="F53" s="24"/>
      <c r="G53" s="33"/>
      <c r="H53" s="24"/>
      <c r="I53" s="24"/>
      <c r="J53" s="24"/>
      <c r="K53" s="24"/>
      <c r="L53" s="24"/>
      <c r="M53" s="24"/>
      <c r="N53" s="33"/>
      <c r="O53" s="33"/>
      <c r="P53" s="33"/>
      <c r="Q53" s="33"/>
    </row>
    <row r="54" spans="1:17" x14ac:dyDescent="0.2">
      <c r="A54" s="24"/>
      <c r="B54" s="24"/>
      <c r="C54" s="24"/>
      <c r="D54" s="24"/>
      <c r="E54" s="24"/>
      <c r="F54" s="24"/>
      <c r="G54" s="33"/>
      <c r="H54" s="24"/>
      <c r="I54" s="24"/>
      <c r="J54" s="24"/>
      <c r="K54" s="24"/>
      <c r="L54" s="24"/>
      <c r="M54" s="24"/>
      <c r="N54" s="33"/>
      <c r="O54" s="33"/>
      <c r="P54" s="33"/>
      <c r="Q54" s="33"/>
    </row>
    <row r="55" spans="1:17" x14ac:dyDescent="0.2">
      <c r="A55" s="15"/>
      <c r="B55" s="15"/>
      <c r="C55" s="15"/>
      <c r="D55" s="15"/>
      <c r="E55" s="47" t="s">
        <v>16</v>
      </c>
      <c r="F55" s="48" t="s">
        <v>17</v>
      </c>
      <c r="G55" s="15"/>
      <c r="H55" s="15"/>
      <c r="I55" s="24"/>
      <c r="J55" s="24"/>
      <c r="K55" s="24"/>
      <c r="L55" s="24"/>
      <c r="M55" s="24"/>
      <c r="N55" s="33"/>
      <c r="O55" s="33"/>
      <c r="P55" s="33"/>
      <c r="Q55" s="33"/>
    </row>
    <row r="56" spans="1:17" x14ac:dyDescent="0.2">
      <c r="A56" s="169" t="s">
        <v>72</v>
      </c>
      <c r="B56" s="17" t="s">
        <v>18</v>
      </c>
      <c r="C56" s="17" t="s">
        <v>19</v>
      </c>
      <c r="D56" s="17" t="s">
        <v>20</v>
      </c>
      <c r="E56" s="39" t="s">
        <v>21</v>
      </c>
      <c r="F56" s="40" t="s">
        <v>22</v>
      </c>
      <c r="G56" s="77"/>
      <c r="H56" s="73" t="s">
        <v>65</v>
      </c>
      <c r="I56" s="24"/>
      <c r="J56" s="24"/>
      <c r="K56" s="24"/>
      <c r="L56" s="24"/>
      <c r="M56" s="24"/>
      <c r="N56" s="33"/>
      <c r="O56" s="33"/>
      <c r="P56" s="33"/>
      <c r="Q56" s="33"/>
    </row>
    <row r="57" spans="1:17" x14ac:dyDescent="0.2">
      <c r="A57" s="170"/>
      <c r="B57" s="22">
        <f>MROUND(B52*(1-0.4%),0.1)</f>
        <v>0</v>
      </c>
      <c r="C57" s="66"/>
      <c r="D57" s="22">
        <f>IF(H57="TGT","N.A.",MROUND(B57*(1-4%),0.1))</f>
        <v>0</v>
      </c>
      <c r="E57" s="45">
        <f>IF(OR(G57="NO TGT",G57=""),MROUND(MIN((B57*(1+4%)),(C52*(1+0.4%))),0.1),"N.A.")</f>
        <v>0</v>
      </c>
      <c r="F57" s="46">
        <f>MROUND(MIN((B57*(1+4%)),(D52*(1+0.4%))),0.1)</f>
        <v>0</v>
      </c>
      <c r="G57" s="41"/>
      <c r="H57" s="74" t="s">
        <v>2</v>
      </c>
      <c r="I57" s="24"/>
      <c r="J57" s="24"/>
      <c r="K57" s="24"/>
      <c r="L57" s="24"/>
      <c r="M57" s="24"/>
      <c r="N57" s="33"/>
      <c r="O57" s="33"/>
      <c r="P57" s="33"/>
      <c r="Q57" s="33"/>
    </row>
    <row r="58" spans="1:17" x14ac:dyDescent="0.2">
      <c r="A58" s="24"/>
      <c r="B58" s="24"/>
      <c r="C58" s="24"/>
      <c r="D58" s="24"/>
      <c r="E58" s="24"/>
      <c r="F58" s="24"/>
      <c r="G58" s="33"/>
      <c r="H58" s="24"/>
      <c r="I58" s="24"/>
      <c r="J58" s="24"/>
      <c r="K58" s="24"/>
      <c r="L58" s="24"/>
      <c r="M58" s="24"/>
      <c r="N58" s="33"/>
      <c r="O58" s="33"/>
      <c r="P58" s="33"/>
      <c r="Q58" s="33"/>
    </row>
    <row r="59" spans="1:17" x14ac:dyDescent="0.2">
      <c r="A59" s="24"/>
      <c r="B59" s="24"/>
      <c r="C59" s="24"/>
      <c r="D59" s="24"/>
      <c r="E59" s="24"/>
      <c r="F59" s="24"/>
      <c r="G59" s="33"/>
      <c r="H59" s="24"/>
      <c r="I59" s="24"/>
      <c r="J59" s="24"/>
      <c r="K59" s="24"/>
      <c r="L59" s="24"/>
      <c r="M59" s="24"/>
      <c r="N59" s="33"/>
      <c r="O59" s="33"/>
      <c r="P59" s="33"/>
      <c r="Q59" s="33"/>
    </row>
    <row r="60" spans="1:17" x14ac:dyDescent="0.2">
      <c r="A60" s="24"/>
      <c r="B60" s="24"/>
      <c r="C60" s="24"/>
      <c r="D60" s="24"/>
      <c r="E60" s="24"/>
      <c r="F60" s="24"/>
      <c r="G60" s="33"/>
      <c r="H60" s="24"/>
      <c r="I60" s="24"/>
      <c r="J60" s="24"/>
      <c r="K60" s="24"/>
      <c r="L60" s="24"/>
      <c r="M60" s="24"/>
      <c r="N60" s="33"/>
      <c r="O60" s="33"/>
      <c r="P60" s="33"/>
      <c r="Q60" s="33"/>
    </row>
    <row r="61" spans="1:17" x14ac:dyDescent="0.2">
      <c r="A61" s="146" t="s">
        <v>30</v>
      </c>
      <c r="B61" s="147"/>
      <c r="C61" s="147"/>
      <c r="D61" s="147"/>
      <c r="E61" s="147"/>
      <c r="F61" s="148"/>
      <c r="G61" s="33"/>
      <c r="H61" s="24"/>
      <c r="I61" s="24"/>
      <c r="J61" s="24"/>
      <c r="K61" s="24"/>
      <c r="L61" s="24"/>
      <c r="M61" s="24"/>
      <c r="N61" s="33"/>
      <c r="O61" s="33"/>
      <c r="P61" s="33"/>
      <c r="Q61" s="33"/>
    </row>
    <row r="62" spans="1:17" x14ac:dyDescent="0.2">
      <c r="A62" s="23" t="s">
        <v>31</v>
      </c>
      <c r="B62" s="23" t="s">
        <v>32</v>
      </c>
      <c r="C62" s="23" t="s">
        <v>33</v>
      </c>
      <c r="D62" s="23" t="s">
        <v>34</v>
      </c>
      <c r="E62" s="23" t="s">
        <v>35</v>
      </c>
      <c r="F62" s="23" t="s">
        <v>36</v>
      </c>
      <c r="G62" s="33"/>
      <c r="H62" s="24"/>
      <c r="I62" s="24"/>
      <c r="J62" s="24"/>
      <c r="K62" s="24"/>
      <c r="L62" s="24"/>
      <c r="M62" s="24"/>
      <c r="N62" s="33"/>
      <c r="O62" s="33"/>
      <c r="P62" s="33"/>
      <c r="Q62" s="33"/>
    </row>
    <row r="63" spans="1:17" x14ac:dyDescent="0.2">
      <c r="A63" s="23" t="s">
        <v>37</v>
      </c>
      <c r="B63" s="23" t="str">
        <f>IF($H$57="NO Holdings","Yes","No")</f>
        <v>Yes</v>
      </c>
      <c r="C63" s="23" t="str">
        <f>IF($H$57="No Holdings","Sell Order","-")</f>
        <v>Sell Order</v>
      </c>
      <c r="D63" s="23">
        <f>IF($H$57="No Holdings",(I12*2),"-")</f>
        <v>2500</v>
      </c>
      <c r="E63" s="23">
        <f>IF(F63="-","-",MROUND(F63*(1+1%),0.1))</f>
        <v>0</v>
      </c>
      <c r="F63" s="23">
        <f>IF($H$57="No Holdings",$B$57,"-")</f>
        <v>0</v>
      </c>
      <c r="G63" s="33"/>
      <c r="H63" s="24"/>
      <c r="I63" s="24"/>
      <c r="J63" s="24"/>
      <c r="K63" s="24"/>
      <c r="L63" s="24"/>
      <c r="M63" s="24"/>
      <c r="N63" s="33"/>
      <c r="O63" s="33"/>
      <c r="P63" s="33"/>
      <c r="Q63" s="33"/>
    </row>
    <row r="64" spans="1:17" x14ac:dyDescent="0.2">
      <c r="A64" s="23" t="s">
        <v>20</v>
      </c>
      <c r="B64" s="23" t="str">
        <f>IF($H$57="Entry Trigger","Yes","No")</f>
        <v>No</v>
      </c>
      <c r="C64" s="23" t="str">
        <f>IF($H$57="Entry Trigger","Buy Order","-")</f>
        <v>-</v>
      </c>
      <c r="D64" s="23" t="str">
        <f>IF($H$57="Entry Trigger",I12,"-")</f>
        <v>-</v>
      </c>
      <c r="E64" s="23" t="str">
        <f>IF(F64="-","-","Use Limit")</f>
        <v>-</v>
      </c>
      <c r="F64" s="23" t="str">
        <f>IF(H57="Entry Trigger",IF(C57="",IF($H$57="Entry Trigger",$D$57,"-"),MROUND(C57*(1+1.25%),0.05)),"-")</f>
        <v>-</v>
      </c>
      <c r="G64" s="33"/>
      <c r="H64" s="24"/>
      <c r="I64" s="24"/>
      <c r="J64" s="24"/>
      <c r="K64" s="24"/>
      <c r="L64" s="24"/>
      <c r="M64" s="24"/>
      <c r="N64" s="33"/>
      <c r="O64" s="33"/>
      <c r="P64" s="33"/>
      <c r="Q64" s="33"/>
    </row>
    <row r="65" spans="1:17" x14ac:dyDescent="0.2">
      <c r="A65" s="23" t="s">
        <v>38</v>
      </c>
      <c r="B65" s="23" t="str">
        <f>IF($H$57="Entry Trigger","Yes","No")</f>
        <v>No</v>
      </c>
      <c r="C65" s="23" t="str">
        <f>IF($H$57="Entry Trigger","Buy Order","-")</f>
        <v>-</v>
      </c>
      <c r="D65" s="23" t="str">
        <f>IF($H$57="Entry Trigger",(I12*2),"-")</f>
        <v>-</v>
      </c>
      <c r="E65" s="23" t="str">
        <f>IFERROR(IF(F65="-","-",MROUND(F65*(1+0.1%),0.1)),"NA")</f>
        <v>-</v>
      </c>
      <c r="F65" s="23" t="str">
        <f>IF($H$57="Entry Trigger",$E$57,"-")</f>
        <v>-</v>
      </c>
      <c r="G65" s="33"/>
      <c r="H65" s="24"/>
      <c r="I65" s="24"/>
      <c r="J65" s="24"/>
      <c r="K65" s="24"/>
      <c r="L65" s="24"/>
      <c r="M65" s="24"/>
      <c r="N65" s="33"/>
      <c r="O65" s="33"/>
      <c r="P65" s="33"/>
      <c r="Q65" s="33"/>
    </row>
    <row r="66" spans="1:17" x14ac:dyDescent="0.2">
      <c r="A66" s="23" t="s">
        <v>39</v>
      </c>
      <c r="B66" s="23" t="str">
        <f>IF($H$57="Target Triggered","Yes","No")</f>
        <v>No</v>
      </c>
      <c r="C66" s="23" t="str">
        <f>IF($H$57="Target Triggered","Buy Order","-")</f>
        <v>-</v>
      </c>
      <c r="D66" s="23" t="str">
        <f>IF($H$57="Target Triggered",I12,"-")</f>
        <v>-</v>
      </c>
      <c r="E66" s="23" t="str">
        <f>IF(F66="-","-",(MROUND(F66*(1+0.1%),0.1)))</f>
        <v>-</v>
      </c>
      <c r="F66" s="23" t="str">
        <f>IF($H$57="Target Triggered",$F$57,"-")</f>
        <v>-</v>
      </c>
      <c r="G66" s="33"/>
      <c r="H66" s="24"/>
      <c r="I66" s="24"/>
      <c r="J66" s="24"/>
      <c r="K66" s="24"/>
      <c r="L66" s="24"/>
      <c r="M66" s="24"/>
      <c r="N66" s="33"/>
      <c r="O66" s="33"/>
      <c r="P66" s="33"/>
      <c r="Q66" s="33"/>
    </row>
    <row r="67" spans="1:17" x14ac:dyDescent="0.2">
      <c r="A67" s="24"/>
      <c r="B67" s="24"/>
      <c r="C67" s="24"/>
      <c r="D67" s="24"/>
      <c r="E67" s="24"/>
      <c r="F67" s="24"/>
      <c r="G67" s="33"/>
      <c r="H67" s="24"/>
      <c r="I67" s="24"/>
      <c r="J67" s="24"/>
      <c r="K67" s="24"/>
      <c r="L67" s="24"/>
      <c r="M67" s="24"/>
      <c r="N67" s="33"/>
      <c r="O67" s="33"/>
      <c r="P67" s="33"/>
      <c r="Q67" s="33"/>
    </row>
    <row r="68" spans="1:17" x14ac:dyDescent="0.2">
      <c r="A68" s="162" t="s">
        <v>51</v>
      </c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33"/>
      <c r="O68" s="33"/>
      <c r="P68" s="33"/>
      <c r="Q68" s="33"/>
    </row>
    <row r="69" spans="1:17" x14ac:dyDescent="0.2">
      <c r="A69" s="24"/>
      <c r="B69" s="24"/>
      <c r="C69" s="24"/>
      <c r="D69" s="24"/>
      <c r="E69" s="24"/>
      <c r="F69" s="24"/>
      <c r="G69" s="33"/>
      <c r="H69" s="24"/>
      <c r="I69" s="24"/>
      <c r="J69" s="24"/>
      <c r="K69" s="24"/>
      <c r="L69" s="24"/>
      <c r="M69" s="24"/>
      <c r="N69" s="33"/>
      <c r="O69" s="33"/>
      <c r="P69" s="33"/>
      <c r="Q69" s="33"/>
    </row>
    <row r="70" spans="1:17" x14ac:dyDescent="0.2">
      <c r="A70" s="166" t="s">
        <v>52</v>
      </c>
      <c r="B70" s="70" t="s">
        <v>73</v>
      </c>
      <c r="C70" s="70" t="s">
        <v>47</v>
      </c>
      <c r="D70" s="24"/>
      <c r="E70" s="24"/>
      <c r="F70" s="24"/>
      <c r="G70" s="33"/>
      <c r="H70" s="24"/>
      <c r="I70" s="24"/>
      <c r="J70" s="24"/>
      <c r="K70" s="24"/>
      <c r="L70" s="24"/>
      <c r="M70" s="24"/>
      <c r="N70" s="33"/>
      <c r="O70" s="33"/>
      <c r="P70" s="33"/>
      <c r="Q70" s="33"/>
    </row>
    <row r="71" spans="1:17" x14ac:dyDescent="0.2">
      <c r="A71" s="166"/>
      <c r="B71" s="71">
        <v>72685</v>
      </c>
      <c r="C71" s="31">
        <f>MROUND(B71*(1-0.4%),0.1)</f>
        <v>72394.3</v>
      </c>
      <c r="D71" s="24"/>
      <c r="E71" s="24"/>
      <c r="F71" s="24"/>
      <c r="G71" s="33"/>
      <c r="H71" s="24"/>
      <c r="I71" s="24"/>
      <c r="J71" s="24"/>
      <c r="K71" s="24"/>
      <c r="L71" s="24"/>
      <c r="M71" s="24"/>
      <c r="N71" s="33"/>
      <c r="O71" s="33"/>
      <c r="P71" s="33"/>
      <c r="Q71" s="33"/>
    </row>
    <row r="72" spans="1:17" x14ac:dyDescent="0.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</row>
    <row r="73" spans="1:17" x14ac:dyDescent="0.2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</row>
    <row r="74" spans="1:17" x14ac:dyDescent="0.2">
      <c r="A74" s="33"/>
      <c r="B74" s="51"/>
      <c r="C74" s="51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</row>
    <row r="75" spans="1:17" x14ac:dyDescent="0.2">
      <c r="A75" s="33"/>
      <c r="B75" s="51"/>
      <c r="C75" s="51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</row>
    <row r="76" spans="1:17" x14ac:dyDescent="0.2">
      <c r="A76" s="33"/>
      <c r="B76" s="51"/>
      <c r="C76" s="51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</row>
    <row r="77" spans="1:17" x14ac:dyDescent="0.2">
      <c r="A77" s="33"/>
      <c r="B77" s="51"/>
      <c r="C77" s="51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</row>
    <row r="78" spans="1:17" x14ac:dyDescent="0.2">
      <c r="A78" s="2"/>
      <c r="B78" s="81"/>
      <c r="C78" s="81"/>
      <c r="D78" s="2"/>
      <c r="E78" s="2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</row>
    <row r="79" spans="1:17" x14ac:dyDescent="0.2">
      <c r="A79" s="2"/>
      <c r="B79" s="81"/>
      <c r="C79" s="81"/>
      <c r="D79" s="2"/>
      <c r="E79" s="2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</row>
    <row r="80" spans="1:17" x14ac:dyDescent="0.2">
      <c r="A80" s="2"/>
      <c r="B80" s="81"/>
      <c r="C80" s="81"/>
      <c r="D80" s="2"/>
      <c r="E80" s="2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</row>
    <row r="81" spans="1:17" x14ac:dyDescent="0.2">
      <c r="A81" s="2"/>
      <c r="B81" s="2"/>
      <c r="C81" s="2"/>
      <c r="D81" s="2"/>
      <c r="E81" s="2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</row>
    <row r="82" spans="1:17" ht="19" x14ac:dyDescent="0.25">
      <c r="A82" s="33"/>
      <c r="B82" s="78" t="s">
        <v>3</v>
      </c>
      <c r="C82" s="79"/>
      <c r="D82" s="79"/>
      <c r="E82" s="2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</row>
    <row r="83" spans="1:17" ht="19" x14ac:dyDescent="0.25">
      <c r="A83" s="33"/>
      <c r="B83" s="80" t="s">
        <v>6</v>
      </c>
      <c r="C83" s="33"/>
      <c r="D83" s="33"/>
      <c r="E83" s="2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</row>
    <row r="84" spans="1:17" ht="19" x14ac:dyDescent="0.25">
      <c r="A84" s="33"/>
      <c r="B84" s="80" t="s">
        <v>12</v>
      </c>
      <c r="C84" s="79"/>
      <c r="D84" s="79"/>
      <c r="E84" s="2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</row>
    <row r="85" spans="1:17" ht="19" x14ac:dyDescent="0.25">
      <c r="A85" s="33"/>
      <c r="B85" s="80" t="s">
        <v>14</v>
      </c>
      <c r="C85" s="79"/>
      <c r="D85" s="33"/>
      <c r="E85" s="2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</row>
    <row r="86" spans="1:17" x14ac:dyDescent="0.2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</row>
    <row r="87" spans="1:17" x14ac:dyDescent="0.2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</row>
  </sheetData>
  <sheetProtection algorithmName="SHA-512" hashValue="vynUJOxh1A+rXEToPxdcHq16MTkygtEKb6O8/PSrm8G3N3RrFEn3wexmj60ZmOYwcSCMAjuA/P1pYZVfPLPOoQ==" saltValue="kJHAnpCpWsYo2IzonG9P4A==" spinCount="100000" sheet="1" objects="1" scenarios="1"/>
  <mergeCells count="17">
    <mergeCell ref="A70:A71"/>
    <mergeCell ref="A68:M68"/>
    <mergeCell ref="A27:A28"/>
    <mergeCell ref="A32:A33"/>
    <mergeCell ref="A46:A47"/>
    <mergeCell ref="A51:A52"/>
    <mergeCell ref="A56:A57"/>
    <mergeCell ref="A25:M25"/>
    <mergeCell ref="A37:F37"/>
    <mergeCell ref="A44:M44"/>
    <mergeCell ref="A49:M49"/>
    <mergeCell ref="A61:F61"/>
    <mergeCell ref="A1:M1"/>
    <mergeCell ref="A3:B3"/>
    <mergeCell ref="C3:D3"/>
    <mergeCell ref="A17:F17"/>
    <mergeCell ref="H17:M17"/>
  </mergeCells>
  <dataValidations count="2">
    <dataValidation type="list" allowBlank="1" showInputMessage="1" showErrorMessage="1" sqref="G33 G57 G12:G13" xr:uid="{00000000-0002-0000-0800-000000000000}">
      <formula1>$O$1:$O$2</formula1>
    </dataValidation>
    <dataValidation type="list" allowBlank="1" showInputMessage="1" showErrorMessage="1" sqref="H33 H57 H12:H13" xr:uid="{00000000-0002-0000-0800-000001000000}">
      <formula1>$O$1:$O$3</formula1>
    </dataValidation>
  </dataValidations>
  <pageMargins left="0.69930555555555596" right="0.69930555555555596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85"/>
  <sheetViews>
    <sheetView zoomScale="110" zoomScaleNormal="110" workbookViewId="0">
      <selection activeCell="H35" sqref="H35"/>
    </sheetView>
  </sheetViews>
  <sheetFormatPr baseColWidth="10" defaultColWidth="9" defaultRowHeight="16" x14ac:dyDescent="0.2"/>
  <cols>
    <col min="1" max="1" width="18.33203125" customWidth="1"/>
    <col min="2" max="2" width="12.5" customWidth="1"/>
    <col min="3" max="3" width="13.6640625" customWidth="1"/>
    <col min="4" max="4" width="14.6640625" customWidth="1"/>
    <col min="5" max="5" width="12.83203125" customWidth="1"/>
    <col min="6" max="6" width="14.33203125" customWidth="1"/>
    <col min="8" max="8" width="19.1640625" customWidth="1"/>
    <col min="9" max="9" width="13.83203125" customWidth="1"/>
    <col min="10" max="10" width="12.5" customWidth="1"/>
    <col min="11" max="11" width="12.83203125" customWidth="1"/>
    <col min="12" max="12" width="12.6640625" customWidth="1"/>
    <col min="13" max="13" width="13.5" customWidth="1"/>
    <col min="15" max="15" width="13.33203125" hidden="1" customWidth="1"/>
  </cols>
  <sheetData>
    <row r="1" spans="1:15" x14ac:dyDescent="0.2">
      <c r="A1" s="155" t="s">
        <v>93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O1" t="s">
        <v>2</v>
      </c>
    </row>
    <row r="2" spans="1:15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O2" t="s">
        <v>4</v>
      </c>
    </row>
    <row r="3" spans="1:15" x14ac:dyDescent="0.2">
      <c r="A3" s="156" t="s">
        <v>59</v>
      </c>
      <c r="B3" s="157"/>
      <c r="C3" s="158">
        <v>45624</v>
      </c>
      <c r="D3" s="171"/>
      <c r="E3" s="15"/>
      <c r="F3" s="15"/>
      <c r="G3" s="15"/>
      <c r="H3" s="15"/>
      <c r="I3" s="15"/>
      <c r="J3" s="15"/>
      <c r="K3" s="15"/>
      <c r="L3" s="15"/>
      <c r="M3" s="2"/>
      <c r="O3" t="s">
        <v>7</v>
      </c>
    </row>
    <row r="4" spans="1:15" ht="19" x14ac:dyDescent="0.25">
      <c r="A4" s="3"/>
      <c r="B4" s="4"/>
      <c r="C4" s="5"/>
      <c r="D4" s="6"/>
      <c r="E4" s="15"/>
      <c r="F4" s="15"/>
      <c r="G4" s="15"/>
      <c r="H4" s="33"/>
      <c r="I4" s="51"/>
      <c r="J4" s="52" t="s">
        <v>3</v>
      </c>
      <c r="K4" s="53"/>
      <c r="L4" s="15"/>
      <c r="M4" s="2"/>
    </row>
    <row r="5" spans="1:15" ht="19" x14ac:dyDescent="0.25">
      <c r="A5" s="7" t="s">
        <v>5</v>
      </c>
      <c r="B5" s="8"/>
      <c r="C5" s="9"/>
      <c r="D5" s="8"/>
      <c r="E5" s="15"/>
      <c r="F5" s="15"/>
      <c r="G5" s="15"/>
      <c r="H5" s="33"/>
      <c r="I5" s="51"/>
      <c r="J5" s="54" t="s">
        <v>6</v>
      </c>
      <c r="L5" s="15"/>
      <c r="M5" s="2"/>
    </row>
    <row r="6" spans="1:15" ht="19" x14ac:dyDescent="0.25">
      <c r="A6" s="10" t="s">
        <v>94</v>
      </c>
      <c r="B6" s="11" t="s">
        <v>9</v>
      </c>
      <c r="C6" s="11" t="s">
        <v>10</v>
      </c>
      <c r="D6" s="11" t="s">
        <v>61</v>
      </c>
      <c r="E6" s="34" t="s">
        <v>89</v>
      </c>
      <c r="F6" s="34" t="s">
        <v>11</v>
      </c>
      <c r="G6" s="15"/>
      <c r="H6" s="33"/>
      <c r="I6" s="51"/>
      <c r="J6" s="54" t="s">
        <v>12</v>
      </c>
      <c r="K6" s="53"/>
      <c r="L6" s="15"/>
      <c r="M6" s="2"/>
    </row>
    <row r="7" spans="1:15" ht="19" x14ac:dyDescent="0.25">
      <c r="A7" s="12" t="s">
        <v>13</v>
      </c>
      <c r="B7" s="13"/>
      <c r="C7" s="14"/>
      <c r="D7" s="14"/>
      <c r="E7" s="35">
        <f>MAX(B7:D7)</f>
        <v>0</v>
      </c>
      <c r="F7" s="36">
        <f>MAX(C7:D7)</f>
        <v>0</v>
      </c>
      <c r="G7" s="15"/>
      <c r="H7" s="33"/>
      <c r="I7" s="51"/>
      <c r="J7" s="54" t="s">
        <v>14</v>
      </c>
      <c r="K7" s="53"/>
      <c r="L7" s="15"/>
      <c r="M7" s="2"/>
    </row>
    <row r="8" spans="1:15" x14ac:dyDescent="0.2">
      <c r="A8" s="12" t="s">
        <v>15</v>
      </c>
      <c r="B8" s="13"/>
      <c r="C8" s="14"/>
      <c r="D8" s="14"/>
      <c r="E8" s="35">
        <f>MIN(B8:D8)</f>
        <v>0</v>
      </c>
      <c r="F8" s="36">
        <f>MIN(C8:D8)</f>
        <v>0</v>
      </c>
      <c r="G8" s="15"/>
      <c r="H8" s="15"/>
      <c r="I8" s="15"/>
      <c r="J8" s="15"/>
      <c r="K8" s="15"/>
      <c r="L8" s="15"/>
      <c r="M8" s="2"/>
    </row>
    <row r="9" spans="1:15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2"/>
    </row>
    <row r="10" spans="1:15" x14ac:dyDescent="0.2">
      <c r="A10" s="15"/>
      <c r="B10" s="15"/>
      <c r="C10" s="15"/>
      <c r="D10" s="15"/>
      <c r="E10" s="37" t="s">
        <v>16</v>
      </c>
      <c r="F10" s="38" t="s">
        <v>17</v>
      </c>
      <c r="G10" s="15"/>
      <c r="H10" s="15"/>
      <c r="I10" s="15"/>
      <c r="J10" s="15"/>
      <c r="K10" s="15"/>
      <c r="L10" s="15"/>
      <c r="M10" s="2"/>
    </row>
    <row r="11" spans="1:15" x14ac:dyDescent="0.2">
      <c r="A11" s="16"/>
      <c r="B11" s="17" t="s">
        <v>18</v>
      </c>
      <c r="C11" s="17" t="s">
        <v>19</v>
      </c>
      <c r="D11" s="17" t="s">
        <v>20</v>
      </c>
      <c r="E11" s="39" t="s">
        <v>21</v>
      </c>
      <c r="F11" s="40" t="s">
        <v>22</v>
      </c>
      <c r="G11" s="41"/>
      <c r="H11" s="40" t="s">
        <v>65</v>
      </c>
      <c r="I11" s="55" t="s">
        <v>26</v>
      </c>
      <c r="J11" s="56"/>
      <c r="K11" s="15"/>
      <c r="L11" s="15"/>
      <c r="M11" s="2"/>
    </row>
    <row r="12" spans="1:15" x14ac:dyDescent="0.2">
      <c r="A12" s="18" t="s">
        <v>27</v>
      </c>
      <c r="B12" s="19">
        <f>MROUND(E7*(1+0.4%),0.1)</f>
        <v>0</v>
      </c>
      <c r="C12" s="20"/>
      <c r="D12" s="19">
        <f>IF(H12="TGT","N.A.",MROUND(B12*(1+4%),0.1))</f>
        <v>0</v>
      </c>
      <c r="E12" s="42">
        <f>IF(OR(G12="NO TGT",G12=""),MROUND(MAX((B12*(1-4%)),(F8*(1-0.4%))),0.1),"N.A.")</f>
        <v>0</v>
      </c>
      <c r="F12" s="43">
        <f>MROUND(MAX((B12*(1-4%)),(E8*(1-0.4%))),0.1)</f>
        <v>0</v>
      </c>
      <c r="G12" s="41"/>
      <c r="H12" s="44" t="s">
        <v>4</v>
      </c>
      <c r="I12" s="57">
        <v>250</v>
      </c>
      <c r="J12" s="56"/>
      <c r="K12" s="15"/>
      <c r="L12" s="15"/>
      <c r="M12" s="2"/>
    </row>
    <row r="13" spans="1:15" x14ac:dyDescent="0.2">
      <c r="A13" s="21" t="s">
        <v>28</v>
      </c>
      <c r="B13" s="22">
        <f>MROUND(E8*(1-0.4%),0.1)</f>
        <v>0</v>
      </c>
      <c r="C13" s="20"/>
      <c r="D13" s="22">
        <f>IF(H13="TGT","N.A.",MROUND(B13*(1-4%),0.1))</f>
        <v>0</v>
      </c>
      <c r="E13" s="45">
        <f>IF(OR(G13="NO TGT",G13=""),MROUND(MIN((B13*(1+4%)),(F7*(1+0.4%))),0.1),"N.A.")</f>
        <v>0</v>
      </c>
      <c r="F13" s="46">
        <f>MROUND(MIN((B13*(1+4%)),(E7*(1+0.4%))),0.1)</f>
        <v>0</v>
      </c>
      <c r="G13" s="41"/>
      <c r="H13" s="44" t="s">
        <v>4</v>
      </c>
      <c r="I13" s="56"/>
      <c r="J13" s="56"/>
      <c r="K13" s="15"/>
      <c r="L13" s="15"/>
      <c r="M13" s="2"/>
    </row>
    <row r="14" spans="1:1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143" t="s">
        <v>29</v>
      </c>
      <c r="B17" s="144"/>
      <c r="C17" s="144"/>
      <c r="D17" s="144"/>
      <c r="E17" s="144"/>
      <c r="F17" s="145"/>
      <c r="G17" s="33"/>
      <c r="H17" s="146" t="s">
        <v>30</v>
      </c>
      <c r="I17" s="147"/>
      <c r="J17" s="147"/>
      <c r="K17" s="147"/>
      <c r="L17" s="147"/>
      <c r="M17" s="148"/>
    </row>
    <row r="18" spans="1:13" x14ac:dyDescent="0.2">
      <c r="A18" s="23" t="s">
        <v>31</v>
      </c>
      <c r="B18" s="23" t="s">
        <v>32</v>
      </c>
      <c r="C18" s="23" t="s">
        <v>33</v>
      </c>
      <c r="D18" s="23" t="s">
        <v>34</v>
      </c>
      <c r="E18" s="23" t="s">
        <v>35</v>
      </c>
      <c r="F18" s="23" t="s">
        <v>36</v>
      </c>
      <c r="G18" s="33"/>
      <c r="H18" s="23" t="s">
        <v>31</v>
      </c>
      <c r="I18" s="23" t="s">
        <v>32</v>
      </c>
      <c r="J18" s="23" t="s">
        <v>33</v>
      </c>
      <c r="K18" s="23" t="s">
        <v>34</v>
      </c>
      <c r="L18" s="23" t="s">
        <v>35</v>
      </c>
      <c r="M18" s="23" t="s">
        <v>36</v>
      </c>
    </row>
    <row r="19" spans="1:13" x14ac:dyDescent="0.2">
      <c r="A19" s="23" t="s">
        <v>37</v>
      </c>
      <c r="B19" s="23" t="str">
        <f>IF($H$12="NO Holdings","Yes","No")</f>
        <v>No</v>
      </c>
      <c r="C19" s="23" t="str">
        <f>IF($H$12="No Holdings","Buy Order","-")</f>
        <v>-</v>
      </c>
      <c r="D19" s="23" t="str">
        <f>IF($H$12="No Holdings",(I12*2),"-")</f>
        <v>-</v>
      </c>
      <c r="E19" s="23" t="str">
        <f>IF(F19="-","-",MROUND(F19*(1+0.1%),0.1))</f>
        <v>-</v>
      </c>
      <c r="F19" s="23" t="str">
        <f>IF($H$12="No Holdings",$B$12,"-")</f>
        <v>-</v>
      </c>
      <c r="G19" s="33"/>
      <c r="H19" s="23" t="s">
        <v>37</v>
      </c>
      <c r="I19" s="23" t="str">
        <f>IF($H$13="NO Holdings","Yes","No")</f>
        <v>No</v>
      </c>
      <c r="J19" s="23" t="str">
        <f>IF($H$13="No Holdings","Sell Order","-")</f>
        <v>-</v>
      </c>
      <c r="K19" s="23" t="str">
        <f>IF($H$13="No Holdings",(I12*2),"-")</f>
        <v>-</v>
      </c>
      <c r="L19" s="23" t="str">
        <f>IF(M19="-","-",MROUND(M19*(1-0.1%),0.1))</f>
        <v>-</v>
      </c>
      <c r="M19" s="23" t="str">
        <f>IF($H$13="No Holdings",$B$13,"-")</f>
        <v>-</v>
      </c>
    </row>
    <row r="20" spans="1:13" x14ac:dyDescent="0.2">
      <c r="A20" s="23" t="s">
        <v>20</v>
      </c>
      <c r="B20" s="23" t="str">
        <f>IF($H$12="Entry Trigger","Yes","No")</f>
        <v>Yes</v>
      </c>
      <c r="C20" s="23" t="str">
        <f>IF($H$12="Entry Trigger","Sell Order","-")</f>
        <v>Sell Order</v>
      </c>
      <c r="D20" s="23">
        <f>IF($H$12="Entry Trigger",I12,"-")</f>
        <v>250</v>
      </c>
      <c r="E20" s="23" t="str">
        <f>IF(F20="-","-","Use Limit")</f>
        <v>Use Limit</v>
      </c>
      <c r="F20" s="23">
        <f>IF(H12="Entry Trigger",IF(C12="",IF($H$12="Entry Trigger",$D$12,"-"),MROUND(C12*(1+1.25%),0.05)),"-")</f>
        <v>0</v>
      </c>
      <c r="G20" s="33"/>
      <c r="H20" s="23" t="s">
        <v>20</v>
      </c>
      <c r="I20" s="23" t="str">
        <f>IF($H$13="Entry Trigger","Yes","No")</f>
        <v>Yes</v>
      </c>
      <c r="J20" s="23" t="str">
        <f>IF($H$13="Entry Trigger","Buy Order","-")</f>
        <v>Buy Order</v>
      </c>
      <c r="K20" s="23">
        <f>IF($H$13="Entry Trigger",I12,"-")</f>
        <v>250</v>
      </c>
      <c r="L20" s="23" t="str">
        <f>IF(M20="-","-","Use Limit")</f>
        <v>Use Limit</v>
      </c>
      <c r="M20" s="23">
        <f>IF(H13="Entry Trigger",IF(C13="",IF($H$13="Entry Trigger",$D$13,"-"),MROUND(C13*(1-1.25%),0.05)),"-")</f>
        <v>0</v>
      </c>
    </row>
    <row r="21" spans="1:13" x14ac:dyDescent="0.2">
      <c r="A21" s="23" t="s">
        <v>38</v>
      </c>
      <c r="B21" s="23" t="str">
        <f>IF($H$12="Entry Trigger","Yes","No")</f>
        <v>Yes</v>
      </c>
      <c r="C21" s="23" t="str">
        <f>IF($H$12="Entry Trigger","Sell Order","-")</f>
        <v>Sell Order</v>
      </c>
      <c r="D21" s="23">
        <f>IF($H$12="Entry Trigger",(I12*2),"-")</f>
        <v>500</v>
      </c>
      <c r="E21" s="23">
        <f>IFERROR(IF(F21="-","-",MROUND(F21*(1-0.1%),0.1)),"NA")</f>
        <v>0</v>
      </c>
      <c r="F21" s="23">
        <f>IF($H$12="Entry Trigger",$E$12,"-")</f>
        <v>0</v>
      </c>
      <c r="G21" s="33"/>
      <c r="H21" s="23" t="s">
        <v>38</v>
      </c>
      <c r="I21" s="23" t="str">
        <f>IF($H$13="Entry Trigger","Yes","No")</f>
        <v>Yes</v>
      </c>
      <c r="J21" s="23" t="str">
        <f>IF($H$13="Entry Trigger","Buy Order","-")</f>
        <v>Buy Order</v>
      </c>
      <c r="K21" s="23">
        <f>IF($H$13="Entry Trigger",(I12*2),"-")</f>
        <v>500</v>
      </c>
      <c r="L21" s="23">
        <f>IFERROR(IF(M21="-","-",MROUND(M21*(1+0.1%),0.1)),"NA")</f>
        <v>0</v>
      </c>
      <c r="M21" s="23">
        <f>IF($H$13="Entry Trigger",$E$13,"-")</f>
        <v>0</v>
      </c>
    </row>
    <row r="22" spans="1:13" x14ac:dyDescent="0.2">
      <c r="A22" s="23" t="s">
        <v>39</v>
      </c>
      <c r="B22" s="23" t="str">
        <f>IF($H$12="Target Triggered","Yes","No")</f>
        <v>No</v>
      </c>
      <c r="C22" s="23" t="str">
        <f>IF($H$12="Target Triggered","Sell Order","-")</f>
        <v>-</v>
      </c>
      <c r="D22" s="23" t="str">
        <f>IF($H$12="Target Triggered",I12,"-")</f>
        <v>-</v>
      </c>
      <c r="E22" s="23" t="str">
        <f>IF(F22="-","-",MROUND(F22*(1-0.1%),0.1))</f>
        <v>-</v>
      </c>
      <c r="F22" s="23" t="str">
        <f>IF($H$12="Target Triggered",$F$12,"-")</f>
        <v>-</v>
      </c>
      <c r="G22" s="33"/>
      <c r="H22" s="23" t="s">
        <v>39</v>
      </c>
      <c r="I22" s="23" t="str">
        <f>IF($H$13="Target Triggered","Yes","No")</f>
        <v>No</v>
      </c>
      <c r="J22" s="23" t="str">
        <f>IF($H$13="Target Triggered","Buy Order","-")</f>
        <v>-</v>
      </c>
      <c r="K22" s="23" t="str">
        <f>IF($H$13="Target Triggered",I12,"-")</f>
        <v>-</v>
      </c>
      <c r="L22" s="23" t="str">
        <f>IF(M22="-","-",MROUND(M22*(1+0.1%),0.1))</f>
        <v>-</v>
      </c>
      <c r="M22" s="23" t="str">
        <f>IF($H$13="Target Triggered",$F$13,"-")</f>
        <v>-</v>
      </c>
    </row>
    <row r="23" spans="1:13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162" t="s">
        <v>40</v>
      </c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</row>
    <row r="26" spans="1:13" x14ac:dyDescent="0.2">
      <c r="A26" s="24"/>
      <c r="B26" s="24"/>
      <c r="C26" s="24"/>
      <c r="D26" s="24"/>
      <c r="E26" s="24"/>
      <c r="F26" s="24"/>
      <c r="G26" s="33"/>
      <c r="H26" s="24"/>
      <c r="I26" s="24"/>
      <c r="J26" s="24"/>
      <c r="K26" s="24"/>
      <c r="L26" s="24"/>
      <c r="M26" s="24"/>
    </row>
    <row r="27" spans="1:13" x14ac:dyDescent="0.2">
      <c r="A27" s="166" t="s">
        <v>95</v>
      </c>
      <c r="B27" s="25" t="s">
        <v>67</v>
      </c>
      <c r="C27" s="25" t="s">
        <v>43</v>
      </c>
      <c r="D27" s="26" t="s">
        <v>91</v>
      </c>
      <c r="E27" s="24"/>
      <c r="F27" s="24"/>
      <c r="G27" s="33"/>
      <c r="H27" s="24"/>
      <c r="I27" s="24"/>
      <c r="J27" s="24"/>
      <c r="K27" s="24"/>
      <c r="L27" s="24"/>
      <c r="M27" s="24"/>
    </row>
    <row r="28" spans="1:13" x14ac:dyDescent="0.2">
      <c r="A28" s="166"/>
      <c r="B28" s="27"/>
      <c r="C28" s="27"/>
      <c r="D28" s="28"/>
      <c r="E28" s="24"/>
      <c r="F28" s="24"/>
      <c r="G28" s="33"/>
      <c r="H28" s="24"/>
      <c r="I28" s="24"/>
      <c r="J28" s="24"/>
      <c r="K28" s="24"/>
      <c r="L28" s="24"/>
      <c r="M28" s="24"/>
    </row>
    <row r="29" spans="1:13" x14ac:dyDescent="0.2">
      <c r="A29" s="24"/>
      <c r="B29" s="24"/>
      <c r="C29" s="24"/>
      <c r="D29" s="24"/>
      <c r="E29" s="24"/>
      <c r="F29" s="24"/>
      <c r="G29" s="33"/>
      <c r="H29" s="24"/>
      <c r="I29" s="24"/>
      <c r="J29" s="24"/>
      <c r="K29" s="24"/>
      <c r="L29" s="24"/>
      <c r="M29" s="24"/>
    </row>
    <row r="30" spans="1:13" x14ac:dyDescent="0.2">
      <c r="A30" s="24"/>
      <c r="B30" s="24"/>
      <c r="C30" s="24"/>
      <c r="D30" s="24"/>
      <c r="E30" s="24"/>
      <c r="F30" s="24"/>
      <c r="G30" s="33"/>
      <c r="H30" s="24"/>
      <c r="I30" s="24"/>
      <c r="J30" s="24"/>
      <c r="K30" s="24"/>
      <c r="L30" s="24"/>
      <c r="M30" s="24"/>
    </row>
    <row r="31" spans="1:13" x14ac:dyDescent="0.2">
      <c r="A31" s="15"/>
      <c r="B31" s="15"/>
      <c r="C31" s="15"/>
      <c r="D31" s="15"/>
      <c r="E31" s="47" t="s">
        <v>16</v>
      </c>
      <c r="F31" s="48" t="s">
        <v>17</v>
      </c>
      <c r="G31" s="15"/>
      <c r="H31" s="15"/>
      <c r="I31" s="24"/>
      <c r="J31" s="24"/>
      <c r="K31" s="24"/>
      <c r="L31" s="24"/>
      <c r="M31" s="24"/>
    </row>
    <row r="32" spans="1:13" x14ac:dyDescent="0.2">
      <c r="A32" s="172" t="s">
        <v>27</v>
      </c>
      <c r="B32" s="17" t="s">
        <v>18</v>
      </c>
      <c r="C32" s="17" t="s">
        <v>19</v>
      </c>
      <c r="D32" s="17" t="s">
        <v>20</v>
      </c>
      <c r="E32" s="39" t="s">
        <v>21</v>
      </c>
      <c r="F32" s="40" t="s">
        <v>22</v>
      </c>
      <c r="G32" s="41"/>
      <c r="H32" s="40" t="s">
        <v>65</v>
      </c>
      <c r="I32" s="24"/>
      <c r="J32" s="24"/>
      <c r="K32" s="24"/>
      <c r="L32" s="24"/>
      <c r="M32" s="24"/>
    </row>
    <row r="33" spans="1:13" x14ac:dyDescent="0.2">
      <c r="A33" s="173"/>
      <c r="B33" s="19">
        <f>MROUND(B28*(1+0.4%),0.1)</f>
        <v>0</v>
      </c>
      <c r="C33" s="20"/>
      <c r="D33" s="19">
        <f>IF(H33="TGT","N.A.",MROUND(B33*(1+4%),0.1))</f>
        <v>0</v>
      </c>
      <c r="E33" s="42">
        <f>IF(OR(G33="NO TGT",G33=""),MROUND(MAX((B33*(1-4%)),(C28*(1-0.4%))),0.1),"N.A.")</f>
        <v>0</v>
      </c>
      <c r="F33" s="43">
        <f>MROUND(MAX((B33*(1-4%)),(D28*(1-0.4%))),0.1)</f>
        <v>0</v>
      </c>
      <c r="G33" s="41"/>
      <c r="H33" s="44" t="s">
        <v>7</v>
      </c>
      <c r="I33" s="24"/>
      <c r="J33" s="24"/>
      <c r="K33" s="24"/>
      <c r="L33" s="24"/>
      <c r="M33" s="24"/>
    </row>
    <row r="34" spans="1:13" x14ac:dyDescent="0.2">
      <c r="A34" s="24"/>
      <c r="B34" s="24"/>
      <c r="C34" s="24"/>
      <c r="D34" s="24"/>
      <c r="E34" s="24"/>
      <c r="F34" s="24"/>
      <c r="G34" s="33"/>
      <c r="H34" s="24"/>
      <c r="I34" s="24"/>
      <c r="J34" s="24"/>
      <c r="K34" s="24"/>
      <c r="L34" s="24"/>
      <c r="M34" s="24"/>
    </row>
    <row r="35" spans="1:13" x14ac:dyDescent="0.2">
      <c r="A35" s="24"/>
      <c r="B35" s="24"/>
      <c r="C35" s="24"/>
      <c r="D35" s="24"/>
      <c r="E35" s="24"/>
      <c r="F35" s="24"/>
      <c r="G35" s="33"/>
      <c r="H35" s="24"/>
      <c r="I35" s="24"/>
      <c r="J35" s="24"/>
      <c r="K35" s="24"/>
      <c r="L35" s="24"/>
      <c r="M35" s="24"/>
    </row>
    <row r="36" spans="1:13" x14ac:dyDescent="0.2">
      <c r="A36" s="24"/>
      <c r="B36" s="24"/>
      <c r="C36" s="24"/>
      <c r="D36" s="24"/>
      <c r="E36" s="24"/>
      <c r="F36" s="24"/>
      <c r="G36" s="33"/>
      <c r="H36" s="24"/>
      <c r="I36" s="24"/>
      <c r="J36" s="24"/>
      <c r="K36" s="24"/>
      <c r="L36" s="24"/>
      <c r="M36" s="24"/>
    </row>
    <row r="37" spans="1:13" x14ac:dyDescent="0.2">
      <c r="A37" s="143" t="s">
        <v>29</v>
      </c>
      <c r="B37" s="144"/>
      <c r="C37" s="144"/>
      <c r="D37" s="144"/>
      <c r="E37" s="144"/>
      <c r="F37" s="145"/>
      <c r="G37" s="33"/>
      <c r="H37" s="24"/>
      <c r="I37" s="24"/>
      <c r="J37" s="24"/>
      <c r="K37" s="24"/>
      <c r="L37" s="24"/>
      <c r="M37" s="24"/>
    </row>
    <row r="38" spans="1:13" x14ac:dyDescent="0.2">
      <c r="A38" s="23" t="s">
        <v>31</v>
      </c>
      <c r="B38" s="23" t="s">
        <v>32</v>
      </c>
      <c r="C38" s="23" t="s">
        <v>33</v>
      </c>
      <c r="D38" s="23" t="s">
        <v>34</v>
      </c>
      <c r="E38" s="23" t="s">
        <v>35</v>
      </c>
      <c r="F38" s="23" t="s">
        <v>36</v>
      </c>
      <c r="G38" s="33"/>
      <c r="H38" s="24"/>
      <c r="I38" s="24"/>
      <c r="J38" s="24"/>
      <c r="K38" s="24"/>
      <c r="L38" s="24"/>
      <c r="M38" s="24"/>
    </row>
    <row r="39" spans="1:13" x14ac:dyDescent="0.2">
      <c r="A39" s="23" t="s">
        <v>37</v>
      </c>
      <c r="B39" s="23" t="str">
        <f>IF($H$33="NO Holdings","Yes","No")</f>
        <v>No</v>
      </c>
      <c r="C39" s="23" t="str">
        <f>IF($H$33="No Holdings","Buy Order","-")</f>
        <v>-</v>
      </c>
      <c r="D39" s="23" t="str">
        <f>IF($H$33="No Holdings",(I12*2),"-")</f>
        <v>-</v>
      </c>
      <c r="E39" s="23" t="str">
        <f>IF(F39="-","-",MROUND(F39*(1+0.1%),0.1))</f>
        <v>-</v>
      </c>
      <c r="F39" s="23" t="str">
        <f>IF($H$33="No Holdings",$B$33,"-")</f>
        <v>-</v>
      </c>
      <c r="G39" s="33"/>
      <c r="H39" s="24"/>
      <c r="I39" s="24"/>
      <c r="J39" s="24"/>
      <c r="K39" s="24"/>
      <c r="L39" s="24"/>
      <c r="M39" s="24"/>
    </row>
    <row r="40" spans="1:13" x14ac:dyDescent="0.2">
      <c r="A40" s="23" t="s">
        <v>20</v>
      </c>
      <c r="B40" s="23" t="str">
        <f>IF($H$33="Entry Trigger","Yes","No")</f>
        <v>No</v>
      </c>
      <c r="C40" s="23" t="str">
        <f>IF($H$33="Entry Trigger","Sell Order","-")</f>
        <v>-</v>
      </c>
      <c r="D40" s="23" t="str">
        <f>IF($H$33="Entry Trigger",I12,"-")</f>
        <v>-</v>
      </c>
      <c r="E40" s="23" t="str">
        <f>IF(F40="-","-","Use Limit")</f>
        <v>-</v>
      </c>
      <c r="F40" s="23" t="str">
        <f>IF(H33="Entry Trigger",IF(C33="",IF($H$33="Entry Trigger",$D$33,"-"),MROUND(C33*(1+1.25%),0.05)),"-")</f>
        <v>-</v>
      </c>
      <c r="G40" s="33"/>
      <c r="H40" s="24"/>
      <c r="I40" s="24"/>
      <c r="J40" s="24"/>
      <c r="K40" s="24"/>
      <c r="L40" s="24"/>
      <c r="M40" s="24"/>
    </row>
    <row r="41" spans="1:13" x14ac:dyDescent="0.2">
      <c r="A41" s="23" t="s">
        <v>38</v>
      </c>
      <c r="B41" s="23" t="str">
        <f>IF($H$33="Entry Trigger","Yes","No")</f>
        <v>No</v>
      </c>
      <c r="C41" s="23" t="str">
        <f>IF($H$33="Entry Trigger","Sell Order","-")</f>
        <v>-</v>
      </c>
      <c r="D41" s="23" t="str">
        <f>IF($H$33="Entry Trigger",(I12*2),"-")</f>
        <v>-</v>
      </c>
      <c r="E41" s="23" t="str">
        <f>IFERROR(IF(F41="-","-",MROUND(F41*(1-1%),0.1)),"NA")</f>
        <v>-</v>
      </c>
      <c r="F41" s="23" t="str">
        <f>IF($H$33="Entry Trigger",$E$33,"-")</f>
        <v>-</v>
      </c>
      <c r="G41" s="33"/>
      <c r="H41" s="24"/>
      <c r="I41" s="24"/>
      <c r="J41" s="24"/>
      <c r="K41" s="24"/>
      <c r="L41" s="24"/>
      <c r="M41" s="24"/>
    </row>
    <row r="42" spans="1:13" x14ac:dyDescent="0.2">
      <c r="A42" s="23" t="s">
        <v>39</v>
      </c>
      <c r="B42" s="23" t="str">
        <f>IF($H$33="Target Triggered","Yes","No")</f>
        <v>Yes</v>
      </c>
      <c r="C42" s="23" t="str">
        <f>IF($H$33="Target Triggered","Sell Order","-")</f>
        <v>Sell Order</v>
      </c>
      <c r="D42" s="23">
        <f>IF($H$33="Target Triggered",I12,"-")</f>
        <v>250</v>
      </c>
      <c r="E42" s="23">
        <f>IF(F42="-","-",MROUND(F42*(1-0.1%),0.1))</f>
        <v>0</v>
      </c>
      <c r="F42" s="23">
        <f>IF($H$33="Target Triggered",$F$33,"-")</f>
        <v>0</v>
      </c>
      <c r="G42" s="33"/>
      <c r="H42" s="24"/>
      <c r="I42" s="24"/>
      <c r="J42" s="24"/>
      <c r="K42" s="24"/>
      <c r="L42" s="24"/>
      <c r="M42" s="24"/>
    </row>
    <row r="43" spans="1:13" x14ac:dyDescent="0.2">
      <c r="A43" s="24"/>
      <c r="B43" s="24"/>
      <c r="C43" s="24"/>
      <c r="D43" s="24"/>
      <c r="E43" s="24"/>
      <c r="F43" s="24"/>
      <c r="G43" s="33"/>
      <c r="H43" s="24"/>
      <c r="I43" s="24"/>
      <c r="J43" s="24"/>
      <c r="K43" s="24"/>
      <c r="L43" s="24"/>
      <c r="M43" s="24"/>
    </row>
    <row r="44" spans="1:13" x14ac:dyDescent="0.2">
      <c r="A44" s="162" t="s">
        <v>44</v>
      </c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</row>
    <row r="45" spans="1:13" x14ac:dyDescent="0.2">
      <c r="A45" s="24"/>
      <c r="B45" s="24"/>
      <c r="C45" s="24"/>
      <c r="D45" s="24"/>
      <c r="E45" s="24"/>
      <c r="F45" s="24"/>
      <c r="G45" s="33"/>
      <c r="H45" s="24"/>
      <c r="I45" s="24"/>
      <c r="J45" s="24"/>
      <c r="K45" s="24"/>
      <c r="L45" s="24"/>
      <c r="M45" s="24"/>
    </row>
    <row r="46" spans="1:13" x14ac:dyDescent="0.2">
      <c r="A46" s="166" t="s">
        <v>45</v>
      </c>
      <c r="B46" s="29" t="s">
        <v>69</v>
      </c>
      <c r="C46" s="29" t="s">
        <v>47</v>
      </c>
      <c r="D46" s="24"/>
      <c r="E46" s="24"/>
      <c r="F46" s="24"/>
      <c r="G46" s="33"/>
      <c r="H46" s="24"/>
      <c r="I46" s="24"/>
      <c r="J46" s="24"/>
      <c r="K46" s="24"/>
      <c r="L46" s="24"/>
      <c r="M46" s="24"/>
    </row>
    <row r="47" spans="1:13" x14ac:dyDescent="0.2">
      <c r="A47" s="166"/>
      <c r="B47" s="30"/>
      <c r="C47" s="31">
        <f>MROUND(B47*(1+0.4%),0.1)</f>
        <v>0</v>
      </c>
      <c r="D47" s="24"/>
      <c r="E47" s="24"/>
      <c r="F47" s="24"/>
      <c r="G47" s="33"/>
      <c r="H47" s="24"/>
      <c r="I47" s="24"/>
      <c r="J47" s="24"/>
      <c r="K47" s="24"/>
      <c r="L47" s="24"/>
      <c r="M47" s="24"/>
    </row>
    <row r="48" spans="1:13" x14ac:dyDescent="0.2">
      <c r="A48" s="24"/>
      <c r="B48" s="24"/>
      <c r="C48" s="24"/>
      <c r="D48" s="24"/>
      <c r="E48" s="24"/>
      <c r="F48" s="24"/>
      <c r="G48" s="33"/>
      <c r="H48" s="24"/>
      <c r="I48" s="24"/>
      <c r="J48" s="24"/>
      <c r="K48" s="24"/>
      <c r="L48" s="24"/>
      <c r="M48" s="24"/>
    </row>
    <row r="49" spans="1:13" x14ac:dyDescent="0.2">
      <c r="A49" s="162" t="s">
        <v>48</v>
      </c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</row>
    <row r="50" spans="1:13" x14ac:dyDescent="0.2">
      <c r="A50" s="24"/>
      <c r="B50" s="24"/>
      <c r="C50" s="24"/>
      <c r="D50" s="24"/>
      <c r="E50" s="24"/>
      <c r="F50" s="24"/>
      <c r="G50" s="33"/>
      <c r="H50" s="24"/>
      <c r="I50" s="24"/>
      <c r="J50" s="24"/>
      <c r="K50" s="24"/>
      <c r="L50" s="24"/>
      <c r="M50" s="24"/>
    </row>
    <row r="51" spans="1:13" x14ac:dyDescent="0.2">
      <c r="A51" s="166" t="s">
        <v>95</v>
      </c>
      <c r="B51" s="29" t="s">
        <v>70</v>
      </c>
      <c r="C51" s="29" t="s">
        <v>50</v>
      </c>
      <c r="D51" s="32" t="s">
        <v>92</v>
      </c>
      <c r="E51" s="24"/>
      <c r="F51" s="24"/>
      <c r="G51" s="33"/>
      <c r="H51" s="24"/>
      <c r="I51" s="24"/>
      <c r="J51" s="24"/>
      <c r="K51" s="24"/>
      <c r="L51" s="24"/>
      <c r="M51" s="24"/>
    </row>
    <row r="52" spans="1:13" x14ac:dyDescent="0.2">
      <c r="A52" s="166"/>
      <c r="B52" s="27"/>
      <c r="C52" s="27"/>
      <c r="D52" s="28"/>
      <c r="E52" s="24"/>
      <c r="F52" s="24"/>
      <c r="G52" s="33"/>
      <c r="H52" s="24"/>
      <c r="I52" s="24"/>
      <c r="J52" s="24"/>
      <c r="K52" s="24"/>
      <c r="L52" s="24"/>
      <c r="M52" s="24"/>
    </row>
    <row r="53" spans="1:13" x14ac:dyDescent="0.2">
      <c r="A53" s="24"/>
      <c r="B53" s="24"/>
      <c r="C53" s="24"/>
      <c r="D53" s="24"/>
      <c r="E53" s="24"/>
      <c r="F53" s="24"/>
      <c r="G53" s="33"/>
      <c r="H53" s="24"/>
      <c r="I53" s="24"/>
      <c r="J53" s="24"/>
      <c r="K53" s="24"/>
      <c r="L53" s="24"/>
      <c r="M53" s="24"/>
    </row>
    <row r="54" spans="1:13" x14ac:dyDescent="0.2">
      <c r="A54" s="24"/>
      <c r="B54" s="24"/>
      <c r="C54" s="24"/>
      <c r="D54" s="24"/>
      <c r="E54" s="24"/>
      <c r="F54" s="24"/>
      <c r="G54" s="33"/>
      <c r="H54" s="24"/>
      <c r="I54" s="24"/>
      <c r="J54" s="24"/>
      <c r="K54" s="24"/>
      <c r="L54" s="24"/>
      <c r="M54" s="24"/>
    </row>
    <row r="55" spans="1:13" x14ac:dyDescent="0.2">
      <c r="A55" s="15"/>
      <c r="B55" s="15"/>
      <c r="C55" s="15"/>
      <c r="D55" s="15"/>
      <c r="E55" s="49" t="s">
        <v>16</v>
      </c>
      <c r="F55" s="50" t="s">
        <v>17</v>
      </c>
      <c r="G55" s="15"/>
      <c r="H55" s="15"/>
      <c r="I55" s="24"/>
      <c r="J55" s="24"/>
      <c r="K55" s="24"/>
      <c r="L55" s="24"/>
      <c r="M55" s="24"/>
    </row>
    <row r="56" spans="1:13" x14ac:dyDescent="0.2">
      <c r="A56" s="174" t="s">
        <v>72</v>
      </c>
      <c r="B56" s="17" t="s">
        <v>18</v>
      </c>
      <c r="C56" s="17" t="s">
        <v>19</v>
      </c>
      <c r="D56" s="17" t="s">
        <v>20</v>
      </c>
      <c r="E56" s="39" t="s">
        <v>21</v>
      </c>
      <c r="F56" s="40" t="s">
        <v>22</v>
      </c>
      <c r="G56" s="41"/>
      <c r="H56" s="40" t="s">
        <v>65</v>
      </c>
      <c r="I56" s="24"/>
      <c r="J56" s="24"/>
      <c r="K56" s="24"/>
      <c r="L56" s="24"/>
      <c r="M56" s="24"/>
    </row>
    <row r="57" spans="1:13" x14ac:dyDescent="0.2">
      <c r="A57" s="175"/>
      <c r="B57" s="22">
        <f>MROUND(B52*(1-0.4%),0.1)</f>
        <v>0</v>
      </c>
      <c r="C57" s="20"/>
      <c r="D57" s="22">
        <f>IF(H57="TGT","N.A.",MROUND(B57*(1-4%),0.1))</f>
        <v>0</v>
      </c>
      <c r="E57" s="45">
        <f>IF(OR(G57="NO TGT",G57=""),MROUND(MIN((B57*(1+4%)),(C52*(1+0.4%))),0.1),"N.A.")</f>
        <v>0</v>
      </c>
      <c r="F57" s="46">
        <f>MROUND(MIN((B57*(1+4%)),(D52*(1+0.4%))),0.1)</f>
        <v>0</v>
      </c>
      <c r="G57" s="41"/>
      <c r="H57" s="44" t="s">
        <v>4</v>
      </c>
      <c r="I57" s="24"/>
      <c r="J57" s="24"/>
      <c r="K57" s="24"/>
      <c r="L57" s="24"/>
      <c r="M57" s="24"/>
    </row>
    <row r="58" spans="1:13" x14ac:dyDescent="0.2">
      <c r="A58" s="24"/>
      <c r="B58" s="24"/>
      <c r="C58" s="24"/>
      <c r="D58" s="24"/>
      <c r="E58" s="24"/>
      <c r="F58" s="24"/>
      <c r="G58" s="33"/>
      <c r="H58" s="24"/>
      <c r="I58" s="24"/>
      <c r="J58" s="24"/>
      <c r="K58" s="24"/>
      <c r="L58" s="24"/>
      <c r="M58" s="24"/>
    </row>
    <row r="59" spans="1:13" x14ac:dyDescent="0.2">
      <c r="A59" s="24"/>
      <c r="B59" s="24"/>
      <c r="C59" s="24"/>
      <c r="D59" s="24"/>
      <c r="E59" s="24"/>
      <c r="F59" s="24"/>
      <c r="G59" s="33"/>
      <c r="H59" s="24"/>
      <c r="I59" s="24"/>
      <c r="J59" s="24"/>
      <c r="K59" s="24"/>
      <c r="L59" s="24"/>
      <c r="M59" s="24"/>
    </row>
    <row r="60" spans="1:13" x14ac:dyDescent="0.2">
      <c r="A60" s="24"/>
      <c r="B60" s="24"/>
      <c r="C60" s="24"/>
      <c r="D60" s="24"/>
      <c r="E60" s="24"/>
      <c r="F60" s="24"/>
      <c r="G60" s="33"/>
      <c r="H60" s="24"/>
      <c r="I60" s="24"/>
      <c r="J60" s="24"/>
      <c r="K60" s="24"/>
      <c r="L60" s="24"/>
      <c r="M60" s="24"/>
    </row>
    <row r="61" spans="1:13" x14ac:dyDescent="0.2">
      <c r="A61" s="146" t="s">
        <v>30</v>
      </c>
      <c r="B61" s="147"/>
      <c r="C61" s="147"/>
      <c r="D61" s="147"/>
      <c r="E61" s="147"/>
      <c r="F61" s="148"/>
      <c r="G61" s="33"/>
      <c r="H61" s="24"/>
      <c r="I61" s="24"/>
      <c r="J61" s="24"/>
      <c r="K61" s="24"/>
      <c r="L61" s="24"/>
      <c r="M61" s="24"/>
    </row>
    <row r="62" spans="1:13" x14ac:dyDescent="0.2">
      <c r="A62" s="23" t="s">
        <v>31</v>
      </c>
      <c r="B62" s="23" t="s">
        <v>32</v>
      </c>
      <c r="C62" s="23" t="s">
        <v>33</v>
      </c>
      <c r="D62" s="23" t="s">
        <v>34</v>
      </c>
      <c r="E62" s="23" t="s">
        <v>35</v>
      </c>
      <c r="F62" s="23" t="s">
        <v>36</v>
      </c>
      <c r="G62" s="33"/>
      <c r="H62" s="24"/>
      <c r="I62" s="24"/>
      <c r="J62" s="24"/>
      <c r="K62" s="24"/>
      <c r="L62" s="24"/>
      <c r="M62" s="24"/>
    </row>
    <row r="63" spans="1:13" x14ac:dyDescent="0.2">
      <c r="A63" s="23" t="s">
        <v>37</v>
      </c>
      <c r="B63" s="23" t="str">
        <f>IF($H$57="NO Holdings","Yes","No")</f>
        <v>No</v>
      </c>
      <c r="C63" s="23" t="str">
        <f>IF($H$57="No Holdings","Sell Order","-")</f>
        <v>-</v>
      </c>
      <c r="D63" s="23" t="str">
        <f>IF($H$57="No Holdings",(I12*2),"-")</f>
        <v>-</v>
      </c>
      <c r="E63" s="23" t="str">
        <f>IF(F63="-","-",MROUND(F63*(1+1%),0.1))</f>
        <v>-</v>
      </c>
      <c r="F63" s="23" t="str">
        <f>IF($H$57="No Holdings",$B$57,"-")</f>
        <v>-</v>
      </c>
      <c r="G63" s="33"/>
      <c r="H63" s="24"/>
      <c r="I63" s="24"/>
      <c r="J63" s="24"/>
      <c r="K63" s="24"/>
      <c r="L63" s="24"/>
      <c r="M63" s="24"/>
    </row>
    <row r="64" spans="1:13" x14ac:dyDescent="0.2">
      <c r="A64" s="23" t="s">
        <v>20</v>
      </c>
      <c r="B64" s="23" t="str">
        <f>IF($H$57="Entry Trigger","Yes","No")</f>
        <v>Yes</v>
      </c>
      <c r="C64" s="23" t="str">
        <f>IF($H$57="Entry Trigger","Buy Order","-")</f>
        <v>Buy Order</v>
      </c>
      <c r="D64" s="23">
        <f>IF($H$57="Entry Trigger",I12,"-")</f>
        <v>250</v>
      </c>
      <c r="E64" s="23" t="str">
        <f>IF(F64="-","-","Use Limit")</f>
        <v>Use Limit</v>
      </c>
      <c r="F64" s="23">
        <f>IF(H57="Entry Trigger",IF(C57="",IF($H$57="Entry Trigger",$D$57,"-"),MROUND(C57*(1+1.25%),0.05)),"-")</f>
        <v>0</v>
      </c>
      <c r="G64" s="33"/>
      <c r="H64" s="24"/>
      <c r="I64" s="24"/>
      <c r="J64" s="24"/>
      <c r="K64" s="24"/>
      <c r="L64" s="24"/>
      <c r="M64" s="24"/>
    </row>
    <row r="65" spans="1:13" x14ac:dyDescent="0.2">
      <c r="A65" s="23" t="s">
        <v>38</v>
      </c>
      <c r="B65" s="23" t="str">
        <f>IF($H$57="Entry Trigger","Yes","No")</f>
        <v>Yes</v>
      </c>
      <c r="C65" s="23" t="str">
        <f>IF($H$57="Entry Trigger","Buy Order","-")</f>
        <v>Buy Order</v>
      </c>
      <c r="D65" s="23">
        <f>IF($H$57="Entry Trigger",(I12*2),"-")</f>
        <v>500</v>
      </c>
      <c r="E65" s="23">
        <f>IFERROR(IF(F65="-","-",MROUND(F65*(1+0.1%),0.1)),"NA")</f>
        <v>0</v>
      </c>
      <c r="F65" s="23">
        <f>IF($H$57="Entry Trigger",$E$57,"-")</f>
        <v>0</v>
      </c>
      <c r="G65" s="33"/>
      <c r="H65" s="24"/>
      <c r="I65" s="24"/>
      <c r="J65" s="24"/>
      <c r="K65" s="24"/>
      <c r="L65" s="24"/>
      <c r="M65" s="24"/>
    </row>
    <row r="66" spans="1:13" x14ac:dyDescent="0.2">
      <c r="A66" s="23" t="s">
        <v>39</v>
      </c>
      <c r="B66" s="23" t="str">
        <f>IF($H$57="Target Triggered","Yes","No")</f>
        <v>No</v>
      </c>
      <c r="C66" s="23" t="str">
        <f>IF($H$57="Target Triggered","Buy Order","-")</f>
        <v>-</v>
      </c>
      <c r="D66" s="23" t="str">
        <f>IF($H$57="Target Triggered",I12,"-")</f>
        <v>-</v>
      </c>
      <c r="E66" s="23" t="str">
        <f>IF(F66="-","-",(MROUND(F66*(1+0.1%),0.1)))</f>
        <v>-</v>
      </c>
      <c r="F66" s="23" t="str">
        <f>IF($H$57="Target Triggered",$F$57,"-")</f>
        <v>-</v>
      </c>
      <c r="G66" s="33"/>
      <c r="H66" s="24"/>
      <c r="I66" s="24"/>
      <c r="J66" s="24"/>
      <c r="K66" s="24"/>
      <c r="L66" s="24"/>
      <c r="M66" s="24"/>
    </row>
    <row r="67" spans="1:13" x14ac:dyDescent="0.2">
      <c r="A67" s="24"/>
      <c r="B67" s="24"/>
      <c r="C67" s="24"/>
      <c r="D67" s="24"/>
      <c r="E67" s="24"/>
      <c r="F67" s="24"/>
      <c r="G67" s="33"/>
      <c r="H67" s="24"/>
      <c r="I67" s="24"/>
      <c r="J67" s="24"/>
      <c r="K67" s="24"/>
      <c r="L67" s="24"/>
      <c r="M67" s="24"/>
    </row>
    <row r="68" spans="1:13" x14ac:dyDescent="0.2">
      <c r="A68" s="162" t="s">
        <v>51</v>
      </c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</row>
    <row r="69" spans="1:13" x14ac:dyDescent="0.2">
      <c r="A69" s="24"/>
      <c r="B69" s="24"/>
      <c r="C69" s="24"/>
      <c r="D69" s="24"/>
      <c r="E69" s="24"/>
      <c r="F69" s="24"/>
      <c r="G69" s="33"/>
      <c r="H69" s="24"/>
      <c r="I69" s="24"/>
      <c r="J69" s="24"/>
      <c r="K69" s="24"/>
      <c r="L69" s="24"/>
      <c r="M69" s="24"/>
    </row>
    <row r="70" spans="1:13" x14ac:dyDescent="0.2">
      <c r="A70" s="166" t="s">
        <v>52</v>
      </c>
      <c r="B70" s="29" t="s">
        <v>73</v>
      </c>
      <c r="C70" s="29" t="s">
        <v>47</v>
      </c>
      <c r="D70" s="24"/>
      <c r="E70" s="24"/>
      <c r="F70" s="24"/>
      <c r="G70" s="33"/>
      <c r="H70" s="24"/>
      <c r="I70" s="24"/>
      <c r="J70" s="24"/>
      <c r="K70" s="24"/>
      <c r="L70" s="24"/>
      <c r="M70" s="24"/>
    </row>
    <row r="71" spans="1:13" x14ac:dyDescent="0.2">
      <c r="A71" s="166"/>
      <c r="B71" s="30">
        <v>72685</v>
      </c>
      <c r="C71" s="31">
        <f>MROUND(B71*(1-0.4%),0.1)</f>
        <v>72394.3</v>
      </c>
      <c r="D71" s="24"/>
      <c r="E71" s="24"/>
      <c r="F71" s="24"/>
      <c r="G71" s="33"/>
      <c r="H71" s="24"/>
      <c r="I71" s="24"/>
      <c r="J71" s="24"/>
      <c r="K71" s="24"/>
      <c r="L71" s="24"/>
      <c r="M71" s="24"/>
    </row>
    <row r="74" spans="1:13" x14ac:dyDescent="0.2">
      <c r="B74" s="58"/>
      <c r="C74" s="58"/>
    </row>
    <row r="75" spans="1:13" x14ac:dyDescent="0.2">
      <c r="B75" s="58"/>
      <c r="C75" s="58"/>
    </row>
    <row r="76" spans="1:13" x14ac:dyDescent="0.2">
      <c r="B76" s="58"/>
      <c r="C76" s="58"/>
    </row>
    <row r="77" spans="1:13" x14ac:dyDescent="0.2">
      <c r="B77" s="58"/>
      <c r="C77" s="58"/>
    </row>
    <row r="78" spans="1:13" x14ac:dyDescent="0.2">
      <c r="A78" s="59"/>
      <c r="B78" s="60"/>
      <c r="C78" s="60"/>
      <c r="D78" s="59"/>
      <c r="E78" s="59"/>
    </row>
    <row r="79" spans="1:13" x14ac:dyDescent="0.2">
      <c r="A79" s="59"/>
      <c r="B79" s="60"/>
      <c r="C79" s="60"/>
      <c r="D79" s="59"/>
      <c r="E79" s="59"/>
    </row>
    <row r="80" spans="1:13" x14ac:dyDescent="0.2">
      <c r="A80" s="59"/>
      <c r="B80" s="60"/>
      <c r="C80" s="60"/>
      <c r="D80" s="59"/>
      <c r="E80" s="59"/>
    </row>
    <row r="81" spans="1:5" x14ac:dyDescent="0.2">
      <c r="A81" s="59"/>
      <c r="B81" s="59"/>
      <c r="C81" s="59"/>
      <c r="D81" s="59"/>
      <c r="E81" s="59"/>
    </row>
    <row r="82" spans="1:5" ht="19" x14ac:dyDescent="0.25">
      <c r="B82" s="52" t="s">
        <v>3</v>
      </c>
      <c r="C82" s="53"/>
      <c r="D82" s="53"/>
      <c r="E82" s="59"/>
    </row>
    <row r="83" spans="1:5" ht="19" x14ac:dyDescent="0.25">
      <c r="B83" s="54" t="s">
        <v>6</v>
      </c>
      <c r="E83" s="59"/>
    </row>
    <row r="84" spans="1:5" ht="19" x14ac:dyDescent="0.25">
      <c r="B84" s="54" t="s">
        <v>12</v>
      </c>
      <c r="C84" s="53"/>
      <c r="D84" s="53"/>
      <c r="E84" s="59"/>
    </row>
    <row r="85" spans="1:5" ht="19" x14ac:dyDescent="0.25">
      <c r="B85" s="54" t="s">
        <v>14</v>
      </c>
      <c r="C85" s="53"/>
      <c r="E85" s="59"/>
    </row>
  </sheetData>
  <sheetProtection algorithmName="SHA-512" hashValue="PPcz4xQ1STu3DZMfOEbUyV/+YktgmsJUlccGYwz72ypKsXvKC+7cnLGv0wBhAmUp27Pi7i/5KdhtaNgOYDkBxg==" saltValue="2wNxnRyYvJDI3acLt0eTcg==" spinCount="100000" sheet="1" objects="1" scenarios="1"/>
  <mergeCells count="17">
    <mergeCell ref="A70:A71"/>
    <mergeCell ref="A68:M68"/>
    <mergeCell ref="A27:A28"/>
    <mergeCell ref="A32:A33"/>
    <mergeCell ref="A46:A47"/>
    <mergeCell ref="A51:A52"/>
    <mergeCell ref="A56:A57"/>
    <mergeCell ref="A25:M25"/>
    <mergeCell ref="A37:F37"/>
    <mergeCell ref="A44:M44"/>
    <mergeCell ref="A49:M49"/>
    <mergeCell ref="A61:F61"/>
    <mergeCell ref="A1:M1"/>
    <mergeCell ref="A3:B3"/>
    <mergeCell ref="C3:D3"/>
    <mergeCell ref="A17:F17"/>
    <mergeCell ref="H17:M17"/>
  </mergeCells>
  <dataValidations count="2">
    <dataValidation type="list" allowBlank="1" showInputMessage="1" showErrorMessage="1" sqref="G33 G57 G12:G13" xr:uid="{00000000-0002-0000-0900-000000000000}">
      <formula1>$O$1:$O$2</formula1>
    </dataValidation>
    <dataValidation type="list" allowBlank="1" showInputMessage="1" showErrorMessage="1" sqref="H33 H57 H12:H13" xr:uid="{00000000-0002-0000-0900-000001000000}">
      <formula1>$O$1:$O$3</formula1>
    </dataValidation>
  </dataValidations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Nifty Future</vt:lpstr>
      <vt:lpstr>Banknifty Fut</vt:lpstr>
      <vt:lpstr>Gold Fut</vt:lpstr>
      <vt:lpstr>Gold Mini Fut</vt:lpstr>
      <vt:lpstr>Gold Ten Fut</vt:lpstr>
      <vt:lpstr>Silver Fut</vt:lpstr>
      <vt:lpstr>Silver Mini Fut</vt:lpstr>
      <vt:lpstr>Silver Micro Fut</vt:lpstr>
      <vt:lpstr>Natural Gas Fut</vt:lpstr>
      <vt:lpstr>Natgas Mini Fut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tradingsecrets0@gmail.com</dc:creator>
  <cp:lastModifiedBy>subash pandian</cp:lastModifiedBy>
  <dcterms:created xsi:type="dcterms:W3CDTF">2024-11-29T14:32:00Z</dcterms:created>
  <dcterms:modified xsi:type="dcterms:W3CDTF">2026-04-17T03:41:20Z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