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00" activeTab="3"/>
  </bookViews>
  <sheets>
    <sheet name="Nifty Fut" sheetId="1" r:id="rId1"/>
    <sheet name="Banknifty Fut" sheetId="2" r:id="rId2"/>
    <sheet name="Gold Fut" sheetId="3" r:id="rId3"/>
    <sheet name="Gold Mini Fut" sheetId="4" r:id="rId4"/>
    <sheet name="Gold Ten Fut" sheetId="10" r:id="rId5"/>
    <sheet name="Silver Fut" sheetId="5" r:id="rId6"/>
    <sheet name="Silver Mini Fut" sheetId="6" r:id="rId7"/>
    <sheet name="Silver Micro Fut" sheetId="7" r:id="rId8"/>
    <sheet name="Natutal Gas Fut" sheetId="8" r:id="rId9"/>
    <sheet name="Natgas Mini Fut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<sst xmlns="http://schemas.openxmlformats.org/spreadsheetml/2006/main" count="299" uniqueCount="33">
  <si>
    <t>STOPLOSS 1</t>
  </si>
  <si>
    <t>STOPLOSS 2</t>
  </si>
  <si>
    <t>DATE</t>
  </si>
  <si>
    <t>TRADE</t>
  </si>
  <si>
    <t>ENTRY</t>
  </si>
  <si>
    <t>TARGET</t>
  </si>
  <si>
    <t>INITIAL SL</t>
  </si>
  <si>
    <t>MSL</t>
  </si>
  <si>
    <t>2DHH/2DLL</t>
  </si>
  <si>
    <t>VALUE</t>
  </si>
  <si>
    <t>NEW STOPLOSS</t>
  </si>
  <si>
    <t>TRIGGER SL 1</t>
  </si>
  <si>
    <t>PRICE SL 1</t>
  </si>
  <si>
    <t>TRIGGER SL 2</t>
  </si>
  <si>
    <t>PRICE SL2</t>
  </si>
  <si>
    <t>EXIT 1</t>
  </si>
  <si>
    <t>EXIT 2</t>
  </si>
  <si>
    <t>TOTAL P/L</t>
  </si>
  <si>
    <t>ROLLOVER</t>
  </si>
  <si>
    <t>BUY</t>
  </si>
  <si>
    <t>SELL</t>
  </si>
  <si>
    <t>Note:</t>
  </si>
  <si>
    <t>All Materials are Strictly Confidential. Please keep them for your Personal Use ONLY.</t>
  </si>
  <si>
    <t>DO NOT Distribute beyond this Point.</t>
  </si>
  <si>
    <t>All Rights Reserved by Trading Secrets Tamil.</t>
  </si>
  <si>
    <t>STOPLOSS 1 CALCULATION</t>
  </si>
  <si>
    <t>STOPLOSS 2 CALCULATION</t>
  </si>
  <si>
    <t>4DHH/4DLL</t>
  </si>
  <si>
    <t>TRIGGER  SL 1</t>
  </si>
  <si>
    <t xml:space="preserve">    PRICE SL 1</t>
  </si>
  <si>
    <t xml:space="preserve">  TRIGGER SL 2</t>
  </si>
  <si>
    <t>PRICE SL 2</t>
  </si>
  <si>
    <t>3DHH/3DLL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</si>
</sst>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35">
    <font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sz val="14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sz val="11"/>
      <name val="Calibri"/>
      <charset val="134"/>
    </font>
    <font>
      <b/>
      <sz val="11"/>
      <color theme="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34"/>
      <scheme val="minor"/>
    </font>
    <font>
      <b/>
      <sz val="11"/>
      <color theme="2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ABAB5"/>
        <bgColor indexed="64"/>
      </patternFill>
    </fill>
    <fill>
      <patternFill patternType="solid">
        <fgColor rgb="FFFFDB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06918546098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06918546098"/>
        <bgColor rgb="FFFEF2CB"/>
      </patternFill>
    </fill>
    <fill>
      <patternFill patternType="solid">
        <fgColor theme="7" tint="0.799890133365886"/>
        <bgColor rgb="FFFEF2CB"/>
      </patternFill>
    </fill>
    <fill>
      <patternFill patternType="solid">
        <fgColor rgb="FF3A3838"/>
        <bgColor rgb="FF3A3838"/>
      </patternFill>
    </fill>
    <fill>
      <patternFill patternType="solid">
        <fgColor rgb="FFFEF2CB"/>
        <bgColor rgb="FFFEF2CB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C55A11"/>
        <bgColor rgb="FFC55A11"/>
      </patternFill>
    </fill>
    <fill>
      <patternFill patternType="solid">
        <fgColor rgb="FFFABAB5"/>
        <bgColor rgb="FFFABAB5"/>
      </patternFill>
    </fill>
    <fill>
      <patternFill patternType="solid">
        <fgColor rgb="FFFFDBC3"/>
        <bgColor rgb="FFFFDBC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EF2CB"/>
      </patternFill>
    </fill>
    <fill>
      <patternFill patternType="solid">
        <fgColor rgb="FFCAEDFB"/>
        <bgColor rgb="FFFEF2CB"/>
      </patternFill>
    </fill>
    <fill>
      <patternFill patternType="solid">
        <fgColor theme="0" tint="-0.149906918546098"/>
        <bgColor rgb="FF000000"/>
      </patternFill>
    </fill>
    <fill>
      <patternFill patternType="solid">
        <fgColor rgb="FF833C0B"/>
        <bgColor rgb="FF833C0B"/>
      </patternFill>
    </fill>
    <fill>
      <patternFill patternType="solid">
        <fgColor theme="2" tint="-0.0999786370433668"/>
        <bgColor rgb="FFFEF2CB"/>
      </patternFill>
    </fill>
    <fill>
      <patternFill patternType="solid">
        <fgColor theme="4" tint="0.799890133365886"/>
        <bgColor rgb="FFFEF2C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0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1" borderId="15" applyNumberFormat="0" applyAlignment="0" applyProtection="0">
      <alignment vertical="center"/>
    </xf>
    <xf numFmtId="0" fontId="25" fillId="32" borderId="16" applyNumberFormat="0" applyAlignment="0" applyProtection="0">
      <alignment vertical="center"/>
    </xf>
    <xf numFmtId="0" fontId="26" fillId="32" borderId="15" applyNumberFormat="0" applyAlignment="0" applyProtection="0">
      <alignment vertical="center"/>
    </xf>
    <xf numFmtId="0" fontId="27" fillId="33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58" fontId="0" fillId="3" borderId="1" xfId="0" applyNumberFormat="1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vertical="center"/>
      <protection hidden="1"/>
    </xf>
    <xf numFmtId="0" fontId="0" fillId="6" borderId="1" xfId="0" applyFill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3" fillId="7" borderId="1" xfId="0" applyFont="1" applyFill="1" applyBorder="1" applyAlignment="1" applyProtection="1">
      <alignment horizontal="center" vertical="center"/>
      <protection hidden="1"/>
    </xf>
    <xf numFmtId="0" fontId="3" fillId="8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vertical="center"/>
      <protection hidden="1"/>
    </xf>
    <xf numFmtId="0" fontId="0" fillId="10" borderId="1" xfId="0" applyFill="1" applyBorder="1" applyAlignment="1" applyProtection="1">
      <alignment vertical="center"/>
      <protection hidden="1"/>
    </xf>
    <xf numFmtId="0" fontId="0" fillId="11" borderId="1" xfId="0" applyFill="1" applyBorder="1" applyAlignment="1" applyProtection="1">
      <alignment vertical="center"/>
      <protection locked="0"/>
    </xf>
    <xf numFmtId="0" fontId="0" fillId="0" borderId="0" xfId="0" applyProtection="1">
      <protection hidden="1"/>
    </xf>
    <xf numFmtId="0" fontId="0" fillId="12" borderId="0" xfId="0" applyFill="1"/>
    <xf numFmtId="0" fontId="0" fillId="0" borderId="0" xfId="0" applyAlignment="1">
      <alignment vertical="center"/>
    </xf>
    <xf numFmtId="0" fontId="0" fillId="12" borderId="0" xfId="0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11" borderId="1" xfId="0" applyFont="1" applyFill="1" applyBorder="1" applyAlignment="1" applyProtection="1">
      <alignment horizontal="center" vertical="center"/>
      <protection hidden="1"/>
    </xf>
    <xf numFmtId="0" fontId="1" fillId="11" borderId="1" xfId="0" applyFont="1" applyFill="1" applyBorder="1" applyAlignment="1" applyProtection="1">
      <alignment vertical="center"/>
      <protection hidden="1"/>
    </xf>
    <xf numFmtId="0" fontId="7" fillId="13" borderId="2" xfId="0" applyFont="1" applyFill="1" applyBorder="1" applyAlignment="1" applyProtection="1">
      <alignment horizontal="center" vertical="center"/>
      <protection hidden="1"/>
    </xf>
    <xf numFmtId="176" fontId="8" fillId="14" borderId="2" xfId="0" applyNumberFormat="1" applyFont="1" applyFill="1" applyBorder="1" applyAlignment="1" applyProtection="1">
      <alignment vertical="center"/>
      <protection locked="0"/>
    </xf>
    <xf numFmtId="0" fontId="8" fillId="15" borderId="2" xfId="0" applyFont="1" applyFill="1" applyBorder="1" applyAlignment="1" applyProtection="1">
      <alignment vertical="center"/>
      <protection locked="0"/>
    </xf>
    <xf numFmtId="0" fontId="8" fillId="14" borderId="2" xfId="0" applyFont="1" applyFill="1" applyBorder="1" applyAlignment="1" applyProtection="1">
      <alignment vertical="center"/>
      <protection locked="0"/>
    </xf>
    <xf numFmtId="0" fontId="9" fillId="16" borderId="1" xfId="0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vertical="center"/>
      <protection hidden="1"/>
    </xf>
    <xf numFmtId="0" fontId="7" fillId="13" borderId="3" xfId="0" applyFont="1" applyFill="1" applyBorder="1" applyAlignment="1" applyProtection="1">
      <alignment horizontal="center" vertical="center"/>
      <protection hidden="1"/>
    </xf>
    <xf numFmtId="0" fontId="8" fillId="17" borderId="2" xfId="0" applyFont="1" applyFill="1" applyBorder="1" applyAlignment="1" applyProtection="1">
      <alignment vertical="center"/>
      <protection hidden="1"/>
    </xf>
    <xf numFmtId="0" fontId="8" fillId="6" borderId="2" xfId="0" applyFont="1" applyFill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3" fillId="18" borderId="4" xfId="0" applyFont="1" applyFill="1" applyBorder="1" applyAlignment="1" applyProtection="1">
      <alignment horizontal="center" vertical="center"/>
      <protection hidden="1"/>
    </xf>
    <xf numFmtId="0" fontId="3" fillId="18" borderId="5" xfId="0" applyFont="1" applyFill="1" applyBorder="1" applyAlignment="1" applyProtection="1">
      <alignment horizontal="center" vertical="center"/>
      <protection hidden="1"/>
    </xf>
    <xf numFmtId="0" fontId="3" fillId="18" borderId="6" xfId="0" applyFont="1" applyFill="1" applyBorder="1" applyAlignment="1" applyProtection="1">
      <alignment horizontal="center" vertical="center"/>
      <protection hidden="1"/>
    </xf>
    <xf numFmtId="0" fontId="3" fillId="18" borderId="7" xfId="0" applyFont="1" applyFill="1" applyBorder="1" applyAlignment="1" applyProtection="1">
      <alignment horizontal="center" vertical="center"/>
      <protection hidden="1"/>
    </xf>
    <xf numFmtId="0" fontId="11" fillId="19" borderId="2" xfId="0" applyFont="1" applyFill="1" applyBorder="1" applyAlignment="1" applyProtection="1">
      <alignment horizontal="center" vertical="center"/>
      <protection hidden="1"/>
    </xf>
    <xf numFmtId="0" fontId="11" fillId="20" borderId="2" xfId="0" applyFont="1" applyFill="1" applyBorder="1" applyAlignment="1" applyProtection="1">
      <alignment horizontal="center" vertical="center"/>
      <protection hidden="1"/>
    </xf>
    <xf numFmtId="0" fontId="8" fillId="21" borderId="2" xfId="0" applyFont="1" applyFill="1" applyBorder="1" applyAlignment="1" applyProtection="1">
      <alignment vertical="center"/>
      <protection hidden="1"/>
    </xf>
    <xf numFmtId="0" fontId="8" fillId="22" borderId="2" xfId="0" applyFont="1" applyFill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8" fillId="11" borderId="2" xfId="0" applyFont="1" applyFill="1" applyBorder="1" applyAlignment="1" applyProtection="1">
      <alignment vertical="center"/>
      <protection locked="0"/>
    </xf>
    <xf numFmtId="0" fontId="8" fillId="23" borderId="8" xfId="0" applyFont="1" applyFill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vertical="center"/>
      <protection hidden="1"/>
    </xf>
    <xf numFmtId="0" fontId="8" fillId="23" borderId="2" xfId="0" applyFont="1" applyFill="1" applyBorder="1" applyAlignment="1" applyProtection="1">
      <alignment vertical="center"/>
      <protection hidden="1"/>
    </xf>
    <xf numFmtId="176" fontId="12" fillId="24" borderId="2" xfId="0" applyNumberFormat="1" applyFont="1" applyFill="1" applyBorder="1" applyAlignment="1" applyProtection="1">
      <alignment vertical="center"/>
      <protection locked="0" hidden="1"/>
    </xf>
    <xf numFmtId="0" fontId="12" fillId="25" borderId="9" xfId="0" applyFont="1" applyFill="1" applyBorder="1" applyAlignment="1" applyProtection="1">
      <alignment vertical="center"/>
      <protection locked="0" hidden="1"/>
    </xf>
    <xf numFmtId="0" fontId="12" fillId="24" borderId="9" xfId="0" applyFont="1" applyFill="1" applyBorder="1" applyAlignment="1" applyProtection="1">
      <alignment vertical="center"/>
      <protection locked="0" hidden="1"/>
    </xf>
    <xf numFmtId="176" fontId="8" fillId="14" borderId="2" xfId="0" applyNumberFormat="1" applyFont="1" applyFill="1" applyBorder="1" applyAlignment="1" applyProtection="1">
      <alignment vertical="center"/>
      <protection locked="0" hidden="1"/>
    </xf>
    <xf numFmtId="0" fontId="8" fillId="14" borderId="2" xfId="0" applyFont="1" applyFill="1" applyBorder="1" applyAlignment="1" applyProtection="1">
      <alignment vertical="center"/>
      <protection locked="0" hidden="1"/>
    </xf>
    <xf numFmtId="0" fontId="8" fillId="11" borderId="2" xfId="0" applyFont="1" applyFill="1" applyBorder="1" applyAlignment="1" applyProtection="1">
      <alignment vertical="center"/>
      <protection locked="0" hidden="1"/>
    </xf>
    <xf numFmtId="58" fontId="13" fillId="26" borderId="1" xfId="0" applyNumberFormat="1" applyFont="1" applyFill="1" applyBorder="1" applyAlignment="1" applyProtection="1">
      <alignment vertical="center"/>
      <protection locked="0"/>
    </xf>
    <xf numFmtId="0" fontId="13" fillId="26" borderId="1" xfId="0" applyFont="1" applyFill="1" applyBorder="1" applyAlignment="1" applyProtection="1">
      <alignment vertical="center"/>
      <protection locked="0"/>
    </xf>
    <xf numFmtId="0" fontId="13" fillId="26" borderId="10" xfId="0" applyFont="1" applyFill="1" applyBorder="1" applyAlignment="1" applyProtection="1">
      <alignment vertical="center"/>
      <protection locked="0"/>
    </xf>
    <xf numFmtId="58" fontId="8" fillId="14" borderId="2" xfId="0" applyNumberFormat="1" applyFont="1" applyFill="1" applyBorder="1" applyAlignment="1" applyProtection="1">
      <alignment vertical="center"/>
      <protection locked="0"/>
    </xf>
    <xf numFmtId="0" fontId="13" fillId="26" borderId="0" xfId="0" applyFont="1" applyFill="1" applyAlignment="1" applyProtection="1">
      <alignment vertical="center"/>
      <protection locked="0"/>
    </xf>
    <xf numFmtId="0" fontId="9" fillId="16" borderId="8" xfId="0" applyFont="1" applyFill="1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vertical="center"/>
      <protection hidden="1"/>
    </xf>
    <xf numFmtId="0" fontId="14" fillId="18" borderId="1" xfId="0" applyFont="1" applyFill="1" applyBorder="1" applyAlignment="1" applyProtection="1">
      <alignment horizontal="center" vertical="center"/>
      <protection hidden="1"/>
    </xf>
    <xf numFmtId="0" fontId="3" fillId="18" borderId="1" xfId="0" applyFont="1" applyFill="1" applyBorder="1" applyAlignment="1" applyProtection="1">
      <alignment horizontal="center" vertical="center"/>
      <protection hidden="1"/>
    </xf>
    <xf numFmtId="0" fontId="11" fillId="19" borderId="3" xfId="0" applyFont="1" applyFill="1" applyBorder="1" applyAlignment="1" applyProtection="1">
      <alignment horizontal="center" vertical="center"/>
      <protection hidden="1"/>
    </xf>
    <xf numFmtId="0" fontId="11" fillId="20" borderId="3" xfId="0" applyFont="1" applyFill="1" applyBorder="1" applyAlignment="1" applyProtection="1">
      <alignment horizontal="center" vertical="center"/>
      <protection hidden="1"/>
    </xf>
    <xf numFmtId="0" fontId="7" fillId="23" borderId="8" xfId="0" applyFont="1" applyFill="1" applyBorder="1" applyAlignment="1" applyProtection="1">
      <alignment horizontal="center" vertical="center"/>
      <protection hidden="1"/>
    </xf>
    <xf numFmtId="0" fontId="7" fillId="23" borderId="2" xfId="0" applyFont="1" applyFill="1" applyBorder="1" applyAlignment="1" applyProtection="1">
      <alignment vertical="center"/>
      <protection hidden="1"/>
    </xf>
    <xf numFmtId="0" fontId="11" fillId="27" borderId="3" xfId="0" applyFont="1" applyFill="1" applyBorder="1" applyAlignment="1" applyProtection="1">
      <alignment horizontal="center" vertical="center"/>
      <protection hidden="1"/>
    </xf>
    <xf numFmtId="0" fontId="7" fillId="13" borderId="0" xfId="0" applyFont="1" applyFill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76" fontId="8" fillId="28" borderId="2" xfId="0" applyNumberFormat="1" applyFont="1" applyFill="1" applyBorder="1" applyAlignment="1" applyProtection="1">
      <alignment vertical="center"/>
      <protection locked="0"/>
    </xf>
    <xf numFmtId="0" fontId="8" fillId="29" borderId="2" xfId="0" applyFont="1" applyFill="1" applyBorder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825500</xdr:colOff>
      <xdr:row>102</xdr:row>
      <xdr:rowOff>101601</xdr:rowOff>
    </xdr:from>
    <xdr:to>
      <xdr:col>3</xdr:col>
      <xdr:colOff>266700</xdr:colOff>
      <xdr:row>110</xdr:row>
      <xdr:rowOff>93135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2900640"/>
          <a:ext cx="2226310" cy="1779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749300</xdr:colOff>
      <xdr:row>102</xdr:row>
      <xdr:rowOff>114301</xdr:rowOff>
    </xdr:from>
    <xdr:to>
      <xdr:col>3</xdr:col>
      <xdr:colOff>215900</xdr:colOff>
      <xdr:row>110</xdr:row>
      <xdr:rowOff>105835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22913340"/>
          <a:ext cx="2227580" cy="1779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774700</xdr:colOff>
      <xdr:row>102</xdr:row>
      <xdr:rowOff>165101</xdr:rowOff>
    </xdr:from>
    <xdr:to>
      <xdr:col>3</xdr:col>
      <xdr:colOff>254000</xdr:colOff>
      <xdr:row>110</xdr:row>
      <xdr:rowOff>4235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22964140"/>
          <a:ext cx="2228850" cy="1626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723900</xdr:colOff>
      <xdr:row>102</xdr:row>
      <xdr:rowOff>165101</xdr:rowOff>
    </xdr:from>
    <xdr:to>
      <xdr:col>3</xdr:col>
      <xdr:colOff>292100</xdr:colOff>
      <xdr:row>110</xdr:row>
      <xdr:rowOff>4235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2964140"/>
          <a:ext cx="2235200" cy="16268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723900</xdr:colOff>
      <xdr:row>102</xdr:row>
      <xdr:rowOff>165101</xdr:rowOff>
    </xdr:from>
    <xdr:to>
      <xdr:col>3</xdr:col>
      <xdr:colOff>292100</xdr:colOff>
      <xdr:row>110</xdr:row>
      <xdr:rowOff>4235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2964140"/>
          <a:ext cx="2235200" cy="1626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685800</xdr:colOff>
      <xdr:row>102</xdr:row>
      <xdr:rowOff>165101</xdr:rowOff>
    </xdr:from>
    <xdr:to>
      <xdr:col>3</xdr:col>
      <xdr:colOff>241300</xdr:colOff>
      <xdr:row>110</xdr:row>
      <xdr:rowOff>4235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964140"/>
          <a:ext cx="2233930" cy="1626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685800</xdr:colOff>
      <xdr:row>102</xdr:row>
      <xdr:rowOff>190501</xdr:rowOff>
    </xdr:from>
    <xdr:to>
      <xdr:col>3</xdr:col>
      <xdr:colOff>241300</xdr:colOff>
      <xdr:row>110</xdr:row>
      <xdr:rowOff>29635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989540"/>
          <a:ext cx="2233295" cy="16268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711200</xdr:colOff>
      <xdr:row>102</xdr:row>
      <xdr:rowOff>190501</xdr:rowOff>
    </xdr:from>
    <xdr:to>
      <xdr:col>3</xdr:col>
      <xdr:colOff>266700</xdr:colOff>
      <xdr:row>110</xdr:row>
      <xdr:rowOff>29635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00" y="22989540"/>
          <a:ext cx="2233930" cy="16268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749300</xdr:colOff>
      <xdr:row>103</xdr:row>
      <xdr:rowOff>1</xdr:rowOff>
    </xdr:from>
    <xdr:to>
      <xdr:col>3</xdr:col>
      <xdr:colOff>215900</xdr:colOff>
      <xdr:row>110</xdr:row>
      <xdr:rowOff>42335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23022560"/>
          <a:ext cx="2227580" cy="1606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774700</xdr:colOff>
      <xdr:row>103</xdr:row>
      <xdr:rowOff>1</xdr:rowOff>
    </xdr:from>
    <xdr:to>
      <xdr:col>3</xdr:col>
      <xdr:colOff>203200</xdr:colOff>
      <xdr:row>110</xdr:row>
      <xdr:rowOff>42335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23022560"/>
          <a:ext cx="2225040" cy="160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8"/>
  <sheetViews>
    <sheetView zoomScale="140" zoomScaleNormal="140" workbookViewId="0">
      <selection activeCell="Q4" sqref="Q4"/>
    </sheetView>
  </sheetViews>
  <sheetFormatPr defaultColWidth="9" defaultRowHeight="17.6"/>
  <cols>
    <col min="1" max="1" width="13.1607142857143" customWidth="1"/>
    <col min="2" max="3" width="13" customWidth="1"/>
    <col min="4" max="4" width="12.8303571428571" customWidth="1"/>
    <col min="5" max="5" width="13" customWidth="1"/>
    <col min="6" max="6" width="9" hidden="1" customWidth="1"/>
    <col min="8" max="8" width="12" customWidth="1"/>
    <col min="9" max="9" width="12.5" hidden="1" customWidth="1"/>
    <col min="10" max="10" width="13" customWidth="1"/>
    <col min="11" max="11" width="13.1607142857143" customWidth="1"/>
    <col min="12" max="12" width="12.8303571428571" customWidth="1"/>
    <col min="13" max="13" width="13.5" customWidth="1"/>
    <col min="14" max="14" width="12.8303571428571" customWidth="1"/>
    <col min="15" max="15" width="13" customWidth="1"/>
    <col min="16" max="16" width="13.8303571428571" customWidth="1"/>
    <col min="17" max="17" width="13.6607142857143" customWidth="1"/>
    <col min="19" max="19" width="9" hidden="1" customWidth="1"/>
    <col min="20" max="20" width="12.3303571428571" customWidth="1"/>
  </cols>
  <sheetData>
    <row r="1" spans="1:41">
      <c r="A1" s="1"/>
      <c r="B1" s="1"/>
      <c r="C1" s="1"/>
      <c r="D1" s="1"/>
      <c r="E1" s="1"/>
      <c r="F1" s="1"/>
      <c r="G1" s="1"/>
      <c r="H1" s="1"/>
      <c r="I1" s="1"/>
      <c r="J1" s="61" t="s">
        <v>0</v>
      </c>
      <c r="K1" s="61"/>
      <c r="L1" s="61" t="s">
        <v>1</v>
      </c>
      <c r="M1" s="61"/>
      <c r="N1" s="1"/>
      <c r="O1" s="1"/>
      <c r="P1" s="1"/>
      <c r="Q1" s="1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</row>
    <row r="2" spans="1:41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62" t="s">
        <v>11</v>
      </c>
      <c r="K2" s="62" t="s">
        <v>12</v>
      </c>
      <c r="L2" s="66" t="s">
        <v>13</v>
      </c>
      <c r="M2" s="66" t="s">
        <v>14</v>
      </c>
      <c r="N2" s="24" t="s">
        <v>15</v>
      </c>
      <c r="O2" s="24" t="s">
        <v>16</v>
      </c>
      <c r="P2" s="24" t="s">
        <v>17</v>
      </c>
      <c r="Q2" s="67" t="s">
        <v>18</v>
      </c>
      <c r="R2" s="68"/>
      <c r="S2" s="69" t="s">
        <v>19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spans="1:41">
      <c r="A3" s="70">
        <v>46072</v>
      </c>
      <c r="B3" s="71" t="s">
        <v>20</v>
      </c>
      <c r="C3" s="27">
        <v>25722.8</v>
      </c>
      <c r="D3" s="27">
        <v>25401.2</v>
      </c>
      <c r="E3" s="27">
        <v>26044.3</v>
      </c>
      <c r="F3" s="31">
        <f t="shared" ref="F3:F34" si="0">IF(B3="BUY",(C3*(1-1.25%)),IF(B3="SELL",(C3*(1+1.25%))))</f>
        <v>26044.335</v>
      </c>
      <c r="G3" s="32" t="str">
        <f t="shared" ref="G3:G34" si="1">IF(B3="BUY","2DLL",IF(B3="SELL","2DHH"))</f>
        <v>2DHH</v>
      </c>
      <c r="H3" s="27"/>
      <c r="I3" s="33">
        <f t="shared" ref="I3:I101" si="2">IF(G3="2DHH",(H3*(1+0.125%)),IF(G3="2DLL",(H3*(1-0.125%))))</f>
        <v>0</v>
      </c>
      <c r="J3" s="40">
        <f t="shared" ref="J3:J34" si="3">MROUND(IF(B3="BUY",MAX(F3,I3),IF(B3="SELL",MIN(F3,I3))),0.05)</f>
        <v>0</v>
      </c>
      <c r="K3" s="40">
        <f t="shared" ref="K3:K34" si="4">MROUND(IF(B3="BUY",(J3*(1-0.05%)),IF(B3="SELL",(J3*(1+0.05%)))),0.05)</f>
        <v>0</v>
      </c>
      <c r="L3" s="41">
        <f t="shared" ref="L3:L34" si="5">MROUND(IF(B3="BUY",MAX(C3,I3),IF(B3="SELL",MIN(C3,I3))),0.05)</f>
        <v>0</v>
      </c>
      <c r="M3" s="41">
        <f t="shared" ref="M3:M34" si="6">MROUND(IF(B3="BUY",(L3*(1-0.05%)),IF(B3="SELL",(L3*(1+0.05%)))),0.05)</f>
        <v>0</v>
      </c>
      <c r="N3" s="27"/>
      <c r="O3" s="27"/>
      <c r="P3" s="43">
        <f>(C3-Q3)*130</f>
        <v>-13416.0000000001</v>
      </c>
      <c r="Q3" s="27">
        <v>25826</v>
      </c>
      <c r="R3" s="17"/>
      <c r="S3" s="69" t="s">
        <v>20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spans="1:41">
      <c r="A4" s="70">
        <v>46077</v>
      </c>
      <c r="B4" s="71" t="s">
        <v>20</v>
      </c>
      <c r="C4" s="27">
        <v>25722.8</v>
      </c>
      <c r="D4" s="27">
        <v>25401.2</v>
      </c>
      <c r="E4" s="27">
        <v>26044.3</v>
      </c>
      <c r="F4" s="31">
        <f t="shared" si="0"/>
        <v>26044.335</v>
      </c>
      <c r="G4" s="32" t="str">
        <f t="shared" si="1"/>
        <v>2DHH</v>
      </c>
      <c r="H4" s="27"/>
      <c r="I4" s="33">
        <f t="shared" si="2"/>
        <v>0</v>
      </c>
      <c r="J4" s="40">
        <f t="shared" si="3"/>
        <v>0</v>
      </c>
      <c r="K4" s="40">
        <f t="shared" si="4"/>
        <v>0</v>
      </c>
      <c r="L4" s="41">
        <f t="shared" si="5"/>
        <v>0</v>
      </c>
      <c r="M4" s="41">
        <f t="shared" si="6"/>
        <v>0</v>
      </c>
      <c r="N4" s="27"/>
      <c r="O4" s="27"/>
      <c r="P4" s="43"/>
      <c r="Q4" s="2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>
      <c r="A5" s="70"/>
      <c r="B5" s="71"/>
      <c r="C5" s="27"/>
      <c r="D5" s="27"/>
      <c r="E5" s="27"/>
      <c r="F5" s="31" t="b">
        <f t="shared" si="0"/>
        <v>0</v>
      </c>
      <c r="G5" s="32" t="b">
        <f t="shared" si="1"/>
        <v>0</v>
      </c>
      <c r="H5" s="27"/>
      <c r="I5" s="33" t="b">
        <f t="shared" si="2"/>
        <v>0</v>
      </c>
      <c r="J5" s="40">
        <f t="shared" si="3"/>
        <v>0</v>
      </c>
      <c r="K5" s="40">
        <f t="shared" si="4"/>
        <v>0</v>
      </c>
      <c r="L5" s="41">
        <f t="shared" si="5"/>
        <v>0</v>
      </c>
      <c r="M5" s="41">
        <f t="shared" si="6"/>
        <v>0</v>
      </c>
      <c r="N5" s="27"/>
      <c r="O5" s="27"/>
      <c r="P5" s="43"/>
      <c r="Q5" s="2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1">
      <c r="A6" s="70"/>
      <c r="B6" s="71"/>
      <c r="C6" s="27"/>
      <c r="D6" s="27"/>
      <c r="E6" s="27"/>
      <c r="F6" s="31" t="b">
        <f t="shared" si="0"/>
        <v>0</v>
      </c>
      <c r="G6" s="32" t="b">
        <f t="shared" si="1"/>
        <v>0</v>
      </c>
      <c r="H6" s="27"/>
      <c r="I6" s="33" t="b">
        <f t="shared" si="2"/>
        <v>0</v>
      </c>
      <c r="J6" s="40">
        <f t="shared" si="3"/>
        <v>0</v>
      </c>
      <c r="K6" s="40">
        <f t="shared" si="4"/>
        <v>0</v>
      </c>
      <c r="L6" s="41">
        <f t="shared" si="5"/>
        <v>0</v>
      </c>
      <c r="M6" s="41">
        <f t="shared" si="6"/>
        <v>0</v>
      </c>
      <c r="N6" s="27"/>
      <c r="O6" s="27"/>
      <c r="P6" s="43"/>
      <c r="Q6" s="2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>
      <c r="A7" s="70"/>
      <c r="B7" s="71"/>
      <c r="C7" s="27"/>
      <c r="D7" s="27"/>
      <c r="E7" s="27"/>
      <c r="F7" s="31" t="b">
        <f t="shared" si="0"/>
        <v>0</v>
      </c>
      <c r="G7" s="32" t="b">
        <f t="shared" si="1"/>
        <v>0</v>
      </c>
      <c r="H7" s="27"/>
      <c r="I7" s="33" t="b">
        <f t="shared" si="2"/>
        <v>0</v>
      </c>
      <c r="J7" s="40">
        <f t="shared" si="3"/>
        <v>0</v>
      </c>
      <c r="K7" s="40">
        <f t="shared" si="4"/>
        <v>0</v>
      </c>
      <c r="L7" s="41">
        <f t="shared" si="5"/>
        <v>0</v>
      </c>
      <c r="M7" s="41">
        <f t="shared" si="6"/>
        <v>0</v>
      </c>
      <c r="N7" s="27"/>
      <c r="O7" s="27"/>
      <c r="P7" s="43"/>
      <c r="Q7" s="2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1">
      <c r="A8" s="70"/>
      <c r="B8" s="71"/>
      <c r="C8" s="27"/>
      <c r="D8" s="27"/>
      <c r="E8" s="27"/>
      <c r="F8" s="31" t="b">
        <f t="shared" si="0"/>
        <v>0</v>
      </c>
      <c r="G8" s="32" t="b">
        <f t="shared" si="1"/>
        <v>0</v>
      </c>
      <c r="H8" s="27"/>
      <c r="I8" s="33" t="b">
        <f t="shared" si="2"/>
        <v>0</v>
      </c>
      <c r="J8" s="40">
        <f t="shared" si="3"/>
        <v>0</v>
      </c>
      <c r="K8" s="40">
        <f t="shared" si="4"/>
        <v>0</v>
      </c>
      <c r="L8" s="41">
        <f t="shared" si="5"/>
        <v>0</v>
      </c>
      <c r="M8" s="41">
        <f t="shared" si="6"/>
        <v>0</v>
      </c>
      <c r="N8" s="27"/>
      <c r="O8" s="27"/>
      <c r="P8" s="43"/>
      <c r="Q8" s="2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spans="1:41">
      <c r="A9" s="70"/>
      <c r="B9" s="71"/>
      <c r="C9" s="27"/>
      <c r="D9" s="27"/>
      <c r="E9" s="27"/>
      <c r="F9" s="31" t="b">
        <f t="shared" si="0"/>
        <v>0</v>
      </c>
      <c r="G9" s="32" t="b">
        <f t="shared" si="1"/>
        <v>0</v>
      </c>
      <c r="H9" s="27"/>
      <c r="I9" s="33" t="b">
        <f t="shared" si="2"/>
        <v>0</v>
      </c>
      <c r="J9" s="40">
        <f t="shared" si="3"/>
        <v>0</v>
      </c>
      <c r="K9" s="40">
        <f t="shared" si="4"/>
        <v>0</v>
      </c>
      <c r="L9" s="41">
        <f t="shared" si="5"/>
        <v>0</v>
      </c>
      <c r="M9" s="41">
        <f t="shared" si="6"/>
        <v>0</v>
      </c>
      <c r="N9" s="27"/>
      <c r="O9" s="27"/>
      <c r="P9" s="43"/>
      <c r="Q9" s="2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spans="1:41">
      <c r="A10" s="70"/>
      <c r="B10" s="71"/>
      <c r="C10" s="27"/>
      <c r="D10" s="27"/>
      <c r="E10" s="27"/>
      <c r="F10" s="31" t="b">
        <f t="shared" si="0"/>
        <v>0</v>
      </c>
      <c r="G10" s="32" t="b">
        <f t="shared" si="1"/>
        <v>0</v>
      </c>
      <c r="H10" s="27"/>
      <c r="I10" s="33" t="b">
        <f t="shared" si="2"/>
        <v>0</v>
      </c>
      <c r="J10" s="40">
        <f t="shared" si="3"/>
        <v>0</v>
      </c>
      <c r="K10" s="40">
        <f t="shared" si="4"/>
        <v>0</v>
      </c>
      <c r="L10" s="41">
        <f t="shared" si="5"/>
        <v>0</v>
      </c>
      <c r="M10" s="41">
        <f t="shared" si="6"/>
        <v>0</v>
      </c>
      <c r="N10" s="27"/>
      <c r="O10" s="27"/>
      <c r="P10" s="43"/>
      <c r="Q10" s="2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spans="1:41">
      <c r="A11" s="70"/>
      <c r="B11" s="71"/>
      <c r="C11" s="27"/>
      <c r="D11" s="27"/>
      <c r="E11" s="27"/>
      <c r="F11" s="31" t="b">
        <f t="shared" si="0"/>
        <v>0</v>
      </c>
      <c r="G11" s="32" t="b">
        <f t="shared" si="1"/>
        <v>0</v>
      </c>
      <c r="H11" s="27"/>
      <c r="I11" s="33" t="b">
        <f t="shared" si="2"/>
        <v>0</v>
      </c>
      <c r="J11" s="40">
        <f t="shared" si="3"/>
        <v>0</v>
      </c>
      <c r="K11" s="40">
        <f t="shared" si="4"/>
        <v>0</v>
      </c>
      <c r="L11" s="41">
        <f t="shared" si="5"/>
        <v>0</v>
      </c>
      <c r="M11" s="41">
        <f t="shared" si="6"/>
        <v>0</v>
      </c>
      <c r="N11" s="27"/>
      <c r="O11" s="27"/>
      <c r="P11" s="43"/>
      <c r="Q11" s="2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>
      <c r="A12" s="70"/>
      <c r="B12" s="71"/>
      <c r="C12" s="27"/>
      <c r="D12" s="27"/>
      <c r="E12" s="27"/>
      <c r="F12" s="31" t="b">
        <f t="shared" si="0"/>
        <v>0</v>
      </c>
      <c r="G12" s="32" t="b">
        <f t="shared" si="1"/>
        <v>0</v>
      </c>
      <c r="H12" s="27"/>
      <c r="I12" s="33" t="b">
        <f t="shared" si="2"/>
        <v>0</v>
      </c>
      <c r="J12" s="40">
        <f t="shared" si="3"/>
        <v>0</v>
      </c>
      <c r="K12" s="40">
        <f t="shared" si="4"/>
        <v>0</v>
      </c>
      <c r="L12" s="41">
        <f t="shared" si="5"/>
        <v>0</v>
      </c>
      <c r="M12" s="41">
        <f t="shared" si="6"/>
        <v>0</v>
      </c>
      <c r="N12" s="27"/>
      <c r="O12" s="27"/>
      <c r="P12" s="43"/>
      <c r="Q12" s="2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>
      <c r="A13" s="70"/>
      <c r="B13" s="71"/>
      <c r="C13" s="27"/>
      <c r="D13" s="27"/>
      <c r="E13" s="27"/>
      <c r="F13" s="31" t="b">
        <f t="shared" si="0"/>
        <v>0</v>
      </c>
      <c r="G13" s="32" t="b">
        <f t="shared" si="1"/>
        <v>0</v>
      </c>
      <c r="H13" s="27"/>
      <c r="I13" s="33" t="b">
        <f t="shared" si="2"/>
        <v>0</v>
      </c>
      <c r="J13" s="40">
        <f t="shared" si="3"/>
        <v>0</v>
      </c>
      <c r="K13" s="40">
        <f t="shared" si="4"/>
        <v>0</v>
      </c>
      <c r="L13" s="41">
        <f t="shared" si="5"/>
        <v>0</v>
      </c>
      <c r="M13" s="41">
        <f t="shared" si="6"/>
        <v>0</v>
      </c>
      <c r="N13" s="27"/>
      <c r="O13" s="27"/>
      <c r="P13" s="43"/>
      <c r="Q13" s="2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>
      <c r="A14" s="70"/>
      <c r="B14" s="71"/>
      <c r="C14" s="27"/>
      <c r="D14" s="27"/>
      <c r="E14" s="27"/>
      <c r="F14" s="31" t="b">
        <f t="shared" si="0"/>
        <v>0</v>
      </c>
      <c r="G14" s="32" t="b">
        <f t="shared" si="1"/>
        <v>0</v>
      </c>
      <c r="H14" s="27"/>
      <c r="I14" s="33" t="b">
        <f t="shared" si="2"/>
        <v>0</v>
      </c>
      <c r="J14" s="40">
        <f t="shared" si="3"/>
        <v>0</v>
      </c>
      <c r="K14" s="40">
        <f t="shared" si="4"/>
        <v>0</v>
      </c>
      <c r="L14" s="41">
        <f t="shared" si="5"/>
        <v>0</v>
      </c>
      <c r="M14" s="41">
        <f t="shared" si="6"/>
        <v>0</v>
      </c>
      <c r="N14" s="27"/>
      <c r="O14" s="27"/>
      <c r="P14" s="43"/>
      <c r="Q14" s="2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1:41">
      <c r="A15" s="70"/>
      <c r="B15" s="71"/>
      <c r="C15" s="27"/>
      <c r="D15" s="27"/>
      <c r="E15" s="27"/>
      <c r="F15" s="31" t="b">
        <f t="shared" si="0"/>
        <v>0</v>
      </c>
      <c r="G15" s="32" t="b">
        <f t="shared" si="1"/>
        <v>0</v>
      </c>
      <c r="H15" s="27"/>
      <c r="I15" s="33" t="b">
        <f t="shared" si="2"/>
        <v>0</v>
      </c>
      <c r="J15" s="40">
        <f t="shared" si="3"/>
        <v>0</v>
      </c>
      <c r="K15" s="40">
        <f t="shared" si="4"/>
        <v>0</v>
      </c>
      <c r="L15" s="41">
        <f t="shared" si="5"/>
        <v>0</v>
      </c>
      <c r="M15" s="41">
        <f t="shared" si="6"/>
        <v>0</v>
      </c>
      <c r="N15" s="27"/>
      <c r="O15" s="27"/>
      <c r="P15" s="43"/>
      <c r="Q15" s="2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spans="1:41">
      <c r="A16" s="70"/>
      <c r="B16" s="71"/>
      <c r="C16" s="27"/>
      <c r="D16" s="27"/>
      <c r="E16" s="27"/>
      <c r="F16" s="31" t="b">
        <f t="shared" si="0"/>
        <v>0</v>
      </c>
      <c r="G16" s="32" t="b">
        <f t="shared" si="1"/>
        <v>0</v>
      </c>
      <c r="H16" s="27"/>
      <c r="I16" s="33" t="b">
        <f t="shared" si="2"/>
        <v>0</v>
      </c>
      <c r="J16" s="40">
        <f t="shared" si="3"/>
        <v>0</v>
      </c>
      <c r="K16" s="40">
        <f t="shared" si="4"/>
        <v>0</v>
      </c>
      <c r="L16" s="41">
        <f t="shared" si="5"/>
        <v>0</v>
      </c>
      <c r="M16" s="41">
        <f t="shared" si="6"/>
        <v>0</v>
      </c>
      <c r="N16" s="27"/>
      <c r="O16" s="27"/>
      <c r="P16" s="43"/>
      <c r="Q16" s="2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>
      <c r="A17" s="70"/>
      <c r="B17" s="71"/>
      <c r="C17" s="27"/>
      <c r="D17" s="27"/>
      <c r="E17" s="27"/>
      <c r="F17" s="31" t="b">
        <f t="shared" si="0"/>
        <v>0</v>
      </c>
      <c r="G17" s="32" t="b">
        <f t="shared" si="1"/>
        <v>0</v>
      </c>
      <c r="H17" s="27"/>
      <c r="I17" s="33" t="b">
        <f t="shared" si="2"/>
        <v>0</v>
      </c>
      <c r="J17" s="40">
        <f t="shared" si="3"/>
        <v>0</v>
      </c>
      <c r="K17" s="40">
        <f t="shared" si="4"/>
        <v>0</v>
      </c>
      <c r="L17" s="41">
        <f t="shared" si="5"/>
        <v>0</v>
      </c>
      <c r="M17" s="41">
        <f t="shared" si="6"/>
        <v>0</v>
      </c>
      <c r="N17" s="27"/>
      <c r="O17" s="27"/>
      <c r="P17" s="43"/>
      <c r="Q17" s="2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spans="1:41">
      <c r="A18" s="70"/>
      <c r="B18" s="71"/>
      <c r="C18" s="27"/>
      <c r="D18" s="27"/>
      <c r="E18" s="27"/>
      <c r="F18" s="31" t="b">
        <f t="shared" si="0"/>
        <v>0</v>
      </c>
      <c r="G18" s="32" t="b">
        <f t="shared" si="1"/>
        <v>0</v>
      </c>
      <c r="H18" s="27"/>
      <c r="I18" s="33" t="b">
        <f t="shared" si="2"/>
        <v>0</v>
      </c>
      <c r="J18" s="40">
        <f t="shared" si="3"/>
        <v>0</v>
      </c>
      <c r="K18" s="40">
        <f t="shared" si="4"/>
        <v>0</v>
      </c>
      <c r="L18" s="41">
        <f t="shared" si="5"/>
        <v>0</v>
      </c>
      <c r="M18" s="41">
        <f t="shared" si="6"/>
        <v>0</v>
      </c>
      <c r="N18" s="27"/>
      <c r="O18" s="27"/>
      <c r="P18" s="43"/>
      <c r="Q18" s="2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>
      <c r="A19" s="70"/>
      <c r="B19" s="71"/>
      <c r="C19" s="27"/>
      <c r="D19" s="27"/>
      <c r="E19" s="27"/>
      <c r="F19" s="31" t="b">
        <f t="shared" si="0"/>
        <v>0</v>
      </c>
      <c r="G19" s="32" t="b">
        <f t="shared" si="1"/>
        <v>0</v>
      </c>
      <c r="H19" s="27"/>
      <c r="I19" s="33" t="b">
        <f t="shared" si="2"/>
        <v>0</v>
      </c>
      <c r="J19" s="40">
        <f t="shared" si="3"/>
        <v>0</v>
      </c>
      <c r="K19" s="40">
        <f t="shared" si="4"/>
        <v>0</v>
      </c>
      <c r="L19" s="41">
        <f t="shared" si="5"/>
        <v>0</v>
      </c>
      <c r="M19" s="41">
        <f t="shared" si="6"/>
        <v>0</v>
      </c>
      <c r="N19" s="27"/>
      <c r="O19" s="27"/>
      <c r="P19" s="43"/>
      <c r="Q19" s="2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>
      <c r="A20" s="70"/>
      <c r="B20" s="71"/>
      <c r="C20" s="27"/>
      <c r="D20" s="27"/>
      <c r="E20" s="27"/>
      <c r="F20" s="31" t="b">
        <f t="shared" si="0"/>
        <v>0</v>
      </c>
      <c r="G20" s="32" t="b">
        <f t="shared" si="1"/>
        <v>0</v>
      </c>
      <c r="H20" s="27"/>
      <c r="I20" s="33" t="b">
        <f t="shared" si="2"/>
        <v>0</v>
      </c>
      <c r="J20" s="40">
        <f t="shared" si="3"/>
        <v>0</v>
      </c>
      <c r="K20" s="40">
        <f t="shared" si="4"/>
        <v>0</v>
      </c>
      <c r="L20" s="41">
        <f t="shared" si="5"/>
        <v>0</v>
      </c>
      <c r="M20" s="41">
        <f t="shared" si="6"/>
        <v>0</v>
      </c>
      <c r="N20" s="27"/>
      <c r="O20" s="27"/>
      <c r="P20" s="43"/>
      <c r="Q20" s="2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1:41">
      <c r="A21" s="70"/>
      <c r="B21" s="71"/>
      <c r="C21" s="27"/>
      <c r="D21" s="27"/>
      <c r="E21" s="27"/>
      <c r="F21" s="31" t="b">
        <f t="shared" si="0"/>
        <v>0</v>
      </c>
      <c r="G21" s="32" t="b">
        <f t="shared" si="1"/>
        <v>0</v>
      </c>
      <c r="H21" s="27"/>
      <c r="I21" s="33" t="b">
        <f t="shared" si="2"/>
        <v>0</v>
      </c>
      <c r="J21" s="40">
        <f t="shared" si="3"/>
        <v>0</v>
      </c>
      <c r="K21" s="40">
        <f t="shared" si="4"/>
        <v>0</v>
      </c>
      <c r="L21" s="41">
        <f t="shared" si="5"/>
        <v>0</v>
      </c>
      <c r="M21" s="41">
        <f t="shared" si="6"/>
        <v>0</v>
      </c>
      <c r="N21" s="27"/>
      <c r="O21" s="27"/>
      <c r="P21" s="43"/>
      <c r="Q21" s="2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 spans="1:41">
      <c r="A22" s="70"/>
      <c r="B22" s="71"/>
      <c r="C22" s="27"/>
      <c r="D22" s="27"/>
      <c r="E22" s="27"/>
      <c r="F22" s="31" t="b">
        <f t="shared" si="0"/>
        <v>0</v>
      </c>
      <c r="G22" s="32" t="b">
        <f t="shared" si="1"/>
        <v>0</v>
      </c>
      <c r="H22" s="27"/>
      <c r="I22" s="33" t="b">
        <f t="shared" si="2"/>
        <v>0</v>
      </c>
      <c r="J22" s="40">
        <f t="shared" si="3"/>
        <v>0</v>
      </c>
      <c r="K22" s="40">
        <f t="shared" si="4"/>
        <v>0</v>
      </c>
      <c r="L22" s="41">
        <f t="shared" si="5"/>
        <v>0</v>
      </c>
      <c r="M22" s="41">
        <f t="shared" si="6"/>
        <v>0</v>
      </c>
      <c r="N22" s="27"/>
      <c r="O22" s="27"/>
      <c r="P22" s="43"/>
      <c r="Q22" s="2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 spans="1:41">
      <c r="A23" s="70"/>
      <c r="B23" s="71"/>
      <c r="C23" s="27"/>
      <c r="D23" s="27"/>
      <c r="E23" s="27"/>
      <c r="F23" s="31" t="b">
        <f t="shared" si="0"/>
        <v>0</v>
      </c>
      <c r="G23" s="32" t="b">
        <f t="shared" si="1"/>
        <v>0</v>
      </c>
      <c r="H23" s="27"/>
      <c r="I23" s="33" t="b">
        <f t="shared" si="2"/>
        <v>0</v>
      </c>
      <c r="J23" s="40">
        <f t="shared" si="3"/>
        <v>0</v>
      </c>
      <c r="K23" s="40">
        <f t="shared" si="4"/>
        <v>0</v>
      </c>
      <c r="L23" s="41">
        <f t="shared" si="5"/>
        <v>0</v>
      </c>
      <c r="M23" s="41">
        <f t="shared" si="6"/>
        <v>0</v>
      </c>
      <c r="N23" s="27"/>
      <c r="O23" s="27"/>
      <c r="P23" s="43"/>
      <c r="Q23" s="2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 spans="1:41">
      <c r="A24" s="70"/>
      <c r="B24" s="71"/>
      <c r="C24" s="27"/>
      <c r="D24" s="27"/>
      <c r="E24" s="27"/>
      <c r="F24" s="31" t="b">
        <f t="shared" si="0"/>
        <v>0</v>
      </c>
      <c r="G24" s="32" t="b">
        <f t="shared" si="1"/>
        <v>0</v>
      </c>
      <c r="H24" s="27"/>
      <c r="I24" s="33" t="b">
        <f t="shared" si="2"/>
        <v>0</v>
      </c>
      <c r="J24" s="40">
        <f t="shared" si="3"/>
        <v>0</v>
      </c>
      <c r="K24" s="40">
        <f t="shared" si="4"/>
        <v>0</v>
      </c>
      <c r="L24" s="41">
        <f t="shared" si="5"/>
        <v>0</v>
      </c>
      <c r="M24" s="41">
        <f t="shared" si="6"/>
        <v>0</v>
      </c>
      <c r="N24" s="27"/>
      <c r="O24" s="27"/>
      <c r="P24" s="43"/>
      <c r="Q24" s="2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 spans="1:41">
      <c r="A25" s="70"/>
      <c r="B25" s="71"/>
      <c r="C25" s="27"/>
      <c r="D25" s="27"/>
      <c r="E25" s="27"/>
      <c r="F25" s="31" t="b">
        <f t="shared" si="0"/>
        <v>0</v>
      </c>
      <c r="G25" s="32" t="b">
        <f t="shared" si="1"/>
        <v>0</v>
      </c>
      <c r="H25" s="27"/>
      <c r="I25" s="33" t="b">
        <f t="shared" si="2"/>
        <v>0</v>
      </c>
      <c r="J25" s="40">
        <f t="shared" si="3"/>
        <v>0</v>
      </c>
      <c r="K25" s="40">
        <f t="shared" si="4"/>
        <v>0</v>
      </c>
      <c r="L25" s="41">
        <f t="shared" si="5"/>
        <v>0</v>
      </c>
      <c r="M25" s="41">
        <f t="shared" si="6"/>
        <v>0</v>
      </c>
      <c r="N25" s="27"/>
      <c r="O25" s="27"/>
      <c r="P25" s="43"/>
      <c r="Q25" s="2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 spans="1:41">
      <c r="A26" s="70"/>
      <c r="B26" s="71"/>
      <c r="C26" s="27"/>
      <c r="D26" s="27"/>
      <c r="E26" s="27"/>
      <c r="F26" s="31" t="b">
        <f t="shared" si="0"/>
        <v>0</v>
      </c>
      <c r="G26" s="32" t="b">
        <f t="shared" si="1"/>
        <v>0</v>
      </c>
      <c r="H26" s="27"/>
      <c r="I26" s="33" t="b">
        <f t="shared" si="2"/>
        <v>0</v>
      </c>
      <c r="J26" s="40">
        <f t="shared" si="3"/>
        <v>0</v>
      </c>
      <c r="K26" s="40">
        <f t="shared" si="4"/>
        <v>0</v>
      </c>
      <c r="L26" s="41">
        <f t="shared" si="5"/>
        <v>0</v>
      </c>
      <c r="M26" s="41">
        <f t="shared" si="6"/>
        <v>0</v>
      </c>
      <c r="N26" s="27"/>
      <c r="O26" s="27"/>
      <c r="P26" s="43"/>
      <c r="Q26" s="2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 spans="1:41">
      <c r="A27" s="70"/>
      <c r="B27" s="71"/>
      <c r="C27" s="27"/>
      <c r="D27" s="27"/>
      <c r="E27" s="27"/>
      <c r="F27" s="31" t="b">
        <f t="shared" si="0"/>
        <v>0</v>
      </c>
      <c r="G27" s="32" t="b">
        <f t="shared" si="1"/>
        <v>0</v>
      </c>
      <c r="H27" s="27"/>
      <c r="I27" s="33" t="b">
        <f t="shared" si="2"/>
        <v>0</v>
      </c>
      <c r="J27" s="40">
        <f t="shared" si="3"/>
        <v>0</v>
      </c>
      <c r="K27" s="40">
        <f t="shared" si="4"/>
        <v>0</v>
      </c>
      <c r="L27" s="41">
        <f t="shared" si="5"/>
        <v>0</v>
      </c>
      <c r="M27" s="41">
        <f t="shared" si="6"/>
        <v>0</v>
      </c>
      <c r="N27" s="27"/>
      <c r="O27" s="27"/>
      <c r="P27" s="43"/>
      <c r="Q27" s="2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 spans="1:41">
      <c r="A28" s="70"/>
      <c r="B28" s="71"/>
      <c r="C28" s="27"/>
      <c r="D28" s="27"/>
      <c r="E28" s="27"/>
      <c r="F28" s="31" t="b">
        <f t="shared" si="0"/>
        <v>0</v>
      </c>
      <c r="G28" s="32" t="b">
        <f t="shared" si="1"/>
        <v>0</v>
      </c>
      <c r="H28" s="27"/>
      <c r="I28" s="33" t="b">
        <f t="shared" si="2"/>
        <v>0</v>
      </c>
      <c r="J28" s="40">
        <f t="shared" si="3"/>
        <v>0</v>
      </c>
      <c r="K28" s="40">
        <f t="shared" si="4"/>
        <v>0</v>
      </c>
      <c r="L28" s="41">
        <f t="shared" si="5"/>
        <v>0</v>
      </c>
      <c r="M28" s="41">
        <f t="shared" si="6"/>
        <v>0</v>
      </c>
      <c r="N28" s="27"/>
      <c r="O28" s="27"/>
      <c r="P28" s="43"/>
      <c r="Q28" s="2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 spans="1:41">
      <c r="A29" s="70"/>
      <c r="B29" s="71"/>
      <c r="C29" s="27"/>
      <c r="D29" s="27"/>
      <c r="E29" s="27"/>
      <c r="F29" s="31" t="b">
        <f t="shared" si="0"/>
        <v>0</v>
      </c>
      <c r="G29" s="32" t="b">
        <f t="shared" si="1"/>
        <v>0</v>
      </c>
      <c r="H29" s="27"/>
      <c r="I29" s="33" t="b">
        <f t="shared" si="2"/>
        <v>0</v>
      </c>
      <c r="J29" s="40">
        <f t="shared" si="3"/>
        <v>0</v>
      </c>
      <c r="K29" s="40">
        <f t="shared" si="4"/>
        <v>0</v>
      </c>
      <c r="L29" s="41">
        <f t="shared" si="5"/>
        <v>0</v>
      </c>
      <c r="M29" s="41">
        <f t="shared" si="6"/>
        <v>0</v>
      </c>
      <c r="N29" s="27"/>
      <c r="O29" s="27"/>
      <c r="P29" s="43"/>
      <c r="Q29" s="2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spans="1:41">
      <c r="A30" s="70"/>
      <c r="B30" s="71"/>
      <c r="C30" s="27"/>
      <c r="D30" s="27"/>
      <c r="E30" s="27"/>
      <c r="F30" s="31" t="b">
        <f t="shared" si="0"/>
        <v>0</v>
      </c>
      <c r="G30" s="32" t="b">
        <f t="shared" si="1"/>
        <v>0</v>
      </c>
      <c r="H30" s="27"/>
      <c r="I30" s="33" t="b">
        <f t="shared" si="2"/>
        <v>0</v>
      </c>
      <c r="J30" s="40">
        <f t="shared" si="3"/>
        <v>0</v>
      </c>
      <c r="K30" s="40">
        <f t="shared" si="4"/>
        <v>0</v>
      </c>
      <c r="L30" s="41">
        <f t="shared" si="5"/>
        <v>0</v>
      </c>
      <c r="M30" s="41">
        <f t="shared" si="6"/>
        <v>0</v>
      </c>
      <c r="N30" s="27"/>
      <c r="O30" s="27"/>
      <c r="P30" s="43"/>
      <c r="Q30" s="2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 spans="1:41">
      <c r="A31" s="70"/>
      <c r="B31" s="71"/>
      <c r="C31" s="27"/>
      <c r="D31" s="27"/>
      <c r="E31" s="27"/>
      <c r="F31" s="31" t="b">
        <f t="shared" si="0"/>
        <v>0</v>
      </c>
      <c r="G31" s="32" t="b">
        <f t="shared" si="1"/>
        <v>0</v>
      </c>
      <c r="H31" s="27"/>
      <c r="I31" s="33" t="b">
        <f t="shared" si="2"/>
        <v>0</v>
      </c>
      <c r="J31" s="40">
        <f t="shared" si="3"/>
        <v>0</v>
      </c>
      <c r="K31" s="40">
        <f t="shared" si="4"/>
        <v>0</v>
      </c>
      <c r="L31" s="41">
        <f t="shared" si="5"/>
        <v>0</v>
      </c>
      <c r="M31" s="41">
        <f t="shared" si="6"/>
        <v>0</v>
      </c>
      <c r="N31" s="27"/>
      <c r="O31" s="27"/>
      <c r="P31" s="43"/>
      <c r="Q31" s="2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spans="1:41">
      <c r="A32" s="70"/>
      <c r="B32" s="71"/>
      <c r="C32" s="27"/>
      <c r="D32" s="27"/>
      <c r="E32" s="27"/>
      <c r="F32" s="31" t="b">
        <f t="shared" si="0"/>
        <v>0</v>
      </c>
      <c r="G32" s="32" t="b">
        <f t="shared" si="1"/>
        <v>0</v>
      </c>
      <c r="H32" s="27"/>
      <c r="I32" s="33" t="b">
        <f t="shared" si="2"/>
        <v>0</v>
      </c>
      <c r="J32" s="40">
        <f t="shared" si="3"/>
        <v>0</v>
      </c>
      <c r="K32" s="40">
        <f t="shared" si="4"/>
        <v>0</v>
      </c>
      <c r="L32" s="41">
        <f t="shared" si="5"/>
        <v>0</v>
      </c>
      <c r="M32" s="41">
        <f t="shared" si="6"/>
        <v>0</v>
      </c>
      <c r="N32" s="27"/>
      <c r="O32" s="27"/>
      <c r="P32" s="43"/>
      <c r="Q32" s="2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 spans="1:41">
      <c r="A33" s="70"/>
      <c r="B33" s="71"/>
      <c r="C33" s="27"/>
      <c r="D33" s="27"/>
      <c r="E33" s="27"/>
      <c r="F33" s="31" t="b">
        <f t="shared" si="0"/>
        <v>0</v>
      </c>
      <c r="G33" s="32" t="b">
        <f t="shared" si="1"/>
        <v>0</v>
      </c>
      <c r="H33" s="27"/>
      <c r="I33" s="33" t="b">
        <f t="shared" si="2"/>
        <v>0</v>
      </c>
      <c r="J33" s="40">
        <f t="shared" si="3"/>
        <v>0</v>
      </c>
      <c r="K33" s="40">
        <f t="shared" si="4"/>
        <v>0</v>
      </c>
      <c r="L33" s="41">
        <f t="shared" si="5"/>
        <v>0</v>
      </c>
      <c r="M33" s="41">
        <f t="shared" si="6"/>
        <v>0</v>
      </c>
      <c r="N33" s="27"/>
      <c r="O33" s="27"/>
      <c r="P33" s="43"/>
      <c r="Q33" s="2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spans="1:41">
      <c r="A34" s="70"/>
      <c r="B34" s="71"/>
      <c r="C34" s="27"/>
      <c r="D34" s="27"/>
      <c r="E34" s="27"/>
      <c r="F34" s="31" t="b">
        <f t="shared" si="0"/>
        <v>0</v>
      </c>
      <c r="G34" s="32" t="b">
        <f t="shared" si="1"/>
        <v>0</v>
      </c>
      <c r="H34" s="27"/>
      <c r="I34" s="33" t="b">
        <f t="shared" si="2"/>
        <v>0</v>
      </c>
      <c r="J34" s="40">
        <f t="shared" si="3"/>
        <v>0</v>
      </c>
      <c r="K34" s="40">
        <f t="shared" si="4"/>
        <v>0</v>
      </c>
      <c r="L34" s="41">
        <f t="shared" si="5"/>
        <v>0</v>
      </c>
      <c r="M34" s="41">
        <f t="shared" si="6"/>
        <v>0</v>
      </c>
      <c r="N34" s="27"/>
      <c r="O34" s="27"/>
      <c r="P34" s="43"/>
      <c r="Q34" s="2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 spans="1:41">
      <c r="A35" s="70"/>
      <c r="B35" s="71"/>
      <c r="C35" s="27"/>
      <c r="D35" s="27"/>
      <c r="E35" s="27"/>
      <c r="F35" s="31" t="b">
        <f t="shared" ref="F35:F66" si="7">IF(B35="BUY",(C35*(1-1.25%)),IF(B35="SELL",(C35*(1+1.25%))))</f>
        <v>0</v>
      </c>
      <c r="G35" s="32" t="b">
        <f t="shared" ref="G35:G66" si="8">IF(B35="BUY","2DLL",IF(B35="SELL","2DHH"))</f>
        <v>0</v>
      </c>
      <c r="H35" s="27"/>
      <c r="I35" s="33" t="b">
        <f t="shared" si="2"/>
        <v>0</v>
      </c>
      <c r="J35" s="40" t="e">
        <f t="shared" ref="J35:J66" si="9">MROUND(IF(B35="BUY",MAX(F35,I35),IF(B35="SELL",MIN(F35,I35))),0.05)</f>
        <v>#VALUE!</v>
      </c>
      <c r="K35" s="40" t="e">
        <f t="shared" ref="K35:K66" si="10">MROUND(IF(B35="BUY",(J35*(1-0.05%)),IF(B35="SELL",(J35*(1+0.05%)))),0.05)</f>
        <v>#VALUE!</v>
      </c>
      <c r="L35" s="41" t="e">
        <f t="shared" ref="L35:L66" si="11">MROUND(IF(B35="BUY",MAX(C35,I35),IF(B35="SELL",MIN(C35,I35))),0.05)</f>
        <v>#VALUE!</v>
      </c>
      <c r="M35" s="41" t="e">
        <f t="shared" ref="M35:M66" si="12">MROUND(IF(B35="BUY",(L35*(1-0.05%)),IF(B35="SELL",(L35*(1+0.05%)))),0.05)</f>
        <v>#VALUE!</v>
      </c>
      <c r="N35" s="27"/>
      <c r="O35" s="27"/>
      <c r="P35" s="43"/>
      <c r="Q35" s="2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spans="1:41">
      <c r="A36" s="70"/>
      <c r="B36" s="71"/>
      <c r="C36" s="27"/>
      <c r="D36" s="27"/>
      <c r="E36" s="27"/>
      <c r="F36" s="31" t="b">
        <f t="shared" si="7"/>
        <v>0</v>
      </c>
      <c r="G36" s="32" t="b">
        <f t="shared" si="8"/>
        <v>0</v>
      </c>
      <c r="H36" s="27"/>
      <c r="I36" s="33" t="b">
        <f t="shared" si="2"/>
        <v>0</v>
      </c>
      <c r="J36" s="40" t="e">
        <f t="shared" si="9"/>
        <v>#VALUE!</v>
      </c>
      <c r="K36" s="40" t="e">
        <f t="shared" si="10"/>
        <v>#VALUE!</v>
      </c>
      <c r="L36" s="41" t="e">
        <f t="shared" si="11"/>
        <v>#VALUE!</v>
      </c>
      <c r="M36" s="41" t="e">
        <f t="shared" si="12"/>
        <v>#VALUE!</v>
      </c>
      <c r="N36" s="27"/>
      <c r="O36" s="27"/>
      <c r="P36" s="43"/>
      <c r="Q36" s="2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spans="1:41">
      <c r="A37" s="70"/>
      <c r="B37" s="71"/>
      <c r="C37" s="27"/>
      <c r="D37" s="27"/>
      <c r="E37" s="27"/>
      <c r="F37" s="31" t="b">
        <f t="shared" si="7"/>
        <v>0</v>
      </c>
      <c r="G37" s="32" t="b">
        <f t="shared" si="8"/>
        <v>0</v>
      </c>
      <c r="H37" s="27"/>
      <c r="I37" s="33" t="b">
        <f t="shared" si="2"/>
        <v>0</v>
      </c>
      <c r="J37" s="40" t="e">
        <f t="shared" si="9"/>
        <v>#VALUE!</v>
      </c>
      <c r="K37" s="40" t="e">
        <f t="shared" si="10"/>
        <v>#VALUE!</v>
      </c>
      <c r="L37" s="41" t="e">
        <f t="shared" si="11"/>
        <v>#VALUE!</v>
      </c>
      <c r="M37" s="41" t="e">
        <f t="shared" si="12"/>
        <v>#VALUE!</v>
      </c>
      <c r="N37" s="27"/>
      <c r="O37" s="27"/>
      <c r="P37" s="43"/>
      <c r="Q37" s="2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spans="1:41">
      <c r="A38" s="70"/>
      <c r="B38" s="71"/>
      <c r="C38" s="27"/>
      <c r="D38" s="27"/>
      <c r="E38" s="27"/>
      <c r="F38" s="31" t="b">
        <f t="shared" si="7"/>
        <v>0</v>
      </c>
      <c r="G38" s="32" t="b">
        <f t="shared" si="8"/>
        <v>0</v>
      </c>
      <c r="H38" s="27"/>
      <c r="I38" s="33" t="b">
        <f t="shared" si="2"/>
        <v>0</v>
      </c>
      <c r="J38" s="40" t="e">
        <f t="shared" si="9"/>
        <v>#VALUE!</v>
      </c>
      <c r="K38" s="40" t="e">
        <f t="shared" si="10"/>
        <v>#VALUE!</v>
      </c>
      <c r="L38" s="41" t="e">
        <f t="shared" si="11"/>
        <v>#VALUE!</v>
      </c>
      <c r="M38" s="41" t="e">
        <f t="shared" si="12"/>
        <v>#VALUE!</v>
      </c>
      <c r="N38" s="27"/>
      <c r="O38" s="27"/>
      <c r="P38" s="43"/>
      <c r="Q38" s="2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 spans="1:41">
      <c r="A39" s="70"/>
      <c r="B39" s="71"/>
      <c r="C39" s="27"/>
      <c r="D39" s="27"/>
      <c r="E39" s="27"/>
      <c r="F39" s="31" t="b">
        <f t="shared" si="7"/>
        <v>0</v>
      </c>
      <c r="G39" s="32" t="b">
        <f t="shared" si="8"/>
        <v>0</v>
      </c>
      <c r="H39" s="27"/>
      <c r="I39" s="33" t="b">
        <f t="shared" si="2"/>
        <v>0</v>
      </c>
      <c r="J39" s="40" t="e">
        <f t="shared" si="9"/>
        <v>#VALUE!</v>
      </c>
      <c r="K39" s="40" t="e">
        <f t="shared" si="10"/>
        <v>#VALUE!</v>
      </c>
      <c r="L39" s="41" t="e">
        <f t="shared" si="11"/>
        <v>#VALUE!</v>
      </c>
      <c r="M39" s="41" t="e">
        <f t="shared" si="12"/>
        <v>#VALUE!</v>
      </c>
      <c r="N39" s="27"/>
      <c r="O39" s="27"/>
      <c r="P39" s="43"/>
      <c r="Q39" s="2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spans="1:41">
      <c r="A40" s="70"/>
      <c r="B40" s="71"/>
      <c r="C40" s="27"/>
      <c r="D40" s="27"/>
      <c r="E40" s="27"/>
      <c r="F40" s="31" t="b">
        <f t="shared" si="7"/>
        <v>0</v>
      </c>
      <c r="G40" s="32" t="b">
        <f t="shared" si="8"/>
        <v>0</v>
      </c>
      <c r="H40" s="27"/>
      <c r="I40" s="33" t="b">
        <f t="shared" si="2"/>
        <v>0</v>
      </c>
      <c r="J40" s="40" t="e">
        <f t="shared" si="9"/>
        <v>#VALUE!</v>
      </c>
      <c r="K40" s="40" t="e">
        <f t="shared" si="10"/>
        <v>#VALUE!</v>
      </c>
      <c r="L40" s="41" t="e">
        <f t="shared" si="11"/>
        <v>#VALUE!</v>
      </c>
      <c r="M40" s="41" t="e">
        <f t="shared" si="12"/>
        <v>#VALUE!</v>
      </c>
      <c r="N40" s="27"/>
      <c r="O40" s="27"/>
      <c r="P40" s="43"/>
      <c r="Q40" s="2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1:41">
      <c r="A41" s="70"/>
      <c r="B41" s="71"/>
      <c r="C41" s="27"/>
      <c r="D41" s="27"/>
      <c r="E41" s="27"/>
      <c r="F41" s="31" t="b">
        <f t="shared" si="7"/>
        <v>0</v>
      </c>
      <c r="G41" s="32" t="b">
        <f t="shared" si="8"/>
        <v>0</v>
      </c>
      <c r="H41" s="27"/>
      <c r="I41" s="33" t="b">
        <f t="shared" si="2"/>
        <v>0</v>
      </c>
      <c r="J41" s="40" t="e">
        <f t="shared" si="9"/>
        <v>#VALUE!</v>
      </c>
      <c r="K41" s="40" t="e">
        <f t="shared" si="10"/>
        <v>#VALUE!</v>
      </c>
      <c r="L41" s="41" t="e">
        <f t="shared" si="11"/>
        <v>#VALUE!</v>
      </c>
      <c r="M41" s="41" t="e">
        <f t="shared" si="12"/>
        <v>#VALUE!</v>
      </c>
      <c r="N41" s="27"/>
      <c r="O41" s="27"/>
      <c r="P41" s="43"/>
      <c r="Q41" s="2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1">
      <c r="A42" s="70"/>
      <c r="B42" s="71"/>
      <c r="C42" s="27"/>
      <c r="D42" s="27"/>
      <c r="E42" s="27"/>
      <c r="F42" s="31" t="b">
        <f t="shared" si="7"/>
        <v>0</v>
      </c>
      <c r="G42" s="32" t="b">
        <f t="shared" si="8"/>
        <v>0</v>
      </c>
      <c r="H42" s="27"/>
      <c r="I42" s="33" t="b">
        <f t="shared" si="2"/>
        <v>0</v>
      </c>
      <c r="J42" s="40" t="e">
        <f t="shared" si="9"/>
        <v>#VALUE!</v>
      </c>
      <c r="K42" s="40" t="e">
        <f t="shared" si="10"/>
        <v>#VALUE!</v>
      </c>
      <c r="L42" s="41" t="e">
        <f t="shared" si="11"/>
        <v>#VALUE!</v>
      </c>
      <c r="M42" s="41" t="e">
        <f t="shared" si="12"/>
        <v>#VALUE!</v>
      </c>
      <c r="N42" s="27"/>
      <c r="O42" s="27"/>
      <c r="P42" s="43"/>
      <c r="Q42" s="2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 spans="1:41">
      <c r="A43" s="70"/>
      <c r="B43" s="71"/>
      <c r="C43" s="27"/>
      <c r="D43" s="27"/>
      <c r="E43" s="27"/>
      <c r="F43" s="31" t="b">
        <f t="shared" si="7"/>
        <v>0</v>
      </c>
      <c r="G43" s="32" t="b">
        <f t="shared" si="8"/>
        <v>0</v>
      </c>
      <c r="H43" s="27"/>
      <c r="I43" s="33" t="b">
        <f t="shared" si="2"/>
        <v>0</v>
      </c>
      <c r="J43" s="40" t="e">
        <f t="shared" si="9"/>
        <v>#VALUE!</v>
      </c>
      <c r="K43" s="40" t="e">
        <f t="shared" si="10"/>
        <v>#VALUE!</v>
      </c>
      <c r="L43" s="41" t="e">
        <f t="shared" si="11"/>
        <v>#VALUE!</v>
      </c>
      <c r="M43" s="41" t="e">
        <f t="shared" si="12"/>
        <v>#VALUE!</v>
      </c>
      <c r="N43" s="27"/>
      <c r="O43" s="27"/>
      <c r="P43" s="43"/>
      <c r="Q43" s="2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 spans="1:41">
      <c r="A44" s="70"/>
      <c r="B44" s="71"/>
      <c r="C44" s="27"/>
      <c r="D44" s="27"/>
      <c r="E44" s="27"/>
      <c r="F44" s="31" t="b">
        <f t="shared" si="7"/>
        <v>0</v>
      </c>
      <c r="G44" s="32" t="b">
        <f t="shared" si="8"/>
        <v>0</v>
      </c>
      <c r="H44" s="27"/>
      <c r="I44" s="33" t="b">
        <f t="shared" si="2"/>
        <v>0</v>
      </c>
      <c r="J44" s="40" t="e">
        <f t="shared" si="9"/>
        <v>#VALUE!</v>
      </c>
      <c r="K44" s="40" t="e">
        <f t="shared" si="10"/>
        <v>#VALUE!</v>
      </c>
      <c r="L44" s="41" t="e">
        <f t="shared" si="11"/>
        <v>#VALUE!</v>
      </c>
      <c r="M44" s="41" t="e">
        <f t="shared" si="12"/>
        <v>#VALUE!</v>
      </c>
      <c r="N44" s="27"/>
      <c r="O44" s="27"/>
      <c r="P44" s="43"/>
      <c r="Q44" s="2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spans="1:41">
      <c r="A45" s="70"/>
      <c r="B45" s="71"/>
      <c r="C45" s="27"/>
      <c r="D45" s="27"/>
      <c r="E45" s="27"/>
      <c r="F45" s="31" t="b">
        <f t="shared" si="7"/>
        <v>0</v>
      </c>
      <c r="G45" s="32" t="b">
        <f t="shared" si="8"/>
        <v>0</v>
      </c>
      <c r="H45" s="27"/>
      <c r="I45" s="33" t="b">
        <f t="shared" si="2"/>
        <v>0</v>
      </c>
      <c r="J45" s="40" t="e">
        <f t="shared" si="9"/>
        <v>#VALUE!</v>
      </c>
      <c r="K45" s="40" t="e">
        <f t="shared" si="10"/>
        <v>#VALUE!</v>
      </c>
      <c r="L45" s="41" t="e">
        <f t="shared" si="11"/>
        <v>#VALUE!</v>
      </c>
      <c r="M45" s="41" t="e">
        <f t="shared" si="12"/>
        <v>#VALUE!</v>
      </c>
      <c r="N45" s="27"/>
      <c r="O45" s="27"/>
      <c r="P45" s="43"/>
      <c r="Q45" s="2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 spans="1:41">
      <c r="A46" s="70"/>
      <c r="B46" s="71"/>
      <c r="C46" s="27"/>
      <c r="D46" s="27"/>
      <c r="E46" s="27"/>
      <c r="F46" s="31" t="b">
        <f t="shared" si="7"/>
        <v>0</v>
      </c>
      <c r="G46" s="32" t="b">
        <f t="shared" si="8"/>
        <v>0</v>
      </c>
      <c r="H46" s="27"/>
      <c r="I46" s="33" t="b">
        <f t="shared" si="2"/>
        <v>0</v>
      </c>
      <c r="J46" s="40" t="e">
        <f t="shared" si="9"/>
        <v>#VALUE!</v>
      </c>
      <c r="K46" s="40" t="e">
        <f t="shared" si="10"/>
        <v>#VALUE!</v>
      </c>
      <c r="L46" s="41" t="e">
        <f t="shared" si="11"/>
        <v>#VALUE!</v>
      </c>
      <c r="M46" s="41" t="e">
        <f t="shared" si="12"/>
        <v>#VALUE!</v>
      </c>
      <c r="N46" s="27"/>
      <c r="O46" s="27"/>
      <c r="P46" s="43"/>
      <c r="Q46" s="2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</row>
    <row r="47" spans="1:41">
      <c r="A47" s="70"/>
      <c r="B47" s="71"/>
      <c r="C47" s="27"/>
      <c r="D47" s="27"/>
      <c r="E47" s="27"/>
      <c r="F47" s="31" t="b">
        <f t="shared" si="7"/>
        <v>0</v>
      </c>
      <c r="G47" s="32" t="b">
        <f t="shared" si="8"/>
        <v>0</v>
      </c>
      <c r="H47" s="27"/>
      <c r="I47" s="33" t="b">
        <f t="shared" si="2"/>
        <v>0</v>
      </c>
      <c r="J47" s="40" t="e">
        <f t="shared" si="9"/>
        <v>#VALUE!</v>
      </c>
      <c r="K47" s="40" t="e">
        <f t="shared" si="10"/>
        <v>#VALUE!</v>
      </c>
      <c r="L47" s="41" t="e">
        <f t="shared" si="11"/>
        <v>#VALUE!</v>
      </c>
      <c r="M47" s="41" t="e">
        <f t="shared" si="12"/>
        <v>#VALUE!</v>
      </c>
      <c r="N47" s="27"/>
      <c r="O47" s="27"/>
      <c r="P47" s="43"/>
      <c r="Q47" s="2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1">
      <c r="A48" s="70"/>
      <c r="B48" s="71"/>
      <c r="C48" s="27"/>
      <c r="D48" s="27"/>
      <c r="E48" s="27"/>
      <c r="F48" s="31" t="b">
        <f t="shared" si="7"/>
        <v>0</v>
      </c>
      <c r="G48" s="32" t="b">
        <f t="shared" si="8"/>
        <v>0</v>
      </c>
      <c r="H48" s="27"/>
      <c r="I48" s="33" t="b">
        <f t="shared" si="2"/>
        <v>0</v>
      </c>
      <c r="J48" s="40" t="e">
        <f t="shared" si="9"/>
        <v>#VALUE!</v>
      </c>
      <c r="K48" s="40" t="e">
        <f t="shared" si="10"/>
        <v>#VALUE!</v>
      </c>
      <c r="L48" s="41" t="e">
        <f t="shared" si="11"/>
        <v>#VALUE!</v>
      </c>
      <c r="M48" s="41" t="e">
        <f t="shared" si="12"/>
        <v>#VALUE!</v>
      </c>
      <c r="N48" s="27"/>
      <c r="O48" s="27"/>
      <c r="P48" s="43"/>
      <c r="Q48" s="2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</row>
    <row r="49" spans="1:41">
      <c r="A49" s="70"/>
      <c r="B49" s="71"/>
      <c r="C49" s="27"/>
      <c r="D49" s="27"/>
      <c r="E49" s="27"/>
      <c r="F49" s="31" t="b">
        <f t="shared" si="7"/>
        <v>0</v>
      </c>
      <c r="G49" s="32" t="b">
        <f t="shared" si="8"/>
        <v>0</v>
      </c>
      <c r="H49" s="27"/>
      <c r="I49" s="33" t="b">
        <f t="shared" si="2"/>
        <v>0</v>
      </c>
      <c r="J49" s="40" t="e">
        <f t="shared" si="9"/>
        <v>#VALUE!</v>
      </c>
      <c r="K49" s="40" t="e">
        <f t="shared" si="10"/>
        <v>#VALUE!</v>
      </c>
      <c r="L49" s="41" t="e">
        <f t="shared" si="11"/>
        <v>#VALUE!</v>
      </c>
      <c r="M49" s="41" t="e">
        <f t="shared" si="12"/>
        <v>#VALUE!</v>
      </c>
      <c r="N49" s="27"/>
      <c r="O49" s="27"/>
      <c r="P49" s="43"/>
      <c r="Q49" s="2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 spans="1:41">
      <c r="A50" s="70"/>
      <c r="B50" s="71"/>
      <c r="C50" s="27"/>
      <c r="D50" s="27"/>
      <c r="E50" s="27"/>
      <c r="F50" s="31" t="b">
        <f t="shared" si="7"/>
        <v>0</v>
      </c>
      <c r="G50" s="32" t="b">
        <f t="shared" si="8"/>
        <v>0</v>
      </c>
      <c r="H50" s="27"/>
      <c r="I50" s="33" t="b">
        <f t="shared" si="2"/>
        <v>0</v>
      </c>
      <c r="J50" s="40" t="e">
        <f t="shared" si="9"/>
        <v>#VALUE!</v>
      </c>
      <c r="K50" s="40" t="e">
        <f t="shared" si="10"/>
        <v>#VALUE!</v>
      </c>
      <c r="L50" s="41" t="e">
        <f t="shared" si="11"/>
        <v>#VALUE!</v>
      </c>
      <c r="M50" s="41" t="e">
        <f t="shared" si="12"/>
        <v>#VALUE!</v>
      </c>
      <c r="N50" s="27"/>
      <c r="O50" s="27"/>
      <c r="P50" s="43"/>
      <c r="Q50" s="2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spans="1:41">
      <c r="A51" s="70"/>
      <c r="B51" s="71"/>
      <c r="C51" s="27"/>
      <c r="D51" s="27"/>
      <c r="E51" s="27"/>
      <c r="F51" s="31" t="b">
        <f t="shared" si="7"/>
        <v>0</v>
      </c>
      <c r="G51" s="32" t="b">
        <f t="shared" si="8"/>
        <v>0</v>
      </c>
      <c r="H51" s="27"/>
      <c r="I51" s="33" t="b">
        <f t="shared" si="2"/>
        <v>0</v>
      </c>
      <c r="J51" s="40" t="e">
        <f t="shared" si="9"/>
        <v>#VALUE!</v>
      </c>
      <c r="K51" s="40" t="e">
        <f t="shared" si="10"/>
        <v>#VALUE!</v>
      </c>
      <c r="L51" s="41" t="e">
        <f t="shared" si="11"/>
        <v>#VALUE!</v>
      </c>
      <c r="M51" s="41" t="e">
        <f t="shared" si="12"/>
        <v>#VALUE!</v>
      </c>
      <c r="N51" s="27"/>
      <c r="O51" s="27"/>
      <c r="P51" s="43"/>
      <c r="Q51" s="2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spans="1:41">
      <c r="A52" s="70"/>
      <c r="B52" s="71"/>
      <c r="C52" s="27"/>
      <c r="D52" s="27"/>
      <c r="E52" s="27"/>
      <c r="F52" s="31" t="b">
        <f t="shared" si="7"/>
        <v>0</v>
      </c>
      <c r="G52" s="32" t="b">
        <f t="shared" si="8"/>
        <v>0</v>
      </c>
      <c r="H52" s="27"/>
      <c r="I52" s="33" t="b">
        <f t="shared" si="2"/>
        <v>0</v>
      </c>
      <c r="J52" s="40" t="e">
        <f t="shared" si="9"/>
        <v>#VALUE!</v>
      </c>
      <c r="K52" s="40" t="e">
        <f t="shared" si="10"/>
        <v>#VALUE!</v>
      </c>
      <c r="L52" s="41" t="e">
        <f t="shared" si="11"/>
        <v>#VALUE!</v>
      </c>
      <c r="M52" s="41" t="e">
        <f t="shared" si="12"/>
        <v>#VALUE!</v>
      </c>
      <c r="N52" s="27"/>
      <c r="O52" s="27"/>
      <c r="P52" s="43"/>
      <c r="Q52" s="2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spans="1:41">
      <c r="A53" s="70"/>
      <c r="B53" s="71"/>
      <c r="C53" s="27"/>
      <c r="D53" s="27"/>
      <c r="E53" s="27"/>
      <c r="F53" s="31" t="b">
        <f t="shared" si="7"/>
        <v>0</v>
      </c>
      <c r="G53" s="32" t="b">
        <f t="shared" si="8"/>
        <v>0</v>
      </c>
      <c r="H53" s="27"/>
      <c r="I53" s="33" t="b">
        <f t="shared" si="2"/>
        <v>0</v>
      </c>
      <c r="J53" s="40" t="e">
        <f t="shared" si="9"/>
        <v>#VALUE!</v>
      </c>
      <c r="K53" s="40" t="e">
        <f t="shared" si="10"/>
        <v>#VALUE!</v>
      </c>
      <c r="L53" s="41" t="e">
        <f t="shared" si="11"/>
        <v>#VALUE!</v>
      </c>
      <c r="M53" s="41" t="e">
        <f t="shared" si="12"/>
        <v>#VALUE!</v>
      </c>
      <c r="N53" s="27"/>
      <c r="O53" s="27"/>
      <c r="P53" s="43"/>
      <c r="Q53" s="2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 spans="1:41">
      <c r="A54" s="70"/>
      <c r="B54" s="71"/>
      <c r="C54" s="27"/>
      <c r="D54" s="27"/>
      <c r="E54" s="27"/>
      <c r="F54" s="31" t="b">
        <f t="shared" si="7"/>
        <v>0</v>
      </c>
      <c r="G54" s="32" t="b">
        <f t="shared" si="8"/>
        <v>0</v>
      </c>
      <c r="H54" s="27"/>
      <c r="I54" s="33" t="b">
        <f t="shared" si="2"/>
        <v>0</v>
      </c>
      <c r="J54" s="40" t="e">
        <f t="shared" si="9"/>
        <v>#VALUE!</v>
      </c>
      <c r="K54" s="40" t="e">
        <f t="shared" si="10"/>
        <v>#VALUE!</v>
      </c>
      <c r="L54" s="41" t="e">
        <f t="shared" si="11"/>
        <v>#VALUE!</v>
      </c>
      <c r="M54" s="41" t="e">
        <f t="shared" si="12"/>
        <v>#VALUE!</v>
      </c>
      <c r="N54" s="27"/>
      <c r="O54" s="27"/>
      <c r="P54" s="43"/>
      <c r="Q54" s="2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 spans="1:41">
      <c r="A55" s="70"/>
      <c r="B55" s="71"/>
      <c r="C55" s="27"/>
      <c r="D55" s="27"/>
      <c r="E55" s="27"/>
      <c r="F55" s="31" t="b">
        <f t="shared" si="7"/>
        <v>0</v>
      </c>
      <c r="G55" s="32" t="b">
        <f t="shared" si="8"/>
        <v>0</v>
      </c>
      <c r="H55" s="27"/>
      <c r="I55" s="33" t="b">
        <f t="shared" si="2"/>
        <v>0</v>
      </c>
      <c r="J55" s="40" t="e">
        <f t="shared" si="9"/>
        <v>#VALUE!</v>
      </c>
      <c r="K55" s="40" t="e">
        <f t="shared" si="10"/>
        <v>#VALUE!</v>
      </c>
      <c r="L55" s="41" t="e">
        <f t="shared" si="11"/>
        <v>#VALUE!</v>
      </c>
      <c r="M55" s="41" t="e">
        <f t="shared" si="12"/>
        <v>#VALUE!</v>
      </c>
      <c r="N55" s="27"/>
      <c r="O55" s="27"/>
      <c r="P55" s="43"/>
      <c r="Q55" s="2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 spans="1:41">
      <c r="A56" s="70"/>
      <c r="B56" s="71"/>
      <c r="C56" s="27"/>
      <c r="D56" s="27"/>
      <c r="E56" s="27"/>
      <c r="F56" s="31" t="b">
        <f t="shared" si="7"/>
        <v>0</v>
      </c>
      <c r="G56" s="32" t="b">
        <f t="shared" si="8"/>
        <v>0</v>
      </c>
      <c r="H56" s="27"/>
      <c r="I56" s="33" t="b">
        <f t="shared" si="2"/>
        <v>0</v>
      </c>
      <c r="J56" s="40" t="e">
        <f t="shared" si="9"/>
        <v>#VALUE!</v>
      </c>
      <c r="K56" s="40" t="e">
        <f t="shared" si="10"/>
        <v>#VALUE!</v>
      </c>
      <c r="L56" s="41" t="e">
        <f t="shared" si="11"/>
        <v>#VALUE!</v>
      </c>
      <c r="M56" s="41" t="e">
        <f t="shared" si="12"/>
        <v>#VALUE!</v>
      </c>
      <c r="N56" s="27"/>
      <c r="O56" s="27"/>
      <c r="P56" s="43"/>
      <c r="Q56" s="2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 spans="1:41">
      <c r="A57" s="70"/>
      <c r="B57" s="71"/>
      <c r="C57" s="27"/>
      <c r="D57" s="27"/>
      <c r="E57" s="27"/>
      <c r="F57" s="31" t="b">
        <f t="shared" si="7"/>
        <v>0</v>
      </c>
      <c r="G57" s="32" t="b">
        <f t="shared" si="8"/>
        <v>0</v>
      </c>
      <c r="H57" s="27"/>
      <c r="I57" s="33" t="b">
        <f t="shared" si="2"/>
        <v>0</v>
      </c>
      <c r="J57" s="40" t="e">
        <f t="shared" si="9"/>
        <v>#VALUE!</v>
      </c>
      <c r="K57" s="40" t="e">
        <f t="shared" si="10"/>
        <v>#VALUE!</v>
      </c>
      <c r="L57" s="41" t="e">
        <f t="shared" si="11"/>
        <v>#VALUE!</v>
      </c>
      <c r="M57" s="41" t="e">
        <f t="shared" si="12"/>
        <v>#VALUE!</v>
      </c>
      <c r="N57" s="27"/>
      <c r="O57" s="27"/>
      <c r="P57" s="43"/>
      <c r="Q57" s="2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 spans="1:41">
      <c r="A58" s="70"/>
      <c r="B58" s="71"/>
      <c r="C58" s="27"/>
      <c r="D58" s="27"/>
      <c r="E58" s="27"/>
      <c r="F58" s="31" t="b">
        <f t="shared" si="7"/>
        <v>0</v>
      </c>
      <c r="G58" s="32" t="b">
        <f t="shared" si="8"/>
        <v>0</v>
      </c>
      <c r="H58" s="27"/>
      <c r="I58" s="33" t="b">
        <f t="shared" si="2"/>
        <v>0</v>
      </c>
      <c r="J58" s="40" t="e">
        <f t="shared" si="9"/>
        <v>#VALUE!</v>
      </c>
      <c r="K58" s="40" t="e">
        <f t="shared" si="10"/>
        <v>#VALUE!</v>
      </c>
      <c r="L58" s="41" t="e">
        <f t="shared" si="11"/>
        <v>#VALUE!</v>
      </c>
      <c r="M58" s="41" t="e">
        <f t="shared" si="12"/>
        <v>#VALUE!</v>
      </c>
      <c r="N58" s="27"/>
      <c r="O58" s="27"/>
      <c r="P58" s="43"/>
      <c r="Q58" s="2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 spans="1:41">
      <c r="A59" s="70"/>
      <c r="B59" s="71"/>
      <c r="C59" s="27"/>
      <c r="D59" s="27"/>
      <c r="E59" s="27"/>
      <c r="F59" s="31" t="b">
        <f t="shared" si="7"/>
        <v>0</v>
      </c>
      <c r="G59" s="32" t="b">
        <f t="shared" si="8"/>
        <v>0</v>
      </c>
      <c r="H59" s="27"/>
      <c r="I59" s="33" t="b">
        <f t="shared" si="2"/>
        <v>0</v>
      </c>
      <c r="J59" s="40" t="e">
        <f t="shared" si="9"/>
        <v>#VALUE!</v>
      </c>
      <c r="K59" s="40" t="e">
        <f t="shared" si="10"/>
        <v>#VALUE!</v>
      </c>
      <c r="L59" s="41" t="e">
        <f t="shared" si="11"/>
        <v>#VALUE!</v>
      </c>
      <c r="M59" s="41" t="e">
        <f t="shared" si="12"/>
        <v>#VALUE!</v>
      </c>
      <c r="N59" s="27"/>
      <c r="O59" s="27"/>
      <c r="P59" s="43"/>
      <c r="Q59" s="2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 spans="1:41">
      <c r="A60" s="70"/>
      <c r="B60" s="71"/>
      <c r="C60" s="27"/>
      <c r="D60" s="27"/>
      <c r="E60" s="27"/>
      <c r="F60" s="31" t="b">
        <f t="shared" si="7"/>
        <v>0</v>
      </c>
      <c r="G60" s="32" t="b">
        <f t="shared" si="8"/>
        <v>0</v>
      </c>
      <c r="H60" s="27"/>
      <c r="I60" s="33" t="b">
        <f t="shared" si="2"/>
        <v>0</v>
      </c>
      <c r="J60" s="40" t="e">
        <f t="shared" si="9"/>
        <v>#VALUE!</v>
      </c>
      <c r="K60" s="40" t="e">
        <f t="shared" si="10"/>
        <v>#VALUE!</v>
      </c>
      <c r="L60" s="41" t="e">
        <f t="shared" si="11"/>
        <v>#VALUE!</v>
      </c>
      <c r="M60" s="41" t="e">
        <f t="shared" si="12"/>
        <v>#VALUE!</v>
      </c>
      <c r="N60" s="27"/>
      <c r="O60" s="27"/>
      <c r="P60" s="43"/>
      <c r="Q60" s="2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 spans="1:41">
      <c r="A61" s="70"/>
      <c r="B61" s="71"/>
      <c r="C61" s="27"/>
      <c r="D61" s="27"/>
      <c r="E61" s="27"/>
      <c r="F61" s="31" t="b">
        <f t="shared" si="7"/>
        <v>0</v>
      </c>
      <c r="G61" s="32" t="b">
        <f t="shared" si="8"/>
        <v>0</v>
      </c>
      <c r="H61" s="27"/>
      <c r="I61" s="33" t="b">
        <f t="shared" si="2"/>
        <v>0</v>
      </c>
      <c r="J61" s="40" t="e">
        <f t="shared" si="9"/>
        <v>#VALUE!</v>
      </c>
      <c r="K61" s="40" t="e">
        <f t="shared" si="10"/>
        <v>#VALUE!</v>
      </c>
      <c r="L61" s="41" t="e">
        <f t="shared" si="11"/>
        <v>#VALUE!</v>
      </c>
      <c r="M61" s="41" t="e">
        <f t="shared" si="12"/>
        <v>#VALUE!</v>
      </c>
      <c r="N61" s="27"/>
      <c r="O61" s="27"/>
      <c r="P61" s="43"/>
      <c r="Q61" s="2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 spans="1:41">
      <c r="A62" s="70"/>
      <c r="B62" s="71"/>
      <c r="C62" s="27"/>
      <c r="D62" s="27"/>
      <c r="E62" s="27"/>
      <c r="F62" s="31" t="b">
        <f t="shared" si="7"/>
        <v>0</v>
      </c>
      <c r="G62" s="32" t="b">
        <f t="shared" si="8"/>
        <v>0</v>
      </c>
      <c r="H62" s="27"/>
      <c r="I62" s="33" t="b">
        <f t="shared" si="2"/>
        <v>0</v>
      </c>
      <c r="J62" s="40" t="e">
        <f t="shared" si="9"/>
        <v>#VALUE!</v>
      </c>
      <c r="K62" s="40" t="e">
        <f t="shared" si="10"/>
        <v>#VALUE!</v>
      </c>
      <c r="L62" s="41" t="e">
        <f t="shared" si="11"/>
        <v>#VALUE!</v>
      </c>
      <c r="M62" s="41" t="e">
        <f t="shared" si="12"/>
        <v>#VALUE!</v>
      </c>
      <c r="N62" s="27"/>
      <c r="O62" s="27"/>
      <c r="P62" s="43"/>
      <c r="Q62" s="2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 spans="1:41">
      <c r="A63" s="70"/>
      <c r="B63" s="71"/>
      <c r="C63" s="27"/>
      <c r="D63" s="27"/>
      <c r="E63" s="27"/>
      <c r="F63" s="31" t="b">
        <f t="shared" si="7"/>
        <v>0</v>
      </c>
      <c r="G63" s="32" t="b">
        <f t="shared" si="8"/>
        <v>0</v>
      </c>
      <c r="H63" s="27"/>
      <c r="I63" s="33" t="b">
        <f t="shared" si="2"/>
        <v>0</v>
      </c>
      <c r="J63" s="40" t="e">
        <f t="shared" si="9"/>
        <v>#VALUE!</v>
      </c>
      <c r="K63" s="40" t="e">
        <f t="shared" si="10"/>
        <v>#VALUE!</v>
      </c>
      <c r="L63" s="41" t="e">
        <f t="shared" si="11"/>
        <v>#VALUE!</v>
      </c>
      <c r="M63" s="41" t="e">
        <f t="shared" si="12"/>
        <v>#VALUE!</v>
      </c>
      <c r="N63" s="27"/>
      <c r="O63" s="27"/>
      <c r="P63" s="43"/>
      <c r="Q63" s="2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 spans="1:41">
      <c r="A64" s="70"/>
      <c r="B64" s="71"/>
      <c r="C64" s="27"/>
      <c r="D64" s="27"/>
      <c r="E64" s="27"/>
      <c r="F64" s="31" t="b">
        <f t="shared" si="7"/>
        <v>0</v>
      </c>
      <c r="G64" s="32" t="b">
        <f t="shared" si="8"/>
        <v>0</v>
      </c>
      <c r="H64" s="27"/>
      <c r="I64" s="33" t="b">
        <f t="shared" si="2"/>
        <v>0</v>
      </c>
      <c r="J64" s="40" t="e">
        <f t="shared" si="9"/>
        <v>#VALUE!</v>
      </c>
      <c r="K64" s="40" t="e">
        <f t="shared" si="10"/>
        <v>#VALUE!</v>
      </c>
      <c r="L64" s="41" t="e">
        <f t="shared" si="11"/>
        <v>#VALUE!</v>
      </c>
      <c r="M64" s="41" t="e">
        <f t="shared" si="12"/>
        <v>#VALUE!</v>
      </c>
      <c r="N64" s="27"/>
      <c r="O64" s="27"/>
      <c r="P64" s="43"/>
      <c r="Q64" s="2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 spans="1:41">
      <c r="A65" s="70"/>
      <c r="B65" s="71"/>
      <c r="C65" s="27"/>
      <c r="D65" s="27"/>
      <c r="E65" s="27"/>
      <c r="F65" s="31" t="b">
        <f t="shared" si="7"/>
        <v>0</v>
      </c>
      <c r="G65" s="32" t="b">
        <f t="shared" si="8"/>
        <v>0</v>
      </c>
      <c r="H65" s="27"/>
      <c r="I65" s="33" t="b">
        <f t="shared" si="2"/>
        <v>0</v>
      </c>
      <c r="J65" s="40" t="e">
        <f t="shared" si="9"/>
        <v>#VALUE!</v>
      </c>
      <c r="K65" s="40" t="e">
        <f t="shared" si="10"/>
        <v>#VALUE!</v>
      </c>
      <c r="L65" s="41" t="e">
        <f t="shared" si="11"/>
        <v>#VALUE!</v>
      </c>
      <c r="M65" s="41" t="e">
        <f t="shared" si="12"/>
        <v>#VALUE!</v>
      </c>
      <c r="N65" s="27"/>
      <c r="O65" s="27"/>
      <c r="P65" s="43"/>
      <c r="Q65" s="2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</row>
    <row r="66" spans="1:41">
      <c r="A66" s="70"/>
      <c r="B66" s="71"/>
      <c r="C66" s="27"/>
      <c r="D66" s="27"/>
      <c r="E66" s="27"/>
      <c r="F66" s="31" t="b">
        <f t="shared" si="7"/>
        <v>0</v>
      </c>
      <c r="G66" s="32" t="b">
        <f t="shared" si="8"/>
        <v>0</v>
      </c>
      <c r="H66" s="27"/>
      <c r="I66" s="33" t="b">
        <f t="shared" si="2"/>
        <v>0</v>
      </c>
      <c r="J66" s="40" t="e">
        <f t="shared" si="9"/>
        <v>#VALUE!</v>
      </c>
      <c r="K66" s="40" t="e">
        <f t="shared" si="10"/>
        <v>#VALUE!</v>
      </c>
      <c r="L66" s="41" t="e">
        <f t="shared" si="11"/>
        <v>#VALUE!</v>
      </c>
      <c r="M66" s="41" t="e">
        <f t="shared" si="12"/>
        <v>#VALUE!</v>
      </c>
      <c r="N66" s="27"/>
      <c r="O66" s="27"/>
      <c r="P66" s="43"/>
      <c r="Q66" s="2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</row>
    <row r="67" spans="1:41">
      <c r="A67" s="70"/>
      <c r="B67" s="71"/>
      <c r="C67" s="27"/>
      <c r="D67" s="27"/>
      <c r="E67" s="27"/>
      <c r="F67" s="31" t="b">
        <f t="shared" ref="F67:F101" si="13">IF(B67="BUY",(C67*(1-1.25%)),IF(B67="SELL",(C67*(1+1.25%))))</f>
        <v>0</v>
      </c>
      <c r="G67" s="32" t="b">
        <f t="shared" ref="G67:G101" si="14">IF(B67="BUY","2DLL",IF(B67="SELL","2DHH"))</f>
        <v>0</v>
      </c>
      <c r="H67" s="27"/>
      <c r="I67" s="33" t="b">
        <f t="shared" si="2"/>
        <v>0</v>
      </c>
      <c r="J67" s="40" t="e">
        <f t="shared" ref="J67:J98" si="15">MROUND(IF(B67="BUY",MAX(F67,I67),IF(B67="SELL",MIN(F67,I67))),0.05)</f>
        <v>#VALUE!</v>
      </c>
      <c r="K67" s="40" t="e">
        <f t="shared" ref="K67:K98" si="16">MROUND(IF(B67="BUY",(J67*(1-0.05%)),IF(B67="SELL",(J67*(1+0.05%)))),0.05)</f>
        <v>#VALUE!</v>
      </c>
      <c r="L67" s="41" t="e">
        <f t="shared" ref="L67:L101" si="17">MROUND(IF(B67="BUY",MAX(C67,I67),IF(B67="SELL",MIN(C67,I67))),0.05)</f>
        <v>#VALUE!</v>
      </c>
      <c r="M67" s="41" t="e">
        <f t="shared" ref="M67:M98" si="18">MROUND(IF(B67="BUY",(L67*(1-0.05%)),IF(B67="SELL",(L67*(1+0.05%)))),0.05)</f>
        <v>#VALUE!</v>
      </c>
      <c r="N67" s="27"/>
      <c r="O67" s="27"/>
      <c r="P67" s="43"/>
      <c r="Q67" s="2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 spans="1:41">
      <c r="A68" s="70"/>
      <c r="B68" s="71"/>
      <c r="C68" s="27"/>
      <c r="D68" s="27"/>
      <c r="E68" s="27"/>
      <c r="F68" s="31" t="b">
        <f t="shared" si="13"/>
        <v>0</v>
      </c>
      <c r="G68" s="32" t="b">
        <f t="shared" si="14"/>
        <v>0</v>
      </c>
      <c r="H68" s="27"/>
      <c r="I68" s="33" t="b">
        <f t="shared" si="2"/>
        <v>0</v>
      </c>
      <c r="J68" s="40" t="e">
        <f t="shared" si="15"/>
        <v>#VALUE!</v>
      </c>
      <c r="K68" s="40" t="e">
        <f t="shared" si="16"/>
        <v>#VALUE!</v>
      </c>
      <c r="L68" s="41" t="e">
        <f t="shared" si="17"/>
        <v>#VALUE!</v>
      </c>
      <c r="M68" s="41" t="e">
        <f t="shared" si="18"/>
        <v>#VALUE!</v>
      </c>
      <c r="N68" s="27"/>
      <c r="O68" s="27"/>
      <c r="P68" s="43"/>
      <c r="Q68" s="2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 spans="1:41">
      <c r="A69" s="70"/>
      <c r="B69" s="71"/>
      <c r="C69" s="27"/>
      <c r="D69" s="27"/>
      <c r="E69" s="27"/>
      <c r="F69" s="31" t="b">
        <f t="shared" si="13"/>
        <v>0</v>
      </c>
      <c r="G69" s="32" t="b">
        <f t="shared" si="14"/>
        <v>0</v>
      </c>
      <c r="H69" s="27"/>
      <c r="I69" s="33" t="b">
        <f t="shared" si="2"/>
        <v>0</v>
      </c>
      <c r="J69" s="40" t="e">
        <f t="shared" si="15"/>
        <v>#VALUE!</v>
      </c>
      <c r="K69" s="40" t="e">
        <f t="shared" si="16"/>
        <v>#VALUE!</v>
      </c>
      <c r="L69" s="41" t="e">
        <f t="shared" si="17"/>
        <v>#VALUE!</v>
      </c>
      <c r="M69" s="41" t="e">
        <f t="shared" si="18"/>
        <v>#VALUE!</v>
      </c>
      <c r="N69" s="27"/>
      <c r="O69" s="27"/>
      <c r="P69" s="43"/>
      <c r="Q69" s="2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 spans="1:41">
      <c r="A70" s="70"/>
      <c r="B70" s="71"/>
      <c r="C70" s="27"/>
      <c r="D70" s="27"/>
      <c r="E70" s="27"/>
      <c r="F70" s="31" t="b">
        <f t="shared" si="13"/>
        <v>0</v>
      </c>
      <c r="G70" s="32" t="b">
        <f t="shared" si="14"/>
        <v>0</v>
      </c>
      <c r="H70" s="27"/>
      <c r="I70" s="33" t="b">
        <f t="shared" si="2"/>
        <v>0</v>
      </c>
      <c r="J70" s="40" t="e">
        <f t="shared" si="15"/>
        <v>#VALUE!</v>
      </c>
      <c r="K70" s="40" t="e">
        <f t="shared" si="16"/>
        <v>#VALUE!</v>
      </c>
      <c r="L70" s="41" t="e">
        <f t="shared" si="17"/>
        <v>#VALUE!</v>
      </c>
      <c r="M70" s="41" t="e">
        <f t="shared" si="18"/>
        <v>#VALUE!</v>
      </c>
      <c r="N70" s="27"/>
      <c r="O70" s="27"/>
      <c r="P70" s="43"/>
      <c r="Q70" s="2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 spans="1:41">
      <c r="A71" s="70"/>
      <c r="B71" s="71"/>
      <c r="C71" s="27"/>
      <c r="D71" s="27"/>
      <c r="E71" s="27"/>
      <c r="F71" s="31" t="b">
        <f t="shared" si="13"/>
        <v>0</v>
      </c>
      <c r="G71" s="32" t="b">
        <f t="shared" si="14"/>
        <v>0</v>
      </c>
      <c r="H71" s="27"/>
      <c r="I71" s="33" t="b">
        <f t="shared" si="2"/>
        <v>0</v>
      </c>
      <c r="J71" s="40" t="e">
        <f t="shared" si="15"/>
        <v>#VALUE!</v>
      </c>
      <c r="K71" s="40" t="e">
        <f t="shared" si="16"/>
        <v>#VALUE!</v>
      </c>
      <c r="L71" s="41" t="e">
        <f t="shared" si="17"/>
        <v>#VALUE!</v>
      </c>
      <c r="M71" s="41" t="e">
        <f t="shared" si="18"/>
        <v>#VALUE!</v>
      </c>
      <c r="N71" s="27"/>
      <c r="O71" s="27"/>
      <c r="P71" s="43"/>
      <c r="Q71" s="2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 spans="1:41">
      <c r="A72" s="70"/>
      <c r="B72" s="71"/>
      <c r="C72" s="27"/>
      <c r="D72" s="27"/>
      <c r="E72" s="27"/>
      <c r="F72" s="31" t="b">
        <f t="shared" si="13"/>
        <v>0</v>
      </c>
      <c r="G72" s="32" t="b">
        <f t="shared" si="14"/>
        <v>0</v>
      </c>
      <c r="H72" s="27"/>
      <c r="I72" s="33" t="b">
        <f t="shared" si="2"/>
        <v>0</v>
      </c>
      <c r="J72" s="40" t="e">
        <f t="shared" si="15"/>
        <v>#VALUE!</v>
      </c>
      <c r="K72" s="40" t="e">
        <f t="shared" si="16"/>
        <v>#VALUE!</v>
      </c>
      <c r="L72" s="41" t="e">
        <f t="shared" si="17"/>
        <v>#VALUE!</v>
      </c>
      <c r="M72" s="41" t="e">
        <f t="shared" si="18"/>
        <v>#VALUE!</v>
      </c>
      <c r="N72" s="27"/>
      <c r="O72" s="27"/>
      <c r="P72" s="43"/>
      <c r="Q72" s="2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 spans="1:41">
      <c r="A73" s="70"/>
      <c r="B73" s="71"/>
      <c r="C73" s="27"/>
      <c r="D73" s="27"/>
      <c r="E73" s="27"/>
      <c r="F73" s="31" t="b">
        <f t="shared" si="13"/>
        <v>0</v>
      </c>
      <c r="G73" s="32" t="b">
        <f t="shared" si="14"/>
        <v>0</v>
      </c>
      <c r="H73" s="27"/>
      <c r="I73" s="33" t="b">
        <f t="shared" si="2"/>
        <v>0</v>
      </c>
      <c r="J73" s="40" t="e">
        <f t="shared" si="15"/>
        <v>#VALUE!</v>
      </c>
      <c r="K73" s="40" t="e">
        <f t="shared" si="16"/>
        <v>#VALUE!</v>
      </c>
      <c r="L73" s="41" t="e">
        <f t="shared" si="17"/>
        <v>#VALUE!</v>
      </c>
      <c r="M73" s="41" t="e">
        <f t="shared" si="18"/>
        <v>#VALUE!</v>
      </c>
      <c r="N73" s="27"/>
      <c r="O73" s="27"/>
      <c r="P73" s="43"/>
      <c r="Q73" s="2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 spans="1:41">
      <c r="A74" s="70"/>
      <c r="B74" s="71"/>
      <c r="C74" s="27"/>
      <c r="D74" s="27"/>
      <c r="E74" s="27"/>
      <c r="F74" s="31" t="b">
        <f t="shared" si="13"/>
        <v>0</v>
      </c>
      <c r="G74" s="32" t="b">
        <f t="shared" si="14"/>
        <v>0</v>
      </c>
      <c r="H74" s="27"/>
      <c r="I74" s="33" t="b">
        <f t="shared" si="2"/>
        <v>0</v>
      </c>
      <c r="J74" s="40" t="e">
        <f t="shared" si="15"/>
        <v>#VALUE!</v>
      </c>
      <c r="K74" s="40" t="e">
        <f t="shared" si="16"/>
        <v>#VALUE!</v>
      </c>
      <c r="L74" s="41" t="e">
        <f t="shared" si="17"/>
        <v>#VALUE!</v>
      </c>
      <c r="M74" s="41" t="e">
        <f t="shared" si="18"/>
        <v>#VALUE!</v>
      </c>
      <c r="N74" s="27"/>
      <c r="O74" s="27"/>
      <c r="P74" s="43"/>
      <c r="Q74" s="2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</row>
    <row r="75" spans="1:41">
      <c r="A75" s="70"/>
      <c r="B75" s="71"/>
      <c r="C75" s="27"/>
      <c r="D75" s="27"/>
      <c r="E75" s="27"/>
      <c r="F75" s="31" t="b">
        <f t="shared" si="13"/>
        <v>0</v>
      </c>
      <c r="G75" s="32" t="b">
        <f t="shared" si="14"/>
        <v>0</v>
      </c>
      <c r="H75" s="27"/>
      <c r="I75" s="33" t="b">
        <f t="shared" si="2"/>
        <v>0</v>
      </c>
      <c r="J75" s="40" t="e">
        <f t="shared" si="15"/>
        <v>#VALUE!</v>
      </c>
      <c r="K75" s="40" t="e">
        <f t="shared" si="16"/>
        <v>#VALUE!</v>
      </c>
      <c r="L75" s="41" t="e">
        <f t="shared" si="17"/>
        <v>#VALUE!</v>
      </c>
      <c r="M75" s="41" t="e">
        <f t="shared" si="18"/>
        <v>#VALUE!</v>
      </c>
      <c r="N75" s="27"/>
      <c r="O75" s="27"/>
      <c r="P75" s="43"/>
      <c r="Q75" s="2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</row>
    <row r="76" spans="1:41">
      <c r="A76" s="70"/>
      <c r="B76" s="71"/>
      <c r="C76" s="27"/>
      <c r="D76" s="27"/>
      <c r="E76" s="27"/>
      <c r="F76" s="31" t="b">
        <f t="shared" si="13"/>
        <v>0</v>
      </c>
      <c r="G76" s="32" t="b">
        <f t="shared" si="14"/>
        <v>0</v>
      </c>
      <c r="H76" s="27"/>
      <c r="I76" s="33" t="b">
        <f t="shared" si="2"/>
        <v>0</v>
      </c>
      <c r="J76" s="40" t="e">
        <f t="shared" si="15"/>
        <v>#VALUE!</v>
      </c>
      <c r="K76" s="40" t="e">
        <f t="shared" si="16"/>
        <v>#VALUE!</v>
      </c>
      <c r="L76" s="41" t="e">
        <f t="shared" si="17"/>
        <v>#VALUE!</v>
      </c>
      <c r="M76" s="41" t="e">
        <f t="shared" si="18"/>
        <v>#VALUE!</v>
      </c>
      <c r="N76" s="27"/>
      <c r="O76" s="27"/>
      <c r="P76" s="43"/>
      <c r="Q76" s="2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</row>
    <row r="77" spans="1:41">
      <c r="A77" s="70"/>
      <c r="B77" s="71"/>
      <c r="C77" s="27"/>
      <c r="D77" s="27"/>
      <c r="E77" s="27"/>
      <c r="F77" s="31" t="b">
        <f t="shared" si="13"/>
        <v>0</v>
      </c>
      <c r="G77" s="32" t="b">
        <f t="shared" si="14"/>
        <v>0</v>
      </c>
      <c r="H77" s="27"/>
      <c r="I77" s="33" t="b">
        <f t="shared" si="2"/>
        <v>0</v>
      </c>
      <c r="J77" s="40" t="e">
        <f t="shared" si="15"/>
        <v>#VALUE!</v>
      </c>
      <c r="K77" s="40" t="e">
        <f t="shared" si="16"/>
        <v>#VALUE!</v>
      </c>
      <c r="L77" s="41" t="e">
        <f t="shared" si="17"/>
        <v>#VALUE!</v>
      </c>
      <c r="M77" s="41" t="e">
        <f t="shared" si="18"/>
        <v>#VALUE!</v>
      </c>
      <c r="N77" s="27"/>
      <c r="O77" s="27"/>
      <c r="P77" s="43"/>
      <c r="Q77" s="2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</row>
    <row r="78" spans="1:41">
      <c r="A78" s="70"/>
      <c r="B78" s="71"/>
      <c r="C78" s="27"/>
      <c r="D78" s="27"/>
      <c r="E78" s="27"/>
      <c r="F78" s="31" t="b">
        <f t="shared" si="13"/>
        <v>0</v>
      </c>
      <c r="G78" s="32" t="b">
        <f t="shared" si="14"/>
        <v>0</v>
      </c>
      <c r="H78" s="27"/>
      <c r="I78" s="33" t="b">
        <f t="shared" si="2"/>
        <v>0</v>
      </c>
      <c r="J78" s="40" t="e">
        <f t="shared" si="15"/>
        <v>#VALUE!</v>
      </c>
      <c r="K78" s="40" t="e">
        <f t="shared" si="16"/>
        <v>#VALUE!</v>
      </c>
      <c r="L78" s="41" t="e">
        <f t="shared" si="17"/>
        <v>#VALUE!</v>
      </c>
      <c r="M78" s="41" t="e">
        <f t="shared" si="18"/>
        <v>#VALUE!</v>
      </c>
      <c r="N78" s="27"/>
      <c r="O78" s="27"/>
      <c r="P78" s="43"/>
      <c r="Q78" s="2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spans="1:41">
      <c r="A79" s="70"/>
      <c r="B79" s="71"/>
      <c r="C79" s="27"/>
      <c r="D79" s="27"/>
      <c r="E79" s="27"/>
      <c r="F79" s="31" t="b">
        <f t="shared" si="13"/>
        <v>0</v>
      </c>
      <c r="G79" s="32" t="b">
        <f t="shared" si="14"/>
        <v>0</v>
      </c>
      <c r="H79" s="27"/>
      <c r="I79" s="33" t="b">
        <f t="shared" si="2"/>
        <v>0</v>
      </c>
      <c r="J79" s="40" t="e">
        <f t="shared" si="15"/>
        <v>#VALUE!</v>
      </c>
      <c r="K79" s="40" t="e">
        <f t="shared" si="16"/>
        <v>#VALUE!</v>
      </c>
      <c r="L79" s="41" t="e">
        <f t="shared" si="17"/>
        <v>#VALUE!</v>
      </c>
      <c r="M79" s="41" t="e">
        <f t="shared" si="18"/>
        <v>#VALUE!</v>
      </c>
      <c r="N79" s="27"/>
      <c r="O79" s="27"/>
      <c r="P79" s="43"/>
      <c r="Q79" s="2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spans="1:41">
      <c r="A80" s="70"/>
      <c r="B80" s="71"/>
      <c r="C80" s="27"/>
      <c r="D80" s="27"/>
      <c r="E80" s="27"/>
      <c r="F80" s="31" t="b">
        <f t="shared" si="13"/>
        <v>0</v>
      </c>
      <c r="G80" s="32" t="b">
        <f t="shared" si="14"/>
        <v>0</v>
      </c>
      <c r="H80" s="27"/>
      <c r="I80" s="33" t="b">
        <f t="shared" si="2"/>
        <v>0</v>
      </c>
      <c r="J80" s="40" t="e">
        <f t="shared" si="15"/>
        <v>#VALUE!</v>
      </c>
      <c r="K80" s="40" t="e">
        <f t="shared" si="16"/>
        <v>#VALUE!</v>
      </c>
      <c r="L80" s="41" t="e">
        <f t="shared" si="17"/>
        <v>#VALUE!</v>
      </c>
      <c r="M80" s="41" t="e">
        <f t="shared" si="18"/>
        <v>#VALUE!</v>
      </c>
      <c r="N80" s="27"/>
      <c r="O80" s="27"/>
      <c r="P80" s="43"/>
      <c r="Q80" s="2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spans="1:41">
      <c r="A81" s="70"/>
      <c r="B81" s="71"/>
      <c r="C81" s="27"/>
      <c r="D81" s="27"/>
      <c r="E81" s="27"/>
      <c r="F81" s="31" t="b">
        <f t="shared" si="13"/>
        <v>0</v>
      </c>
      <c r="G81" s="32" t="b">
        <f t="shared" si="14"/>
        <v>0</v>
      </c>
      <c r="H81" s="27"/>
      <c r="I81" s="33" t="b">
        <f t="shared" si="2"/>
        <v>0</v>
      </c>
      <c r="J81" s="40" t="e">
        <f t="shared" si="15"/>
        <v>#VALUE!</v>
      </c>
      <c r="K81" s="40" t="e">
        <f t="shared" si="16"/>
        <v>#VALUE!</v>
      </c>
      <c r="L81" s="41" t="e">
        <f t="shared" si="17"/>
        <v>#VALUE!</v>
      </c>
      <c r="M81" s="41" t="e">
        <f t="shared" si="18"/>
        <v>#VALUE!</v>
      </c>
      <c r="N81" s="27"/>
      <c r="O81" s="27"/>
      <c r="P81" s="43"/>
      <c r="Q81" s="2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</row>
    <row r="82" spans="1:41">
      <c r="A82" s="70"/>
      <c r="B82" s="71"/>
      <c r="C82" s="27"/>
      <c r="D82" s="27"/>
      <c r="E82" s="27"/>
      <c r="F82" s="31" t="b">
        <f t="shared" si="13"/>
        <v>0</v>
      </c>
      <c r="G82" s="32" t="b">
        <f t="shared" si="14"/>
        <v>0</v>
      </c>
      <c r="H82" s="27"/>
      <c r="I82" s="33" t="b">
        <f t="shared" si="2"/>
        <v>0</v>
      </c>
      <c r="J82" s="40" t="e">
        <f t="shared" si="15"/>
        <v>#VALUE!</v>
      </c>
      <c r="K82" s="40" t="e">
        <f t="shared" si="16"/>
        <v>#VALUE!</v>
      </c>
      <c r="L82" s="41" t="e">
        <f t="shared" si="17"/>
        <v>#VALUE!</v>
      </c>
      <c r="M82" s="41" t="e">
        <f t="shared" si="18"/>
        <v>#VALUE!</v>
      </c>
      <c r="N82" s="27"/>
      <c r="O82" s="27"/>
      <c r="P82" s="43"/>
      <c r="Q82" s="2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</row>
    <row r="83" spans="1:41">
      <c r="A83" s="70"/>
      <c r="B83" s="71"/>
      <c r="C83" s="27"/>
      <c r="D83" s="27"/>
      <c r="E83" s="27"/>
      <c r="F83" s="31" t="b">
        <f t="shared" si="13"/>
        <v>0</v>
      </c>
      <c r="G83" s="32" t="b">
        <f t="shared" si="14"/>
        <v>0</v>
      </c>
      <c r="H83" s="27"/>
      <c r="I83" s="33" t="b">
        <f t="shared" si="2"/>
        <v>0</v>
      </c>
      <c r="J83" s="40" t="e">
        <f t="shared" si="15"/>
        <v>#VALUE!</v>
      </c>
      <c r="K83" s="40" t="e">
        <f t="shared" si="16"/>
        <v>#VALUE!</v>
      </c>
      <c r="L83" s="41" t="e">
        <f t="shared" si="17"/>
        <v>#VALUE!</v>
      </c>
      <c r="M83" s="41" t="e">
        <f t="shared" si="18"/>
        <v>#VALUE!</v>
      </c>
      <c r="N83" s="27"/>
      <c r="O83" s="27"/>
      <c r="P83" s="43"/>
      <c r="Q83" s="2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</row>
    <row r="84" spans="1:41">
      <c r="A84" s="70"/>
      <c r="B84" s="71"/>
      <c r="C84" s="27"/>
      <c r="D84" s="27"/>
      <c r="E84" s="27"/>
      <c r="F84" s="31" t="b">
        <f t="shared" si="13"/>
        <v>0</v>
      </c>
      <c r="G84" s="32" t="b">
        <f t="shared" si="14"/>
        <v>0</v>
      </c>
      <c r="H84" s="27"/>
      <c r="I84" s="33" t="b">
        <f t="shared" si="2"/>
        <v>0</v>
      </c>
      <c r="J84" s="40" t="e">
        <f t="shared" si="15"/>
        <v>#VALUE!</v>
      </c>
      <c r="K84" s="40" t="e">
        <f t="shared" si="16"/>
        <v>#VALUE!</v>
      </c>
      <c r="L84" s="41" t="e">
        <f t="shared" si="17"/>
        <v>#VALUE!</v>
      </c>
      <c r="M84" s="41" t="e">
        <f t="shared" si="18"/>
        <v>#VALUE!</v>
      </c>
      <c r="N84" s="27"/>
      <c r="O84" s="27"/>
      <c r="P84" s="43"/>
      <c r="Q84" s="2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</row>
    <row r="85" spans="1:41">
      <c r="A85" s="70"/>
      <c r="B85" s="71"/>
      <c r="C85" s="27"/>
      <c r="D85" s="27"/>
      <c r="E85" s="27"/>
      <c r="F85" s="31" t="b">
        <f t="shared" si="13"/>
        <v>0</v>
      </c>
      <c r="G85" s="32" t="b">
        <f t="shared" si="14"/>
        <v>0</v>
      </c>
      <c r="H85" s="27"/>
      <c r="I85" s="33" t="b">
        <f t="shared" si="2"/>
        <v>0</v>
      </c>
      <c r="J85" s="40" t="e">
        <f t="shared" si="15"/>
        <v>#VALUE!</v>
      </c>
      <c r="K85" s="40" t="e">
        <f t="shared" si="16"/>
        <v>#VALUE!</v>
      </c>
      <c r="L85" s="41" t="e">
        <f t="shared" si="17"/>
        <v>#VALUE!</v>
      </c>
      <c r="M85" s="41" t="e">
        <f t="shared" si="18"/>
        <v>#VALUE!</v>
      </c>
      <c r="N85" s="27"/>
      <c r="O85" s="27"/>
      <c r="P85" s="43"/>
      <c r="Q85" s="2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</row>
    <row r="86" spans="1:41">
      <c r="A86" s="70"/>
      <c r="B86" s="71"/>
      <c r="C86" s="27"/>
      <c r="D86" s="27"/>
      <c r="E86" s="27"/>
      <c r="F86" s="31" t="b">
        <f t="shared" si="13"/>
        <v>0</v>
      </c>
      <c r="G86" s="32" t="b">
        <f t="shared" si="14"/>
        <v>0</v>
      </c>
      <c r="H86" s="27"/>
      <c r="I86" s="33" t="b">
        <f t="shared" si="2"/>
        <v>0</v>
      </c>
      <c r="J86" s="40" t="e">
        <f t="shared" si="15"/>
        <v>#VALUE!</v>
      </c>
      <c r="K86" s="40" t="e">
        <f t="shared" si="16"/>
        <v>#VALUE!</v>
      </c>
      <c r="L86" s="41" t="e">
        <f t="shared" si="17"/>
        <v>#VALUE!</v>
      </c>
      <c r="M86" s="41" t="e">
        <f t="shared" si="18"/>
        <v>#VALUE!</v>
      </c>
      <c r="N86" s="27"/>
      <c r="O86" s="27"/>
      <c r="P86" s="43"/>
      <c r="Q86" s="2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</row>
    <row r="87" spans="1:41">
      <c r="A87" s="70"/>
      <c r="B87" s="71"/>
      <c r="C87" s="27"/>
      <c r="D87" s="27"/>
      <c r="E87" s="27"/>
      <c r="F87" s="31" t="b">
        <f t="shared" si="13"/>
        <v>0</v>
      </c>
      <c r="G87" s="32" t="b">
        <f t="shared" si="14"/>
        <v>0</v>
      </c>
      <c r="H87" s="27"/>
      <c r="I87" s="33" t="b">
        <f t="shared" si="2"/>
        <v>0</v>
      </c>
      <c r="J87" s="40" t="e">
        <f t="shared" si="15"/>
        <v>#VALUE!</v>
      </c>
      <c r="K87" s="40" t="e">
        <f t="shared" si="16"/>
        <v>#VALUE!</v>
      </c>
      <c r="L87" s="41" t="e">
        <f t="shared" si="17"/>
        <v>#VALUE!</v>
      </c>
      <c r="M87" s="41" t="e">
        <f t="shared" si="18"/>
        <v>#VALUE!</v>
      </c>
      <c r="N87" s="27"/>
      <c r="O87" s="27"/>
      <c r="P87" s="43"/>
      <c r="Q87" s="2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</row>
    <row r="88" spans="1:41">
      <c r="A88" s="70"/>
      <c r="B88" s="71"/>
      <c r="C88" s="27"/>
      <c r="D88" s="27"/>
      <c r="E88" s="27"/>
      <c r="F88" s="31" t="b">
        <f t="shared" si="13"/>
        <v>0</v>
      </c>
      <c r="G88" s="32" t="b">
        <f t="shared" si="14"/>
        <v>0</v>
      </c>
      <c r="H88" s="27"/>
      <c r="I88" s="33" t="b">
        <f t="shared" si="2"/>
        <v>0</v>
      </c>
      <c r="J88" s="40" t="e">
        <f t="shared" si="15"/>
        <v>#VALUE!</v>
      </c>
      <c r="K88" s="40" t="e">
        <f t="shared" si="16"/>
        <v>#VALUE!</v>
      </c>
      <c r="L88" s="41" t="e">
        <f t="shared" si="17"/>
        <v>#VALUE!</v>
      </c>
      <c r="M88" s="41" t="e">
        <f t="shared" si="18"/>
        <v>#VALUE!</v>
      </c>
      <c r="N88" s="27"/>
      <c r="O88" s="27"/>
      <c r="P88" s="43"/>
      <c r="Q88" s="2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</row>
    <row r="89" spans="1:41">
      <c r="A89" s="70"/>
      <c r="B89" s="71"/>
      <c r="C89" s="27"/>
      <c r="D89" s="27"/>
      <c r="E89" s="27"/>
      <c r="F89" s="31" t="b">
        <f t="shared" si="13"/>
        <v>0</v>
      </c>
      <c r="G89" s="32" t="b">
        <f t="shared" si="14"/>
        <v>0</v>
      </c>
      <c r="H89" s="27"/>
      <c r="I89" s="33" t="b">
        <f t="shared" si="2"/>
        <v>0</v>
      </c>
      <c r="J89" s="40" t="e">
        <f t="shared" si="15"/>
        <v>#VALUE!</v>
      </c>
      <c r="K89" s="40" t="e">
        <f t="shared" si="16"/>
        <v>#VALUE!</v>
      </c>
      <c r="L89" s="41" t="e">
        <f t="shared" si="17"/>
        <v>#VALUE!</v>
      </c>
      <c r="M89" s="41" t="e">
        <f t="shared" si="18"/>
        <v>#VALUE!</v>
      </c>
      <c r="N89" s="27"/>
      <c r="O89" s="27"/>
      <c r="P89" s="43"/>
      <c r="Q89" s="2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</row>
    <row r="90" spans="1:41">
      <c r="A90" s="70"/>
      <c r="B90" s="71"/>
      <c r="C90" s="27"/>
      <c r="D90" s="27"/>
      <c r="E90" s="27"/>
      <c r="F90" s="31" t="b">
        <f t="shared" si="13"/>
        <v>0</v>
      </c>
      <c r="G90" s="32" t="b">
        <f t="shared" si="14"/>
        <v>0</v>
      </c>
      <c r="H90" s="27"/>
      <c r="I90" s="33" t="b">
        <f t="shared" si="2"/>
        <v>0</v>
      </c>
      <c r="J90" s="40" t="e">
        <f t="shared" si="15"/>
        <v>#VALUE!</v>
      </c>
      <c r="K90" s="40" t="e">
        <f t="shared" si="16"/>
        <v>#VALUE!</v>
      </c>
      <c r="L90" s="41" t="e">
        <f t="shared" si="17"/>
        <v>#VALUE!</v>
      </c>
      <c r="M90" s="41" t="e">
        <f t="shared" si="18"/>
        <v>#VALUE!</v>
      </c>
      <c r="N90" s="27"/>
      <c r="O90" s="27"/>
      <c r="P90" s="43"/>
      <c r="Q90" s="2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</row>
    <row r="91" spans="1:41">
      <c r="A91" s="70"/>
      <c r="B91" s="71"/>
      <c r="C91" s="27"/>
      <c r="D91" s="27"/>
      <c r="E91" s="27"/>
      <c r="F91" s="31" t="b">
        <f t="shared" si="13"/>
        <v>0</v>
      </c>
      <c r="G91" s="32" t="b">
        <f t="shared" si="14"/>
        <v>0</v>
      </c>
      <c r="H91" s="27"/>
      <c r="I91" s="33" t="b">
        <f t="shared" si="2"/>
        <v>0</v>
      </c>
      <c r="J91" s="40" t="e">
        <f t="shared" si="15"/>
        <v>#VALUE!</v>
      </c>
      <c r="K91" s="40" t="e">
        <f t="shared" si="16"/>
        <v>#VALUE!</v>
      </c>
      <c r="L91" s="41" t="e">
        <f t="shared" si="17"/>
        <v>#VALUE!</v>
      </c>
      <c r="M91" s="41" t="e">
        <f t="shared" si="18"/>
        <v>#VALUE!</v>
      </c>
      <c r="N91" s="27"/>
      <c r="O91" s="27"/>
      <c r="P91" s="43"/>
      <c r="Q91" s="2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</row>
    <row r="92" spans="1:41">
      <c r="A92" s="70"/>
      <c r="B92" s="71"/>
      <c r="C92" s="27"/>
      <c r="D92" s="27"/>
      <c r="E92" s="27"/>
      <c r="F92" s="31" t="b">
        <f t="shared" si="13"/>
        <v>0</v>
      </c>
      <c r="G92" s="32" t="b">
        <f t="shared" si="14"/>
        <v>0</v>
      </c>
      <c r="H92" s="27"/>
      <c r="I92" s="33" t="b">
        <f t="shared" si="2"/>
        <v>0</v>
      </c>
      <c r="J92" s="40" t="e">
        <f t="shared" si="15"/>
        <v>#VALUE!</v>
      </c>
      <c r="K92" s="40" t="e">
        <f t="shared" si="16"/>
        <v>#VALUE!</v>
      </c>
      <c r="L92" s="41" t="e">
        <f t="shared" si="17"/>
        <v>#VALUE!</v>
      </c>
      <c r="M92" s="41" t="e">
        <f t="shared" si="18"/>
        <v>#VALUE!</v>
      </c>
      <c r="N92" s="27"/>
      <c r="O92" s="27"/>
      <c r="P92" s="43"/>
      <c r="Q92" s="2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</row>
    <row r="93" spans="1:41">
      <c r="A93" s="70"/>
      <c r="B93" s="71"/>
      <c r="C93" s="27"/>
      <c r="D93" s="27"/>
      <c r="E93" s="27"/>
      <c r="F93" s="31" t="b">
        <f t="shared" si="13"/>
        <v>0</v>
      </c>
      <c r="G93" s="32" t="b">
        <f t="shared" si="14"/>
        <v>0</v>
      </c>
      <c r="H93" s="27"/>
      <c r="I93" s="33" t="b">
        <f t="shared" si="2"/>
        <v>0</v>
      </c>
      <c r="J93" s="40" t="e">
        <f t="shared" si="15"/>
        <v>#VALUE!</v>
      </c>
      <c r="K93" s="40" t="e">
        <f t="shared" si="16"/>
        <v>#VALUE!</v>
      </c>
      <c r="L93" s="41" t="e">
        <f t="shared" si="17"/>
        <v>#VALUE!</v>
      </c>
      <c r="M93" s="41" t="e">
        <f t="shared" si="18"/>
        <v>#VALUE!</v>
      </c>
      <c r="N93" s="27"/>
      <c r="O93" s="27"/>
      <c r="P93" s="43"/>
      <c r="Q93" s="2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</row>
    <row r="94" spans="1:41">
      <c r="A94" s="70"/>
      <c r="B94" s="71"/>
      <c r="C94" s="27"/>
      <c r="D94" s="27"/>
      <c r="E94" s="27"/>
      <c r="F94" s="31" t="b">
        <f t="shared" si="13"/>
        <v>0</v>
      </c>
      <c r="G94" s="32" t="b">
        <f t="shared" si="14"/>
        <v>0</v>
      </c>
      <c r="H94" s="27"/>
      <c r="I94" s="33" t="b">
        <f t="shared" si="2"/>
        <v>0</v>
      </c>
      <c r="J94" s="40" t="e">
        <f t="shared" si="15"/>
        <v>#VALUE!</v>
      </c>
      <c r="K94" s="40" t="e">
        <f t="shared" si="16"/>
        <v>#VALUE!</v>
      </c>
      <c r="L94" s="41" t="e">
        <f t="shared" si="17"/>
        <v>#VALUE!</v>
      </c>
      <c r="M94" s="41" t="e">
        <f t="shared" si="18"/>
        <v>#VALUE!</v>
      </c>
      <c r="N94" s="27"/>
      <c r="O94" s="27"/>
      <c r="P94" s="43"/>
      <c r="Q94" s="2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</row>
    <row r="95" spans="1:41">
      <c r="A95" s="70"/>
      <c r="B95" s="71"/>
      <c r="C95" s="27"/>
      <c r="D95" s="27"/>
      <c r="E95" s="27"/>
      <c r="F95" s="31" t="b">
        <f t="shared" si="13"/>
        <v>0</v>
      </c>
      <c r="G95" s="32" t="b">
        <f t="shared" si="14"/>
        <v>0</v>
      </c>
      <c r="H95" s="27"/>
      <c r="I95" s="33" t="b">
        <f t="shared" si="2"/>
        <v>0</v>
      </c>
      <c r="J95" s="40" t="e">
        <f t="shared" si="15"/>
        <v>#VALUE!</v>
      </c>
      <c r="K95" s="40" t="e">
        <f t="shared" si="16"/>
        <v>#VALUE!</v>
      </c>
      <c r="L95" s="41" t="e">
        <f t="shared" si="17"/>
        <v>#VALUE!</v>
      </c>
      <c r="M95" s="41" t="e">
        <f t="shared" si="18"/>
        <v>#VALUE!</v>
      </c>
      <c r="N95" s="27"/>
      <c r="O95" s="27"/>
      <c r="P95" s="43"/>
      <c r="Q95" s="2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</row>
    <row r="96" spans="1:41">
      <c r="A96" s="70"/>
      <c r="B96" s="71"/>
      <c r="C96" s="27"/>
      <c r="D96" s="27"/>
      <c r="E96" s="27"/>
      <c r="F96" s="31" t="b">
        <f t="shared" si="13"/>
        <v>0</v>
      </c>
      <c r="G96" s="32" t="b">
        <f t="shared" si="14"/>
        <v>0</v>
      </c>
      <c r="H96" s="27"/>
      <c r="I96" s="33" t="b">
        <f t="shared" si="2"/>
        <v>0</v>
      </c>
      <c r="J96" s="40" t="e">
        <f t="shared" si="15"/>
        <v>#VALUE!</v>
      </c>
      <c r="K96" s="40" t="e">
        <f t="shared" si="16"/>
        <v>#VALUE!</v>
      </c>
      <c r="L96" s="41" t="e">
        <f t="shared" si="17"/>
        <v>#VALUE!</v>
      </c>
      <c r="M96" s="41" t="e">
        <f t="shared" si="18"/>
        <v>#VALUE!</v>
      </c>
      <c r="N96" s="27"/>
      <c r="O96" s="27"/>
      <c r="P96" s="43"/>
      <c r="Q96" s="2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</row>
    <row r="97" spans="1:41">
      <c r="A97" s="70"/>
      <c r="B97" s="71"/>
      <c r="C97" s="27"/>
      <c r="D97" s="27"/>
      <c r="E97" s="27"/>
      <c r="F97" s="31" t="b">
        <f t="shared" si="13"/>
        <v>0</v>
      </c>
      <c r="G97" s="32" t="b">
        <f t="shared" si="14"/>
        <v>0</v>
      </c>
      <c r="H97" s="27"/>
      <c r="I97" s="33" t="b">
        <f t="shared" si="2"/>
        <v>0</v>
      </c>
      <c r="J97" s="40" t="e">
        <f t="shared" si="15"/>
        <v>#VALUE!</v>
      </c>
      <c r="K97" s="40" t="e">
        <f t="shared" si="16"/>
        <v>#VALUE!</v>
      </c>
      <c r="L97" s="41" t="e">
        <f t="shared" si="17"/>
        <v>#VALUE!</v>
      </c>
      <c r="M97" s="41" t="e">
        <f t="shared" si="18"/>
        <v>#VALUE!</v>
      </c>
      <c r="N97" s="27"/>
      <c r="O97" s="27"/>
      <c r="P97" s="43"/>
      <c r="Q97" s="2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</row>
    <row r="98" spans="1:41">
      <c r="A98" s="70"/>
      <c r="B98" s="71"/>
      <c r="C98" s="27"/>
      <c r="D98" s="27"/>
      <c r="E98" s="27"/>
      <c r="F98" s="31" t="b">
        <f t="shared" si="13"/>
        <v>0</v>
      </c>
      <c r="G98" s="32" t="b">
        <f t="shared" si="14"/>
        <v>0</v>
      </c>
      <c r="H98" s="27"/>
      <c r="I98" s="33" t="b">
        <f t="shared" si="2"/>
        <v>0</v>
      </c>
      <c r="J98" s="40" t="e">
        <f t="shared" si="15"/>
        <v>#VALUE!</v>
      </c>
      <c r="K98" s="40" t="e">
        <f t="shared" si="16"/>
        <v>#VALUE!</v>
      </c>
      <c r="L98" s="41" t="e">
        <f t="shared" si="17"/>
        <v>#VALUE!</v>
      </c>
      <c r="M98" s="41" t="e">
        <f t="shared" si="18"/>
        <v>#VALUE!</v>
      </c>
      <c r="N98" s="27"/>
      <c r="O98" s="27"/>
      <c r="P98" s="43"/>
      <c r="Q98" s="2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</row>
    <row r="99" spans="1:41">
      <c r="A99" s="70"/>
      <c r="B99" s="71"/>
      <c r="C99" s="27"/>
      <c r="D99" s="27"/>
      <c r="E99" s="27"/>
      <c r="F99" s="31" t="b">
        <f t="shared" si="13"/>
        <v>0</v>
      </c>
      <c r="G99" s="32" t="b">
        <f t="shared" si="14"/>
        <v>0</v>
      </c>
      <c r="H99" s="27"/>
      <c r="I99" s="33" t="b">
        <f t="shared" si="2"/>
        <v>0</v>
      </c>
      <c r="J99" s="40" t="e">
        <f t="shared" ref="J99:J101" si="19">MROUND(IF(B99="BUY",MAX(F99,I99),IF(B99="SELL",MIN(F99,I99))),0.05)</f>
        <v>#VALUE!</v>
      </c>
      <c r="K99" s="40" t="e">
        <f t="shared" ref="K99:K101" si="20">MROUND(IF(B99="BUY",(J99*(1-0.05%)),IF(B99="SELL",(J99*(1+0.05%)))),0.05)</f>
        <v>#VALUE!</v>
      </c>
      <c r="L99" s="41" t="e">
        <f t="shared" si="17"/>
        <v>#VALUE!</v>
      </c>
      <c r="M99" s="41" t="e">
        <f t="shared" ref="M99:M101" si="21">MROUND(IF(B99="BUY",(L99*(1-0.05%)),IF(B99="SELL",(L99*(1+0.05%)))),0.05)</f>
        <v>#VALUE!</v>
      </c>
      <c r="N99" s="27"/>
      <c r="O99" s="27"/>
      <c r="P99" s="43"/>
      <c r="Q99" s="2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</row>
    <row r="100" spans="1:41">
      <c r="A100" s="70"/>
      <c r="B100" s="71"/>
      <c r="C100" s="27"/>
      <c r="D100" s="27"/>
      <c r="E100" s="27"/>
      <c r="F100" s="31" t="b">
        <f t="shared" si="13"/>
        <v>0</v>
      </c>
      <c r="G100" s="32" t="b">
        <f t="shared" si="14"/>
        <v>0</v>
      </c>
      <c r="H100" s="27"/>
      <c r="I100" s="33" t="b">
        <f t="shared" si="2"/>
        <v>0</v>
      </c>
      <c r="J100" s="40" t="e">
        <f t="shared" si="19"/>
        <v>#VALUE!</v>
      </c>
      <c r="K100" s="40" t="e">
        <f t="shared" si="20"/>
        <v>#VALUE!</v>
      </c>
      <c r="L100" s="41" t="e">
        <f t="shared" si="17"/>
        <v>#VALUE!</v>
      </c>
      <c r="M100" s="41" t="e">
        <f t="shared" si="21"/>
        <v>#VALUE!</v>
      </c>
      <c r="N100" s="27"/>
      <c r="O100" s="27"/>
      <c r="P100" s="43"/>
      <c r="Q100" s="2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</row>
    <row r="101" spans="1:41">
      <c r="A101" s="70"/>
      <c r="B101" s="71"/>
      <c r="C101" s="27"/>
      <c r="D101" s="27"/>
      <c r="E101" s="27"/>
      <c r="F101" s="31" t="b">
        <f t="shared" si="13"/>
        <v>0</v>
      </c>
      <c r="G101" s="32" t="b">
        <f t="shared" si="14"/>
        <v>0</v>
      </c>
      <c r="H101" s="27"/>
      <c r="I101" s="33" t="b">
        <f t="shared" si="2"/>
        <v>0</v>
      </c>
      <c r="J101" s="40" t="e">
        <f t="shared" si="19"/>
        <v>#VALUE!</v>
      </c>
      <c r="K101" s="40" t="e">
        <f t="shared" si="20"/>
        <v>#VALUE!</v>
      </c>
      <c r="L101" s="41" t="e">
        <f t="shared" si="17"/>
        <v>#VALUE!</v>
      </c>
      <c r="M101" s="41" t="e">
        <f t="shared" si="21"/>
        <v>#VALUE!</v>
      </c>
      <c r="N101" s="27"/>
      <c r="O101" s="27"/>
      <c r="P101" s="43"/>
      <c r="Q101" s="2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</row>
    <row r="102" spans="1:4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4" t="s">
        <v>17</v>
      </c>
      <c r="O102" s="45"/>
      <c r="P102" s="65">
        <f>SUM(P3:P101)</f>
        <v>-13416.0000000001</v>
      </c>
      <c r="Q102" s="1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</row>
    <row r="103" spans="1:4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</row>
    <row r="104" spans="2:41">
      <c r="B104" s="16"/>
      <c r="C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</row>
    <row r="105" spans="2:41">
      <c r="B105" s="16"/>
      <c r="C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</row>
    <row r="106" spans="2:41">
      <c r="B106" s="16"/>
      <c r="C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</row>
    <row r="107" spans="2:41">
      <c r="B107" s="16"/>
      <c r="C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</row>
    <row r="108" spans="1:41">
      <c r="A108" s="17"/>
      <c r="B108" s="18"/>
      <c r="C108" s="18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</row>
    <row r="109" spans="1:41">
      <c r="A109" s="17"/>
      <c r="B109" s="18"/>
      <c r="C109" s="1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</row>
    <row r="110" spans="1:41">
      <c r="A110" s="17"/>
      <c r="B110" s="18"/>
      <c r="C110" s="1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</row>
    <row r="111" spans="1:4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</row>
    <row r="112" ht="20.4" spans="2:41">
      <c r="B112" s="19" t="s">
        <v>21</v>
      </c>
      <c r="C112" s="20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</row>
    <row r="113" ht="20.4" spans="2:41">
      <c r="B113" s="21" t="s">
        <v>22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</row>
    <row r="114" ht="20.4" spans="2:41">
      <c r="B114" s="21" t="s">
        <v>23</v>
      </c>
      <c r="C114" s="20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</row>
    <row r="115" ht="20.4" spans="2:41">
      <c r="B115" s="21" t="s">
        <v>24</v>
      </c>
      <c r="C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</row>
    <row r="116" spans="1:4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</row>
    <row r="117" spans="1:4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</row>
    <row r="118" spans="1:4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</row>
    <row r="119" spans="1:4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</row>
    <row r="120" spans="1:4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</row>
    <row r="121" spans="1:4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</row>
    <row r="122" spans="1:4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</row>
    <row r="123" spans="1:4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</row>
    <row r="124" spans="1:4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</row>
    <row r="125" spans="1:4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</row>
    <row r="126" spans="1:4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</row>
    <row r="127" spans="1:4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</row>
    <row r="128" spans="1:4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</row>
    <row r="129" spans="1:4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</row>
    <row r="130" spans="1:4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</row>
    <row r="131" spans="1:4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</row>
    <row r="132" spans="1:4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</row>
    <row r="133" spans="1:4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</row>
    <row r="134" spans="1:4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</row>
    <row r="135" spans="1:4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</row>
    <row r="136" spans="1:4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</row>
    <row r="137" spans="1:4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</row>
    <row r="138" spans="1:4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</row>
    <row r="139" spans="1:4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</row>
    <row r="140" spans="1:4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</row>
    <row r="141" spans="1: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</row>
    <row r="142" spans="1:4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</row>
    <row r="143" spans="1:4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</row>
    <row r="144" spans="1:4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</row>
    <row r="145" spans="1:4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</row>
    <row r="146" spans="1:4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</row>
    <row r="147" spans="1:4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</row>
    <row r="148" spans="1:4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</row>
    <row r="149" spans="1:4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</row>
    <row r="150" spans="1:4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</row>
    <row r="151" spans="1:4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</row>
    <row r="152" spans="1:4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</row>
    <row r="153" spans="1:4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</row>
    <row r="154" spans="1:4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</row>
    <row r="155" spans="1:4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</row>
    <row r="156" spans="1:4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</row>
    <row r="157" spans="1:4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</row>
    <row r="158" spans="1:4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</row>
    <row r="159" spans="1:4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</row>
    <row r="160" spans="1:4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</row>
    <row r="161" spans="1:4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</row>
    <row r="162" spans="1:4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</row>
    <row r="163" spans="1:4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</row>
    <row r="164" spans="1:4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</row>
    <row r="165" spans="1:4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</row>
    <row r="166" spans="1:4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</row>
    <row r="167" spans="1:4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</row>
    <row r="168" spans="1:4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</row>
  </sheetData>
  <sheetProtection algorithmName="SHA-512" hashValue="thbqe9oxI6+FL3eTj5qF2AAQvlq8uzT3eem38jloF1OyX1U2sSdz4tpEBkW4ddRDrpPA3HC8oWJn0fxwdgB4yQ==" saltValue="Gpy6ne9zsg+ulExWYKlqWQ==" spinCount="100000" sheet="1" objects="1" scenarios="1"/>
  <mergeCells count="3">
    <mergeCell ref="J1:K1"/>
    <mergeCell ref="L1:M1"/>
    <mergeCell ref="N102:O102"/>
  </mergeCells>
  <dataValidations count="1">
    <dataValidation type="list" allowBlank="1" showErrorMessage="1" sqref="B3:B101">
      <formula1>$S$2:$S$3</formula1>
    </dataValidation>
  </dataValidations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"/>
  <sheetViews>
    <sheetView workbookViewId="0">
      <selection activeCell="N3" sqref="N3"/>
    </sheetView>
  </sheetViews>
  <sheetFormatPr defaultColWidth="9" defaultRowHeight="17.6"/>
  <cols>
    <col min="1" max="2" width="12.8303571428571" customWidth="1"/>
    <col min="3" max="4" width="13.1607142857143" customWidth="1"/>
    <col min="5" max="5" width="13" customWidth="1"/>
    <col min="6" max="6" width="12.8303571428571" hidden="1" customWidth="1"/>
    <col min="7" max="7" width="11.6607142857143" customWidth="1"/>
    <col min="8" max="8" width="12.6607142857143" customWidth="1"/>
    <col min="9" max="9" width="13" hidden="1" customWidth="1"/>
    <col min="10" max="10" width="13.3303571428571" customWidth="1"/>
    <col min="11" max="11" width="13.8303571428571" customWidth="1"/>
    <col min="12" max="12" width="13.3303571428571" customWidth="1"/>
    <col min="13" max="14" width="13.1607142857143" customWidth="1"/>
    <col min="15" max="15" width="12.8303571428571" customWidth="1"/>
    <col min="16" max="16" width="13.1607142857143" customWidth="1"/>
    <col min="17" max="17" width="12.6607142857143" customWidth="1"/>
    <col min="19" max="19" width="9" hidden="1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61" t="s">
        <v>0</v>
      </c>
      <c r="K1" s="61"/>
      <c r="L1" s="60" t="s">
        <v>1</v>
      </c>
      <c r="M1" s="60"/>
      <c r="N1" s="1"/>
      <c r="O1" s="1"/>
      <c r="P1" s="1"/>
      <c r="Q1" s="1"/>
      <c r="R1" s="17"/>
      <c r="S1" s="17"/>
      <c r="T1" s="17"/>
    </row>
    <row r="2" spans="1:20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62" t="s">
        <v>11</v>
      </c>
      <c r="K2" s="62" t="s">
        <v>12</v>
      </c>
      <c r="L2" s="66" t="s">
        <v>13</v>
      </c>
      <c r="M2" s="66" t="s">
        <v>14</v>
      </c>
      <c r="N2" s="24" t="s">
        <v>15</v>
      </c>
      <c r="O2" s="24" t="s">
        <v>16</v>
      </c>
      <c r="P2" s="24" t="s">
        <v>17</v>
      </c>
      <c r="Q2" s="67" t="s">
        <v>18</v>
      </c>
      <c r="R2" s="68"/>
      <c r="S2" s="69" t="s">
        <v>19</v>
      </c>
      <c r="T2" s="17"/>
    </row>
    <row r="3" spans="1:20">
      <c r="A3" s="25"/>
      <c r="B3" s="26"/>
      <c r="C3" s="27"/>
      <c r="D3" s="27"/>
      <c r="E3" s="27"/>
      <c r="F3" s="31" t="b">
        <f>IF(B3="BUY",(C3*(1-1.5%)),IF(B3="SELL",(C3*(1+1.5%))))</f>
        <v>0</v>
      </c>
      <c r="G3" s="32" t="b">
        <f t="shared" ref="G3:G101" si="0">IF(B3="BUY","2DLL",IF(B3="SELL","2DHH"))</f>
        <v>0</v>
      </c>
      <c r="H3" s="27"/>
      <c r="I3" s="33" t="b">
        <f>IF(G3="2DHH",(H3*(1+0.15%)),IF(G3="2DLL",(H3*(1-0.15%))))</f>
        <v>0</v>
      </c>
      <c r="J3" s="40" t="e">
        <f>MROUND(IF(B3="BUY",MAX(F3,I3),IF(B3="SELL",MIN(F3,I3))),0.05)</f>
        <v>#VALUE!</v>
      </c>
      <c r="K3" s="40" t="e">
        <f t="shared" ref="K3:K101" si="1">MROUND(IF(B3="BUY",(J3*(1-0.05%)),IF(B3="SELL",(J3*(1+0.05%)))),0.05)</f>
        <v>#VALUE!</v>
      </c>
      <c r="L3" s="41" t="e">
        <f t="shared" ref="L3:L101" si="2">MROUND(IF(B3="BUY",MAX(C3,I3),IF(B3="SELL",MIN(C3,I3))),0.05)</f>
        <v>#VALUE!</v>
      </c>
      <c r="M3" s="41" t="e">
        <f t="shared" ref="M3:M101" si="3">MROUND(IF(B3="BUY",(L3*(1-0.05%)),IF(B3="SELL",(L3*(1+0.05%)))),0.05)</f>
        <v>#VALUE!</v>
      </c>
      <c r="N3" s="27"/>
      <c r="O3" s="27"/>
      <c r="P3" s="43"/>
      <c r="Q3" s="27"/>
      <c r="R3" s="17"/>
      <c r="S3" s="69" t="s">
        <v>20</v>
      </c>
      <c r="T3" s="17"/>
    </row>
    <row r="4" spans="1:20">
      <c r="A4" s="25"/>
      <c r="B4" s="26"/>
      <c r="C4" s="27"/>
      <c r="D4" s="27"/>
      <c r="E4" s="27"/>
      <c r="F4" s="31" t="b">
        <f t="shared" ref="F4:F67" si="4">IF(B4="BUY",(C4*(1-1.5%)),IF(B4="SELL",(C4*(1+1.5%))))</f>
        <v>0</v>
      </c>
      <c r="G4" s="32" t="b">
        <f t="shared" si="0"/>
        <v>0</v>
      </c>
      <c r="H4" s="27"/>
      <c r="I4" s="33" t="b">
        <f t="shared" ref="I4:I67" si="5">IF(G4="2DHH",(H4*(1+0.15%)),IF(G4="2DLL",(H4*(1-0.15%))))</f>
        <v>0</v>
      </c>
      <c r="J4" s="40" t="e">
        <f>MROUND(IF(B4="BUY",MAX(F4,I4),IF(B4="SELL",MIN(F4,I4))),0.05)</f>
        <v>#VALUE!</v>
      </c>
      <c r="K4" s="40" t="e">
        <f t="shared" si="1"/>
        <v>#VALUE!</v>
      </c>
      <c r="L4" s="41" t="e">
        <f t="shared" si="2"/>
        <v>#VALUE!</v>
      </c>
      <c r="M4" s="41" t="e">
        <f t="shared" si="3"/>
        <v>#VALUE!</v>
      </c>
      <c r="N4" s="27"/>
      <c r="O4" s="27"/>
      <c r="P4" s="43"/>
      <c r="Q4" s="27"/>
      <c r="R4" s="17"/>
      <c r="S4" s="17"/>
      <c r="T4" s="17"/>
    </row>
    <row r="5" spans="1:20">
      <c r="A5" s="25"/>
      <c r="B5" s="26"/>
      <c r="C5" s="27"/>
      <c r="D5" s="27"/>
      <c r="E5" s="27"/>
      <c r="F5" s="31" t="b">
        <f t="shared" si="4"/>
        <v>0</v>
      </c>
      <c r="G5" s="32" t="b">
        <f t="shared" si="0"/>
        <v>0</v>
      </c>
      <c r="H5" s="27"/>
      <c r="I5" s="33" t="b">
        <f t="shared" si="5"/>
        <v>0</v>
      </c>
      <c r="J5" s="40" t="e">
        <f t="shared" ref="J5:J68" si="6">MROUND(IF(B5="BUY",MAX(F5,I5),IF(B5="SELL",MIN(F5,I5))),0.05)</f>
        <v>#VALUE!</v>
      </c>
      <c r="K5" s="40" t="e">
        <f t="shared" si="1"/>
        <v>#VALUE!</v>
      </c>
      <c r="L5" s="41" t="e">
        <f t="shared" si="2"/>
        <v>#VALUE!</v>
      </c>
      <c r="M5" s="41" t="e">
        <f t="shared" si="3"/>
        <v>#VALUE!</v>
      </c>
      <c r="N5" s="27"/>
      <c r="O5" s="27"/>
      <c r="P5" s="43"/>
      <c r="Q5" s="27"/>
      <c r="R5" s="17"/>
      <c r="S5" s="17"/>
      <c r="T5" s="17"/>
    </row>
    <row r="6" spans="1:20">
      <c r="A6" s="25"/>
      <c r="B6" s="26"/>
      <c r="C6" s="27"/>
      <c r="D6" s="27"/>
      <c r="E6" s="27"/>
      <c r="F6" s="31" t="b">
        <f t="shared" si="4"/>
        <v>0</v>
      </c>
      <c r="G6" s="32" t="b">
        <f t="shared" si="0"/>
        <v>0</v>
      </c>
      <c r="H6" s="27"/>
      <c r="I6" s="33" t="b">
        <f t="shared" si="5"/>
        <v>0</v>
      </c>
      <c r="J6" s="40" t="e">
        <f t="shared" si="6"/>
        <v>#VALUE!</v>
      </c>
      <c r="K6" s="40" t="e">
        <f t="shared" si="1"/>
        <v>#VALUE!</v>
      </c>
      <c r="L6" s="41" t="e">
        <f t="shared" si="2"/>
        <v>#VALUE!</v>
      </c>
      <c r="M6" s="41" t="e">
        <f t="shared" si="3"/>
        <v>#VALUE!</v>
      </c>
      <c r="N6" s="27"/>
      <c r="O6" s="27"/>
      <c r="P6" s="43"/>
      <c r="Q6" s="27"/>
      <c r="R6" s="17"/>
      <c r="S6" s="17"/>
      <c r="T6" s="17"/>
    </row>
    <row r="7" spans="1:20">
      <c r="A7" s="25"/>
      <c r="B7" s="26"/>
      <c r="C7" s="27"/>
      <c r="D7" s="27"/>
      <c r="E7" s="27"/>
      <c r="F7" s="31" t="b">
        <f t="shared" si="4"/>
        <v>0</v>
      </c>
      <c r="G7" s="32" t="b">
        <f t="shared" si="0"/>
        <v>0</v>
      </c>
      <c r="H7" s="27"/>
      <c r="I7" s="33" t="b">
        <f t="shared" si="5"/>
        <v>0</v>
      </c>
      <c r="J7" s="40" t="e">
        <f t="shared" si="6"/>
        <v>#VALUE!</v>
      </c>
      <c r="K7" s="40" t="e">
        <f t="shared" si="1"/>
        <v>#VALUE!</v>
      </c>
      <c r="L7" s="41" t="e">
        <f t="shared" si="2"/>
        <v>#VALUE!</v>
      </c>
      <c r="M7" s="41" t="e">
        <f t="shared" si="3"/>
        <v>#VALUE!</v>
      </c>
      <c r="N7" s="27"/>
      <c r="O7" s="27"/>
      <c r="P7" s="43"/>
      <c r="Q7" s="27"/>
      <c r="R7" s="17"/>
      <c r="S7" s="17"/>
      <c r="T7" s="17"/>
    </row>
    <row r="8" spans="1:20">
      <c r="A8" s="25"/>
      <c r="B8" s="26"/>
      <c r="C8" s="27"/>
      <c r="D8" s="27"/>
      <c r="E8" s="27"/>
      <c r="F8" s="31" t="b">
        <f t="shared" si="4"/>
        <v>0</v>
      </c>
      <c r="G8" s="32" t="b">
        <f t="shared" si="0"/>
        <v>0</v>
      </c>
      <c r="H8" s="27"/>
      <c r="I8" s="33" t="b">
        <f t="shared" si="5"/>
        <v>0</v>
      </c>
      <c r="J8" s="40" t="e">
        <f t="shared" si="6"/>
        <v>#VALUE!</v>
      </c>
      <c r="K8" s="40" t="e">
        <f t="shared" si="1"/>
        <v>#VALUE!</v>
      </c>
      <c r="L8" s="41" t="e">
        <f t="shared" si="2"/>
        <v>#VALUE!</v>
      </c>
      <c r="M8" s="41" t="e">
        <f t="shared" si="3"/>
        <v>#VALUE!</v>
      </c>
      <c r="N8" s="27"/>
      <c r="O8" s="27"/>
      <c r="P8" s="43"/>
      <c r="Q8" s="27"/>
      <c r="R8" s="17"/>
      <c r="S8" s="17"/>
      <c r="T8" s="17"/>
    </row>
    <row r="9" spans="1:20">
      <c r="A9" s="25"/>
      <c r="B9" s="26"/>
      <c r="C9" s="27"/>
      <c r="D9" s="27"/>
      <c r="E9" s="27"/>
      <c r="F9" s="31" t="b">
        <f t="shared" si="4"/>
        <v>0</v>
      </c>
      <c r="G9" s="32" t="b">
        <f t="shared" si="0"/>
        <v>0</v>
      </c>
      <c r="H9" s="27"/>
      <c r="I9" s="33" t="b">
        <f t="shared" si="5"/>
        <v>0</v>
      </c>
      <c r="J9" s="40" t="e">
        <f t="shared" si="6"/>
        <v>#VALUE!</v>
      </c>
      <c r="K9" s="40" t="e">
        <f t="shared" si="1"/>
        <v>#VALUE!</v>
      </c>
      <c r="L9" s="41" t="e">
        <f t="shared" si="2"/>
        <v>#VALUE!</v>
      </c>
      <c r="M9" s="41" t="e">
        <f t="shared" si="3"/>
        <v>#VALUE!</v>
      </c>
      <c r="N9" s="27"/>
      <c r="O9" s="27"/>
      <c r="P9" s="43"/>
      <c r="Q9" s="27"/>
      <c r="R9" s="17"/>
      <c r="S9" s="17"/>
      <c r="T9" s="17"/>
    </row>
    <row r="10" spans="1:20">
      <c r="A10" s="25"/>
      <c r="B10" s="26"/>
      <c r="C10" s="27"/>
      <c r="D10" s="27"/>
      <c r="E10" s="27"/>
      <c r="F10" s="31" t="b">
        <f t="shared" si="4"/>
        <v>0</v>
      </c>
      <c r="G10" s="32" t="b">
        <f t="shared" si="0"/>
        <v>0</v>
      </c>
      <c r="H10" s="27"/>
      <c r="I10" s="33" t="b">
        <f t="shared" si="5"/>
        <v>0</v>
      </c>
      <c r="J10" s="40" t="e">
        <f t="shared" si="6"/>
        <v>#VALUE!</v>
      </c>
      <c r="K10" s="40" t="e">
        <f t="shared" si="1"/>
        <v>#VALUE!</v>
      </c>
      <c r="L10" s="41" t="e">
        <f t="shared" si="2"/>
        <v>#VALUE!</v>
      </c>
      <c r="M10" s="41" t="e">
        <f t="shared" si="3"/>
        <v>#VALUE!</v>
      </c>
      <c r="N10" s="27"/>
      <c r="O10" s="27"/>
      <c r="P10" s="43"/>
      <c r="Q10" s="27"/>
      <c r="R10" s="17"/>
      <c r="S10" s="17"/>
      <c r="T10" s="17"/>
    </row>
    <row r="11" spans="1:20">
      <c r="A11" s="25"/>
      <c r="B11" s="26"/>
      <c r="C11" s="27"/>
      <c r="D11" s="27"/>
      <c r="E11" s="27"/>
      <c r="F11" s="31" t="b">
        <f t="shared" si="4"/>
        <v>0</v>
      </c>
      <c r="G11" s="32" t="b">
        <f t="shared" si="0"/>
        <v>0</v>
      </c>
      <c r="H11" s="27"/>
      <c r="I11" s="33" t="b">
        <f t="shared" si="5"/>
        <v>0</v>
      </c>
      <c r="J11" s="40" t="e">
        <f t="shared" si="6"/>
        <v>#VALUE!</v>
      </c>
      <c r="K11" s="40" t="e">
        <f t="shared" si="1"/>
        <v>#VALUE!</v>
      </c>
      <c r="L11" s="41" t="e">
        <f t="shared" si="2"/>
        <v>#VALUE!</v>
      </c>
      <c r="M11" s="41" t="e">
        <f t="shared" si="3"/>
        <v>#VALUE!</v>
      </c>
      <c r="N11" s="27"/>
      <c r="O11" s="27"/>
      <c r="P11" s="43"/>
      <c r="Q11" s="27"/>
      <c r="R11" s="17"/>
      <c r="S11" s="17"/>
      <c r="T11" s="17"/>
    </row>
    <row r="12" spans="1:20">
      <c r="A12" s="25"/>
      <c r="B12" s="26"/>
      <c r="C12" s="27"/>
      <c r="D12" s="27"/>
      <c r="E12" s="27"/>
      <c r="F12" s="31" t="b">
        <f t="shared" si="4"/>
        <v>0</v>
      </c>
      <c r="G12" s="32" t="b">
        <f t="shared" si="0"/>
        <v>0</v>
      </c>
      <c r="H12" s="27"/>
      <c r="I12" s="33" t="b">
        <f t="shared" si="5"/>
        <v>0</v>
      </c>
      <c r="J12" s="40" t="e">
        <f t="shared" si="6"/>
        <v>#VALUE!</v>
      </c>
      <c r="K12" s="40" t="e">
        <f t="shared" si="1"/>
        <v>#VALUE!</v>
      </c>
      <c r="L12" s="41" t="e">
        <f t="shared" si="2"/>
        <v>#VALUE!</v>
      </c>
      <c r="M12" s="41" t="e">
        <f t="shared" si="3"/>
        <v>#VALUE!</v>
      </c>
      <c r="N12" s="27"/>
      <c r="O12" s="27"/>
      <c r="P12" s="43"/>
      <c r="Q12" s="27"/>
      <c r="R12" s="17"/>
      <c r="S12" s="17"/>
      <c r="T12" s="17"/>
    </row>
    <row r="13" spans="1:20">
      <c r="A13" s="25"/>
      <c r="B13" s="26"/>
      <c r="C13" s="27"/>
      <c r="D13" s="27"/>
      <c r="E13" s="27"/>
      <c r="F13" s="31" t="b">
        <f t="shared" si="4"/>
        <v>0</v>
      </c>
      <c r="G13" s="32" t="b">
        <f t="shared" si="0"/>
        <v>0</v>
      </c>
      <c r="H13" s="27"/>
      <c r="I13" s="33" t="b">
        <f t="shared" si="5"/>
        <v>0</v>
      </c>
      <c r="J13" s="40" t="e">
        <f t="shared" si="6"/>
        <v>#VALUE!</v>
      </c>
      <c r="K13" s="40" t="e">
        <f t="shared" si="1"/>
        <v>#VALUE!</v>
      </c>
      <c r="L13" s="41" t="e">
        <f t="shared" si="2"/>
        <v>#VALUE!</v>
      </c>
      <c r="M13" s="41" t="e">
        <f t="shared" si="3"/>
        <v>#VALUE!</v>
      </c>
      <c r="N13" s="27"/>
      <c r="O13" s="27"/>
      <c r="P13" s="43"/>
      <c r="Q13" s="27"/>
      <c r="R13" s="17"/>
      <c r="S13" s="17"/>
      <c r="T13" s="17"/>
    </row>
    <row r="14" spans="1:20">
      <c r="A14" s="25"/>
      <c r="B14" s="26"/>
      <c r="C14" s="27"/>
      <c r="D14" s="27"/>
      <c r="E14" s="27"/>
      <c r="F14" s="31" t="b">
        <f t="shared" si="4"/>
        <v>0</v>
      </c>
      <c r="G14" s="32" t="b">
        <f t="shared" si="0"/>
        <v>0</v>
      </c>
      <c r="H14" s="27"/>
      <c r="I14" s="33" t="b">
        <f t="shared" si="5"/>
        <v>0</v>
      </c>
      <c r="J14" s="40" t="e">
        <f t="shared" si="6"/>
        <v>#VALUE!</v>
      </c>
      <c r="K14" s="40" t="e">
        <f t="shared" si="1"/>
        <v>#VALUE!</v>
      </c>
      <c r="L14" s="41" t="e">
        <f t="shared" si="2"/>
        <v>#VALUE!</v>
      </c>
      <c r="M14" s="41" t="e">
        <f t="shared" si="3"/>
        <v>#VALUE!</v>
      </c>
      <c r="N14" s="27"/>
      <c r="O14" s="27"/>
      <c r="P14" s="43"/>
      <c r="Q14" s="27"/>
      <c r="R14" s="17"/>
      <c r="S14" s="17"/>
      <c r="T14" s="17"/>
    </row>
    <row r="15" spans="1:20">
      <c r="A15" s="25"/>
      <c r="B15" s="26"/>
      <c r="C15" s="27"/>
      <c r="D15" s="27"/>
      <c r="E15" s="27"/>
      <c r="F15" s="31" t="b">
        <f t="shared" si="4"/>
        <v>0</v>
      </c>
      <c r="G15" s="32" t="b">
        <f t="shared" si="0"/>
        <v>0</v>
      </c>
      <c r="H15" s="27"/>
      <c r="I15" s="33" t="b">
        <f t="shared" si="5"/>
        <v>0</v>
      </c>
      <c r="J15" s="40" t="e">
        <f t="shared" si="6"/>
        <v>#VALUE!</v>
      </c>
      <c r="K15" s="40" t="e">
        <f t="shared" si="1"/>
        <v>#VALUE!</v>
      </c>
      <c r="L15" s="41" t="e">
        <f t="shared" si="2"/>
        <v>#VALUE!</v>
      </c>
      <c r="M15" s="41" t="e">
        <f t="shared" si="3"/>
        <v>#VALUE!</v>
      </c>
      <c r="N15" s="27"/>
      <c r="O15" s="27"/>
      <c r="P15" s="43"/>
      <c r="Q15" s="27"/>
      <c r="R15" s="17"/>
      <c r="S15" s="17"/>
      <c r="T15" s="17"/>
    </row>
    <row r="16" spans="1:20">
      <c r="A16" s="25"/>
      <c r="B16" s="26"/>
      <c r="C16" s="27"/>
      <c r="D16" s="27"/>
      <c r="E16" s="27"/>
      <c r="F16" s="31" t="b">
        <f t="shared" si="4"/>
        <v>0</v>
      </c>
      <c r="G16" s="32" t="b">
        <f t="shared" si="0"/>
        <v>0</v>
      </c>
      <c r="H16" s="27"/>
      <c r="I16" s="33" t="b">
        <f t="shared" si="5"/>
        <v>0</v>
      </c>
      <c r="J16" s="40" t="e">
        <f t="shared" si="6"/>
        <v>#VALUE!</v>
      </c>
      <c r="K16" s="40" t="e">
        <f t="shared" si="1"/>
        <v>#VALUE!</v>
      </c>
      <c r="L16" s="41" t="e">
        <f t="shared" si="2"/>
        <v>#VALUE!</v>
      </c>
      <c r="M16" s="41" t="e">
        <f t="shared" si="3"/>
        <v>#VALUE!</v>
      </c>
      <c r="N16" s="27"/>
      <c r="O16" s="27"/>
      <c r="P16" s="43"/>
      <c r="Q16" s="27"/>
      <c r="R16" s="17"/>
      <c r="S16" s="17"/>
      <c r="T16" s="17"/>
    </row>
    <row r="17" spans="1:20">
      <c r="A17" s="25"/>
      <c r="B17" s="26"/>
      <c r="C17" s="27"/>
      <c r="D17" s="27"/>
      <c r="E17" s="27"/>
      <c r="F17" s="31" t="b">
        <f t="shared" si="4"/>
        <v>0</v>
      </c>
      <c r="G17" s="32" t="b">
        <f t="shared" si="0"/>
        <v>0</v>
      </c>
      <c r="H17" s="27"/>
      <c r="I17" s="33" t="b">
        <f t="shared" si="5"/>
        <v>0</v>
      </c>
      <c r="J17" s="40" t="e">
        <f t="shared" si="6"/>
        <v>#VALUE!</v>
      </c>
      <c r="K17" s="40" t="e">
        <f t="shared" si="1"/>
        <v>#VALUE!</v>
      </c>
      <c r="L17" s="41" t="e">
        <f t="shared" si="2"/>
        <v>#VALUE!</v>
      </c>
      <c r="M17" s="41" t="e">
        <f t="shared" si="3"/>
        <v>#VALUE!</v>
      </c>
      <c r="N17" s="27"/>
      <c r="O17" s="27"/>
      <c r="P17" s="43"/>
      <c r="Q17" s="27"/>
      <c r="R17" s="17"/>
      <c r="S17" s="17"/>
      <c r="T17" s="17"/>
    </row>
    <row r="18" spans="1:20">
      <c r="A18" s="25"/>
      <c r="B18" s="26"/>
      <c r="C18" s="27"/>
      <c r="D18" s="27"/>
      <c r="E18" s="27"/>
      <c r="F18" s="31" t="b">
        <f t="shared" si="4"/>
        <v>0</v>
      </c>
      <c r="G18" s="32" t="b">
        <f t="shared" si="0"/>
        <v>0</v>
      </c>
      <c r="H18" s="27"/>
      <c r="I18" s="33" t="b">
        <f t="shared" si="5"/>
        <v>0</v>
      </c>
      <c r="J18" s="40" t="e">
        <f t="shared" si="6"/>
        <v>#VALUE!</v>
      </c>
      <c r="K18" s="40" t="e">
        <f t="shared" si="1"/>
        <v>#VALUE!</v>
      </c>
      <c r="L18" s="41" t="e">
        <f t="shared" si="2"/>
        <v>#VALUE!</v>
      </c>
      <c r="M18" s="41" t="e">
        <f t="shared" si="3"/>
        <v>#VALUE!</v>
      </c>
      <c r="N18" s="27"/>
      <c r="O18" s="27"/>
      <c r="P18" s="43"/>
      <c r="Q18" s="27"/>
      <c r="R18" s="17"/>
      <c r="S18" s="17"/>
      <c r="T18" s="17"/>
    </row>
    <row r="19" spans="1:20">
      <c r="A19" s="25"/>
      <c r="B19" s="26"/>
      <c r="C19" s="27"/>
      <c r="D19" s="27"/>
      <c r="E19" s="27"/>
      <c r="F19" s="31" t="b">
        <f t="shared" si="4"/>
        <v>0</v>
      </c>
      <c r="G19" s="32" t="b">
        <f t="shared" si="0"/>
        <v>0</v>
      </c>
      <c r="H19" s="27"/>
      <c r="I19" s="33" t="b">
        <f t="shared" si="5"/>
        <v>0</v>
      </c>
      <c r="J19" s="40" t="e">
        <f t="shared" si="6"/>
        <v>#VALUE!</v>
      </c>
      <c r="K19" s="40" t="e">
        <f t="shared" si="1"/>
        <v>#VALUE!</v>
      </c>
      <c r="L19" s="41" t="e">
        <f t="shared" si="2"/>
        <v>#VALUE!</v>
      </c>
      <c r="M19" s="41" t="e">
        <f t="shared" si="3"/>
        <v>#VALUE!</v>
      </c>
      <c r="N19" s="27"/>
      <c r="O19" s="27"/>
      <c r="P19" s="43"/>
      <c r="Q19" s="27"/>
      <c r="R19" s="17"/>
      <c r="S19" s="17"/>
      <c r="T19" s="17"/>
    </row>
    <row r="20" spans="1:20">
      <c r="A20" s="25"/>
      <c r="B20" s="26"/>
      <c r="C20" s="27"/>
      <c r="D20" s="27"/>
      <c r="E20" s="27"/>
      <c r="F20" s="31" t="b">
        <f t="shared" si="4"/>
        <v>0</v>
      </c>
      <c r="G20" s="32" t="b">
        <f t="shared" si="0"/>
        <v>0</v>
      </c>
      <c r="H20" s="27"/>
      <c r="I20" s="33" t="b">
        <f t="shared" si="5"/>
        <v>0</v>
      </c>
      <c r="J20" s="40" t="e">
        <f t="shared" si="6"/>
        <v>#VALUE!</v>
      </c>
      <c r="K20" s="40" t="e">
        <f t="shared" si="1"/>
        <v>#VALUE!</v>
      </c>
      <c r="L20" s="41" t="e">
        <f t="shared" si="2"/>
        <v>#VALUE!</v>
      </c>
      <c r="M20" s="41" t="e">
        <f t="shared" si="3"/>
        <v>#VALUE!</v>
      </c>
      <c r="N20" s="27"/>
      <c r="O20" s="27"/>
      <c r="P20" s="43"/>
      <c r="Q20" s="27"/>
      <c r="R20" s="17"/>
      <c r="S20" s="17"/>
      <c r="T20" s="17"/>
    </row>
    <row r="21" spans="1:20">
      <c r="A21" s="25"/>
      <c r="B21" s="26"/>
      <c r="C21" s="27"/>
      <c r="D21" s="27"/>
      <c r="E21" s="27"/>
      <c r="F21" s="31" t="b">
        <f t="shared" si="4"/>
        <v>0</v>
      </c>
      <c r="G21" s="32" t="b">
        <f t="shared" si="0"/>
        <v>0</v>
      </c>
      <c r="H21" s="27"/>
      <c r="I21" s="33" t="b">
        <f t="shared" si="5"/>
        <v>0</v>
      </c>
      <c r="J21" s="40" t="e">
        <f t="shared" si="6"/>
        <v>#VALUE!</v>
      </c>
      <c r="K21" s="40" t="e">
        <f t="shared" si="1"/>
        <v>#VALUE!</v>
      </c>
      <c r="L21" s="41" t="e">
        <f t="shared" si="2"/>
        <v>#VALUE!</v>
      </c>
      <c r="M21" s="41" t="e">
        <f t="shared" si="3"/>
        <v>#VALUE!</v>
      </c>
      <c r="N21" s="27"/>
      <c r="O21" s="27"/>
      <c r="P21" s="43"/>
      <c r="Q21" s="27"/>
      <c r="R21" s="17"/>
      <c r="S21" s="17"/>
      <c r="T21" s="17"/>
    </row>
    <row r="22" spans="1:20">
      <c r="A22" s="25"/>
      <c r="B22" s="26"/>
      <c r="C22" s="27"/>
      <c r="D22" s="27"/>
      <c r="E22" s="27"/>
      <c r="F22" s="31" t="b">
        <f t="shared" si="4"/>
        <v>0</v>
      </c>
      <c r="G22" s="32" t="b">
        <f t="shared" si="0"/>
        <v>0</v>
      </c>
      <c r="H22" s="27"/>
      <c r="I22" s="33" t="b">
        <f t="shared" si="5"/>
        <v>0</v>
      </c>
      <c r="J22" s="40" t="e">
        <f t="shared" si="6"/>
        <v>#VALUE!</v>
      </c>
      <c r="K22" s="40" t="e">
        <f t="shared" si="1"/>
        <v>#VALUE!</v>
      </c>
      <c r="L22" s="41" t="e">
        <f t="shared" si="2"/>
        <v>#VALUE!</v>
      </c>
      <c r="M22" s="41" t="e">
        <f t="shared" si="3"/>
        <v>#VALUE!</v>
      </c>
      <c r="N22" s="27"/>
      <c r="O22" s="27"/>
      <c r="P22" s="43"/>
      <c r="Q22" s="27"/>
      <c r="R22" s="17"/>
      <c r="S22" s="17"/>
      <c r="T22" s="17"/>
    </row>
    <row r="23" spans="1:20">
      <c r="A23" s="25"/>
      <c r="B23" s="26"/>
      <c r="C23" s="27"/>
      <c r="D23" s="27"/>
      <c r="E23" s="27"/>
      <c r="F23" s="31" t="b">
        <f t="shared" si="4"/>
        <v>0</v>
      </c>
      <c r="G23" s="32" t="b">
        <f t="shared" si="0"/>
        <v>0</v>
      </c>
      <c r="H23" s="27"/>
      <c r="I23" s="33" t="b">
        <f t="shared" si="5"/>
        <v>0</v>
      </c>
      <c r="J23" s="40" t="e">
        <f t="shared" si="6"/>
        <v>#VALUE!</v>
      </c>
      <c r="K23" s="40" t="e">
        <f t="shared" si="1"/>
        <v>#VALUE!</v>
      </c>
      <c r="L23" s="41" t="e">
        <f t="shared" si="2"/>
        <v>#VALUE!</v>
      </c>
      <c r="M23" s="41" t="e">
        <f t="shared" si="3"/>
        <v>#VALUE!</v>
      </c>
      <c r="N23" s="27"/>
      <c r="O23" s="27"/>
      <c r="P23" s="43"/>
      <c r="Q23" s="27"/>
      <c r="R23" s="17"/>
      <c r="S23" s="17"/>
      <c r="T23" s="17"/>
    </row>
    <row r="24" spans="1:20">
      <c r="A24" s="25"/>
      <c r="B24" s="26"/>
      <c r="C24" s="27"/>
      <c r="D24" s="27"/>
      <c r="E24" s="27"/>
      <c r="F24" s="31" t="b">
        <f t="shared" si="4"/>
        <v>0</v>
      </c>
      <c r="G24" s="32" t="b">
        <f t="shared" si="0"/>
        <v>0</v>
      </c>
      <c r="H24" s="27"/>
      <c r="I24" s="33" t="b">
        <f t="shared" si="5"/>
        <v>0</v>
      </c>
      <c r="J24" s="40" t="e">
        <f t="shared" si="6"/>
        <v>#VALUE!</v>
      </c>
      <c r="K24" s="40" t="e">
        <f t="shared" si="1"/>
        <v>#VALUE!</v>
      </c>
      <c r="L24" s="41" t="e">
        <f t="shared" si="2"/>
        <v>#VALUE!</v>
      </c>
      <c r="M24" s="41" t="e">
        <f t="shared" si="3"/>
        <v>#VALUE!</v>
      </c>
      <c r="N24" s="27"/>
      <c r="O24" s="27"/>
      <c r="P24" s="43"/>
      <c r="Q24" s="27"/>
      <c r="R24" s="17"/>
      <c r="S24" s="17"/>
      <c r="T24" s="17"/>
    </row>
    <row r="25" spans="1:20">
      <c r="A25" s="25"/>
      <c r="B25" s="26"/>
      <c r="C25" s="27"/>
      <c r="D25" s="27"/>
      <c r="E25" s="27"/>
      <c r="F25" s="31" t="b">
        <f t="shared" si="4"/>
        <v>0</v>
      </c>
      <c r="G25" s="32" t="b">
        <f t="shared" si="0"/>
        <v>0</v>
      </c>
      <c r="H25" s="27"/>
      <c r="I25" s="33" t="b">
        <f t="shared" si="5"/>
        <v>0</v>
      </c>
      <c r="J25" s="40" t="e">
        <f t="shared" si="6"/>
        <v>#VALUE!</v>
      </c>
      <c r="K25" s="40" t="e">
        <f t="shared" si="1"/>
        <v>#VALUE!</v>
      </c>
      <c r="L25" s="41" t="e">
        <f t="shared" si="2"/>
        <v>#VALUE!</v>
      </c>
      <c r="M25" s="41" t="e">
        <f t="shared" si="3"/>
        <v>#VALUE!</v>
      </c>
      <c r="N25" s="27"/>
      <c r="O25" s="27"/>
      <c r="P25" s="43"/>
      <c r="Q25" s="27"/>
      <c r="R25" s="17"/>
      <c r="S25" s="17"/>
      <c r="T25" s="17"/>
    </row>
    <row r="26" spans="1:20">
      <c r="A26" s="25"/>
      <c r="B26" s="26"/>
      <c r="C26" s="27"/>
      <c r="D26" s="27"/>
      <c r="E26" s="27"/>
      <c r="F26" s="31" t="b">
        <f t="shared" si="4"/>
        <v>0</v>
      </c>
      <c r="G26" s="32" t="b">
        <f t="shared" si="0"/>
        <v>0</v>
      </c>
      <c r="H26" s="27"/>
      <c r="I26" s="33" t="b">
        <f t="shared" si="5"/>
        <v>0</v>
      </c>
      <c r="J26" s="40" t="e">
        <f t="shared" si="6"/>
        <v>#VALUE!</v>
      </c>
      <c r="K26" s="40" t="e">
        <f t="shared" si="1"/>
        <v>#VALUE!</v>
      </c>
      <c r="L26" s="41" t="e">
        <f t="shared" si="2"/>
        <v>#VALUE!</v>
      </c>
      <c r="M26" s="41" t="e">
        <f t="shared" si="3"/>
        <v>#VALUE!</v>
      </c>
      <c r="N26" s="27"/>
      <c r="O26" s="27"/>
      <c r="P26" s="43"/>
      <c r="Q26" s="27"/>
      <c r="R26" s="17"/>
      <c r="S26" s="17"/>
      <c r="T26" s="17"/>
    </row>
    <row r="27" spans="1:20">
      <c r="A27" s="25"/>
      <c r="B27" s="26"/>
      <c r="C27" s="27"/>
      <c r="D27" s="27"/>
      <c r="E27" s="27"/>
      <c r="F27" s="31" t="b">
        <f t="shared" si="4"/>
        <v>0</v>
      </c>
      <c r="G27" s="32" t="b">
        <f t="shared" si="0"/>
        <v>0</v>
      </c>
      <c r="H27" s="27"/>
      <c r="I27" s="33" t="b">
        <f t="shared" si="5"/>
        <v>0</v>
      </c>
      <c r="J27" s="40" t="e">
        <f t="shared" si="6"/>
        <v>#VALUE!</v>
      </c>
      <c r="K27" s="40" t="e">
        <f t="shared" si="1"/>
        <v>#VALUE!</v>
      </c>
      <c r="L27" s="41" t="e">
        <f t="shared" si="2"/>
        <v>#VALUE!</v>
      </c>
      <c r="M27" s="41" t="e">
        <f t="shared" si="3"/>
        <v>#VALUE!</v>
      </c>
      <c r="N27" s="27"/>
      <c r="O27" s="27"/>
      <c r="P27" s="43"/>
      <c r="Q27" s="27"/>
      <c r="R27" s="17"/>
      <c r="S27" s="17"/>
      <c r="T27" s="17"/>
    </row>
    <row r="28" spans="1:20">
      <c r="A28" s="25"/>
      <c r="B28" s="26"/>
      <c r="C28" s="27"/>
      <c r="D28" s="27"/>
      <c r="E28" s="27"/>
      <c r="F28" s="31" t="b">
        <f t="shared" si="4"/>
        <v>0</v>
      </c>
      <c r="G28" s="32" t="b">
        <f t="shared" si="0"/>
        <v>0</v>
      </c>
      <c r="H28" s="27"/>
      <c r="I28" s="33" t="b">
        <f t="shared" si="5"/>
        <v>0</v>
      </c>
      <c r="J28" s="40" t="e">
        <f t="shared" si="6"/>
        <v>#VALUE!</v>
      </c>
      <c r="K28" s="40" t="e">
        <f t="shared" si="1"/>
        <v>#VALUE!</v>
      </c>
      <c r="L28" s="41" t="e">
        <f t="shared" si="2"/>
        <v>#VALUE!</v>
      </c>
      <c r="M28" s="41" t="e">
        <f t="shared" si="3"/>
        <v>#VALUE!</v>
      </c>
      <c r="N28" s="27"/>
      <c r="O28" s="27"/>
      <c r="P28" s="43"/>
      <c r="Q28" s="27"/>
      <c r="R28" s="17"/>
      <c r="S28" s="17"/>
      <c r="T28" s="17"/>
    </row>
    <row r="29" spans="1:20">
      <c r="A29" s="25"/>
      <c r="B29" s="26"/>
      <c r="C29" s="27"/>
      <c r="D29" s="27"/>
      <c r="E29" s="27"/>
      <c r="F29" s="31" t="b">
        <f t="shared" si="4"/>
        <v>0</v>
      </c>
      <c r="G29" s="32" t="b">
        <f t="shared" si="0"/>
        <v>0</v>
      </c>
      <c r="H29" s="27"/>
      <c r="I29" s="33" t="b">
        <f t="shared" si="5"/>
        <v>0</v>
      </c>
      <c r="J29" s="40" t="e">
        <f t="shared" si="6"/>
        <v>#VALUE!</v>
      </c>
      <c r="K29" s="40" t="e">
        <f t="shared" si="1"/>
        <v>#VALUE!</v>
      </c>
      <c r="L29" s="41" t="e">
        <f t="shared" si="2"/>
        <v>#VALUE!</v>
      </c>
      <c r="M29" s="41" t="e">
        <f t="shared" si="3"/>
        <v>#VALUE!</v>
      </c>
      <c r="N29" s="27"/>
      <c r="O29" s="27"/>
      <c r="P29" s="43"/>
      <c r="Q29" s="27"/>
      <c r="R29" s="17"/>
      <c r="S29" s="17"/>
      <c r="T29" s="17"/>
    </row>
    <row r="30" spans="1:20">
      <c r="A30" s="25"/>
      <c r="B30" s="26"/>
      <c r="C30" s="27"/>
      <c r="D30" s="27"/>
      <c r="E30" s="27"/>
      <c r="F30" s="31" t="b">
        <f t="shared" si="4"/>
        <v>0</v>
      </c>
      <c r="G30" s="32" t="b">
        <f t="shared" si="0"/>
        <v>0</v>
      </c>
      <c r="H30" s="27"/>
      <c r="I30" s="33" t="b">
        <f t="shared" si="5"/>
        <v>0</v>
      </c>
      <c r="J30" s="40" t="e">
        <f t="shared" si="6"/>
        <v>#VALUE!</v>
      </c>
      <c r="K30" s="40" t="e">
        <f t="shared" si="1"/>
        <v>#VALUE!</v>
      </c>
      <c r="L30" s="41" t="e">
        <f t="shared" si="2"/>
        <v>#VALUE!</v>
      </c>
      <c r="M30" s="41" t="e">
        <f t="shared" si="3"/>
        <v>#VALUE!</v>
      </c>
      <c r="N30" s="27"/>
      <c r="O30" s="27"/>
      <c r="P30" s="43"/>
      <c r="Q30" s="27"/>
      <c r="R30" s="17"/>
      <c r="S30" s="17"/>
      <c r="T30" s="17"/>
    </row>
    <row r="31" spans="1:20">
      <c r="A31" s="25"/>
      <c r="B31" s="26"/>
      <c r="C31" s="27"/>
      <c r="D31" s="27"/>
      <c r="E31" s="27"/>
      <c r="F31" s="31" t="b">
        <f t="shared" si="4"/>
        <v>0</v>
      </c>
      <c r="G31" s="32" t="b">
        <f t="shared" si="0"/>
        <v>0</v>
      </c>
      <c r="H31" s="27"/>
      <c r="I31" s="33" t="b">
        <f t="shared" si="5"/>
        <v>0</v>
      </c>
      <c r="J31" s="40" t="e">
        <f t="shared" si="6"/>
        <v>#VALUE!</v>
      </c>
      <c r="K31" s="40" t="e">
        <f t="shared" si="1"/>
        <v>#VALUE!</v>
      </c>
      <c r="L31" s="41" t="e">
        <f t="shared" si="2"/>
        <v>#VALUE!</v>
      </c>
      <c r="M31" s="41" t="e">
        <f t="shared" si="3"/>
        <v>#VALUE!</v>
      </c>
      <c r="N31" s="27"/>
      <c r="O31" s="27"/>
      <c r="P31" s="43"/>
      <c r="Q31" s="27"/>
      <c r="R31" s="17"/>
      <c r="S31" s="17"/>
      <c r="T31" s="17"/>
    </row>
    <row r="32" spans="1:20">
      <c r="A32" s="25"/>
      <c r="B32" s="26"/>
      <c r="C32" s="27"/>
      <c r="D32" s="27"/>
      <c r="E32" s="27"/>
      <c r="F32" s="31" t="b">
        <f t="shared" si="4"/>
        <v>0</v>
      </c>
      <c r="G32" s="32" t="b">
        <f t="shared" si="0"/>
        <v>0</v>
      </c>
      <c r="H32" s="27"/>
      <c r="I32" s="33" t="b">
        <f t="shared" si="5"/>
        <v>0</v>
      </c>
      <c r="J32" s="40" t="e">
        <f t="shared" si="6"/>
        <v>#VALUE!</v>
      </c>
      <c r="K32" s="40" t="e">
        <f t="shared" si="1"/>
        <v>#VALUE!</v>
      </c>
      <c r="L32" s="41" t="e">
        <f t="shared" si="2"/>
        <v>#VALUE!</v>
      </c>
      <c r="M32" s="41" t="e">
        <f t="shared" si="3"/>
        <v>#VALUE!</v>
      </c>
      <c r="N32" s="27"/>
      <c r="O32" s="27"/>
      <c r="P32" s="43"/>
      <c r="Q32" s="27"/>
      <c r="R32" s="17"/>
      <c r="S32" s="17"/>
      <c r="T32" s="17"/>
    </row>
    <row r="33" spans="1:20">
      <c r="A33" s="25"/>
      <c r="B33" s="26"/>
      <c r="C33" s="27"/>
      <c r="D33" s="27"/>
      <c r="E33" s="27"/>
      <c r="F33" s="31" t="b">
        <f t="shared" si="4"/>
        <v>0</v>
      </c>
      <c r="G33" s="32" t="b">
        <f t="shared" si="0"/>
        <v>0</v>
      </c>
      <c r="H33" s="27"/>
      <c r="I33" s="33" t="b">
        <f t="shared" si="5"/>
        <v>0</v>
      </c>
      <c r="J33" s="40" t="e">
        <f t="shared" si="6"/>
        <v>#VALUE!</v>
      </c>
      <c r="K33" s="40" t="e">
        <f t="shared" si="1"/>
        <v>#VALUE!</v>
      </c>
      <c r="L33" s="41" t="e">
        <f t="shared" si="2"/>
        <v>#VALUE!</v>
      </c>
      <c r="M33" s="41" t="e">
        <f t="shared" si="3"/>
        <v>#VALUE!</v>
      </c>
      <c r="N33" s="27"/>
      <c r="O33" s="27"/>
      <c r="P33" s="43"/>
      <c r="Q33" s="27"/>
      <c r="R33" s="17"/>
      <c r="S33" s="17"/>
      <c r="T33" s="17"/>
    </row>
    <row r="34" spans="1:20">
      <c r="A34" s="25"/>
      <c r="B34" s="26"/>
      <c r="C34" s="27"/>
      <c r="D34" s="27"/>
      <c r="E34" s="27"/>
      <c r="F34" s="31" t="b">
        <f t="shared" si="4"/>
        <v>0</v>
      </c>
      <c r="G34" s="32" t="b">
        <f t="shared" si="0"/>
        <v>0</v>
      </c>
      <c r="H34" s="27"/>
      <c r="I34" s="33" t="b">
        <f t="shared" si="5"/>
        <v>0</v>
      </c>
      <c r="J34" s="40" t="e">
        <f t="shared" si="6"/>
        <v>#VALUE!</v>
      </c>
      <c r="K34" s="40" t="e">
        <f t="shared" si="1"/>
        <v>#VALUE!</v>
      </c>
      <c r="L34" s="41" t="e">
        <f t="shared" si="2"/>
        <v>#VALUE!</v>
      </c>
      <c r="M34" s="41" t="e">
        <f t="shared" si="3"/>
        <v>#VALUE!</v>
      </c>
      <c r="N34" s="27"/>
      <c r="O34" s="27"/>
      <c r="P34" s="43"/>
      <c r="Q34" s="27"/>
      <c r="R34" s="17"/>
      <c r="S34" s="17"/>
      <c r="T34" s="17"/>
    </row>
    <row r="35" spans="1:20">
      <c r="A35" s="25"/>
      <c r="B35" s="26"/>
      <c r="C35" s="27"/>
      <c r="D35" s="27"/>
      <c r="E35" s="27"/>
      <c r="F35" s="31" t="b">
        <f t="shared" si="4"/>
        <v>0</v>
      </c>
      <c r="G35" s="32" t="b">
        <f t="shared" si="0"/>
        <v>0</v>
      </c>
      <c r="H35" s="27"/>
      <c r="I35" s="33" t="b">
        <f t="shared" si="5"/>
        <v>0</v>
      </c>
      <c r="J35" s="40" t="e">
        <f t="shared" si="6"/>
        <v>#VALUE!</v>
      </c>
      <c r="K35" s="40" t="e">
        <f t="shared" si="1"/>
        <v>#VALUE!</v>
      </c>
      <c r="L35" s="41" t="e">
        <f t="shared" si="2"/>
        <v>#VALUE!</v>
      </c>
      <c r="M35" s="41" t="e">
        <f t="shared" si="3"/>
        <v>#VALUE!</v>
      </c>
      <c r="N35" s="27"/>
      <c r="O35" s="27"/>
      <c r="P35" s="43"/>
      <c r="Q35" s="27"/>
      <c r="R35" s="17"/>
      <c r="S35" s="17"/>
      <c r="T35" s="17"/>
    </row>
    <row r="36" spans="1:20">
      <c r="A36" s="25"/>
      <c r="B36" s="26"/>
      <c r="C36" s="27"/>
      <c r="D36" s="27"/>
      <c r="E36" s="27"/>
      <c r="F36" s="31" t="b">
        <f t="shared" si="4"/>
        <v>0</v>
      </c>
      <c r="G36" s="32" t="b">
        <f t="shared" si="0"/>
        <v>0</v>
      </c>
      <c r="H36" s="27"/>
      <c r="I36" s="33" t="b">
        <f t="shared" si="5"/>
        <v>0</v>
      </c>
      <c r="J36" s="40" t="e">
        <f t="shared" si="6"/>
        <v>#VALUE!</v>
      </c>
      <c r="K36" s="40" t="e">
        <f t="shared" si="1"/>
        <v>#VALUE!</v>
      </c>
      <c r="L36" s="41" t="e">
        <f t="shared" si="2"/>
        <v>#VALUE!</v>
      </c>
      <c r="M36" s="41" t="e">
        <f t="shared" si="3"/>
        <v>#VALUE!</v>
      </c>
      <c r="N36" s="27"/>
      <c r="O36" s="27"/>
      <c r="P36" s="43"/>
      <c r="Q36" s="27"/>
      <c r="R36" s="17"/>
      <c r="S36" s="17"/>
      <c r="T36" s="17"/>
    </row>
    <row r="37" spans="1:20">
      <c r="A37" s="25"/>
      <c r="B37" s="26"/>
      <c r="C37" s="27"/>
      <c r="D37" s="27"/>
      <c r="E37" s="27"/>
      <c r="F37" s="31" t="b">
        <f t="shared" si="4"/>
        <v>0</v>
      </c>
      <c r="G37" s="32" t="b">
        <f t="shared" si="0"/>
        <v>0</v>
      </c>
      <c r="H37" s="27"/>
      <c r="I37" s="33" t="b">
        <f t="shared" si="5"/>
        <v>0</v>
      </c>
      <c r="J37" s="40" t="e">
        <f t="shared" si="6"/>
        <v>#VALUE!</v>
      </c>
      <c r="K37" s="40" t="e">
        <f t="shared" si="1"/>
        <v>#VALUE!</v>
      </c>
      <c r="L37" s="41" t="e">
        <f t="shared" si="2"/>
        <v>#VALUE!</v>
      </c>
      <c r="M37" s="41" t="e">
        <f t="shared" si="3"/>
        <v>#VALUE!</v>
      </c>
      <c r="N37" s="27"/>
      <c r="O37" s="27"/>
      <c r="P37" s="43"/>
      <c r="Q37" s="27"/>
      <c r="R37" s="17"/>
      <c r="S37" s="17"/>
      <c r="T37" s="17"/>
    </row>
    <row r="38" spans="1:20">
      <c r="A38" s="25"/>
      <c r="B38" s="26"/>
      <c r="C38" s="27"/>
      <c r="D38" s="27"/>
      <c r="E38" s="27"/>
      <c r="F38" s="31" t="b">
        <f t="shared" si="4"/>
        <v>0</v>
      </c>
      <c r="G38" s="32" t="b">
        <f t="shared" si="0"/>
        <v>0</v>
      </c>
      <c r="H38" s="27"/>
      <c r="I38" s="33" t="b">
        <f t="shared" si="5"/>
        <v>0</v>
      </c>
      <c r="J38" s="40" t="e">
        <f t="shared" si="6"/>
        <v>#VALUE!</v>
      </c>
      <c r="K38" s="40" t="e">
        <f t="shared" si="1"/>
        <v>#VALUE!</v>
      </c>
      <c r="L38" s="41" t="e">
        <f t="shared" si="2"/>
        <v>#VALUE!</v>
      </c>
      <c r="M38" s="41" t="e">
        <f t="shared" si="3"/>
        <v>#VALUE!</v>
      </c>
      <c r="N38" s="27"/>
      <c r="O38" s="27"/>
      <c r="P38" s="43"/>
      <c r="Q38" s="27"/>
      <c r="R38" s="17"/>
      <c r="S38" s="17"/>
      <c r="T38" s="17"/>
    </row>
    <row r="39" spans="1:20">
      <c r="A39" s="25"/>
      <c r="B39" s="26"/>
      <c r="C39" s="27"/>
      <c r="D39" s="27"/>
      <c r="E39" s="27"/>
      <c r="F39" s="31" t="b">
        <f t="shared" si="4"/>
        <v>0</v>
      </c>
      <c r="G39" s="32" t="b">
        <f t="shared" si="0"/>
        <v>0</v>
      </c>
      <c r="H39" s="27"/>
      <c r="I39" s="33" t="b">
        <f t="shared" si="5"/>
        <v>0</v>
      </c>
      <c r="J39" s="40" t="e">
        <f t="shared" si="6"/>
        <v>#VALUE!</v>
      </c>
      <c r="K39" s="40" t="e">
        <f t="shared" si="1"/>
        <v>#VALUE!</v>
      </c>
      <c r="L39" s="41" t="e">
        <f t="shared" si="2"/>
        <v>#VALUE!</v>
      </c>
      <c r="M39" s="41" t="e">
        <f t="shared" si="3"/>
        <v>#VALUE!</v>
      </c>
      <c r="N39" s="27"/>
      <c r="O39" s="27"/>
      <c r="P39" s="43"/>
      <c r="Q39" s="27"/>
      <c r="R39" s="17"/>
      <c r="S39" s="17"/>
      <c r="T39" s="17"/>
    </row>
    <row r="40" spans="1:20">
      <c r="A40" s="25"/>
      <c r="B40" s="26"/>
      <c r="C40" s="27"/>
      <c r="D40" s="27"/>
      <c r="E40" s="27"/>
      <c r="F40" s="31" t="b">
        <f t="shared" si="4"/>
        <v>0</v>
      </c>
      <c r="G40" s="32" t="b">
        <f t="shared" si="0"/>
        <v>0</v>
      </c>
      <c r="H40" s="27"/>
      <c r="I40" s="33" t="b">
        <f t="shared" si="5"/>
        <v>0</v>
      </c>
      <c r="J40" s="40" t="e">
        <f t="shared" si="6"/>
        <v>#VALUE!</v>
      </c>
      <c r="K40" s="40" t="e">
        <f t="shared" si="1"/>
        <v>#VALUE!</v>
      </c>
      <c r="L40" s="41" t="e">
        <f t="shared" si="2"/>
        <v>#VALUE!</v>
      </c>
      <c r="M40" s="41" t="e">
        <f t="shared" si="3"/>
        <v>#VALUE!</v>
      </c>
      <c r="N40" s="27"/>
      <c r="O40" s="27"/>
      <c r="P40" s="43"/>
      <c r="Q40" s="27"/>
      <c r="R40" s="17"/>
      <c r="S40" s="17"/>
      <c r="T40" s="17"/>
    </row>
    <row r="41" spans="1:20">
      <c r="A41" s="25"/>
      <c r="B41" s="26"/>
      <c r="C41" s="27"/>
      <c r="D41" s="27"/>
      <c r="E41" s="27"/>
      <c r="F41" s="31" t="b">
        <f t="shared" si="4"/>
        <v>0</v>
      </c>
      <c r="G41" s="32" t="b">
        <f t="shared" si="0"/>
        <v>0</v>
      </c>
      <c r="H41" s="27"/>
      <c r="I41" s="33" t="b">
        <f t="shared" si="5"/>
        <v>0</v>
      </c>
      <c r="J41" s="40" t="e">
        <f t="shared" si="6"/>
        <v>#VALUE!</v>
      </c>
      <c r="K41" s="40" t="e">
        <f t="shared" si="1"/>
        <v>#VALUE!</v>
      </c>
      <c r="L41" s="41" t="e">
        <f t="shared" si="2"/>
        <v>#VALUE!</v>
      </c>
      <c r="M41" s="41" t="e">
        <f t="shared" si="3"/>
        <v>#VALUE!</v>
      </c>
      <c r="N41" s="27"/>
      <c r="O41" s="27"/>
      <c r="P41" s="43"/>
      <c r="Q41" s="27"/>
      <c r="R41" s="17"/>
      <c r="S41" s="17"/>
      <c r="T41" s="17"/>
    </row>
    <row r="42" spans="1:20">
      <c r="A42" s="25"/>
      <c r="B42" s="26"/>
      <c r="C42" s="27"/>
      <c r="D42" s="27"/>
      <c r="E42" s="27"/>
      <c r="F42" s="31" t="b">
        <f t="shared" si="4"/>
        <v>0</v>
      </c>
      <c r="G42" s="32" t="b">
        <f t="shared" si="0"/>
        <v>0</v>
      </c>
      <c r="H42" s="27"/>
      <c r="I42" s="33" t="b">
        <f t="shared" si="5"/>
        <v>0</v>
      </c>
      <c r="J42" s="40" t="e">
        <f t="shared" si="6"/>
        <v>#VALUE!</v>
      </c>
      <c r="K42" s="40" t="e">
        <f t="shared" si="1"/>
        <v>#VALUE!</v>
      </c>
      <c r="L42" s="41" t="e">
        <f t="shared" si="2"/>
        <v>#VALUE!</v>
      </c>
      <c r="M42" s="41" t="e">
        <f t="shared" si="3"/>
        <v>#VALUE!</v>
      </c>
      <c r="N42" s="27"/>
      <c r="O42" s="27"/>
      <c r="P42" s="43"/>
      <c r="Q42" s="27"/>
      <c r="R42" s="17"/>
      <c r="S42" s="17"/>
      <c r="T42" s="17"/>
    </row>
    <row r="43" spans="1:20">
      <c r="A43" s="25"/>
      <c r="B43" s="26"/>
      <c r="C43" s="27"/>
      <c r="D43" s="27"/>
      <c r="E43" s="27"/>
      <c r="F43" s="31" t="b">
        <f t="shared" si="4"/>
        <v>0</v>
      </c>
      <c r="G43" s="32" t="b">
        <f t="shared" si="0"/>
        <v>0</v>
      </c>
      <c r="H43" s="27"/>
      <c r="I43" s="33" t="b">
        <f t="shared" si="5"/>
        <v>0</v>
      </c>
      <c r="J43" s="40" t="e">
        <f t="shared" si="6"/>
        <v>#VALUE!</v>
      </c>
      <c r="K43" s="40" t="e">
        <f t="shared" si="1"/>
        <v>#VALUE!</v>
      </c>
      <c r="L43" s="41" t="e">
        <f t="shared" si="2"/>
        <v>#VALUE!</v>
      </c>
      <c r="M43" s="41" t="e">
        <f t="shared" si="3"/>
        <v>#VALUE!</v>
      </c>
      <c r="N43" s="27"/>
      <c r="O43" s="27"/>
      <c r="P43" s="43"/>
      <c r="Q43" s="27"/>
      <c r="R43" s="17"/>
      <c r="S43" s="17"/>
      <c r="T43" s="17"/>
    </row>
    <row r="44" spans="1:20">
      <c r="A44" s="25"/>
      <c r="B44" s="26"/>
      <c r="C44" s="27"/>
      <c r="D44" s="27"/>
      <c r="E44" s="27"/>
      <c r="F44" s="31" t="b">
        <f t="shared" si="4"/>
        <v>0</v>
      </c>
      <c r="G44" s="32" t="b">
        <f t="shared" si="0"/>
        <v>0</v>
      </c>
      <c r="H44" s="27"/>
      <c r="I44" s="33" t="b">
        <f t="shared" si="5"/>
        <v>0</v>
      </c>
      <c r="J44" s="40" t="e">
        <f t="shared" si="6"/>
        <v>#VALUE!</v>
      </c>
      <c r="K44" s="40" t="e">
        <f t="shared" si="1"/>
        <v>#VALUE!</v>
      </c>
      <c r="L44" s="41" t="e">
        <f t="shared" si="2"/>
        <v>#VALUE!</v>
      </c>
      <c r="M44" s="41" t="e">
        <f t="shared" si="3"/>
        <v>#VALUE!</v>
      </c>
      <c r="N44" s="27"/>
      <c r="O44" s="27"/>
      <c r="P44" s="43"/>
      <c r="Q44" s="27"/>
      <c r="R44" s="17"/>
      <c r="S44" s="17"/>
      <c r="T44" s="17"/>
    </row>
    <row r="45" spans="1:20">
      <c r="A45" s="25"/>
      <c r="B45" s="26"/>
      <c r="C45" s="27"/>
      <c r="D45" s="27"/>
      <c r="E45" s="27"/>
      <c r="F45" s="31" t="b">
        <f t="shared" si="4"/>
        <v>0</v>
      </c>
      <c r="G45" s="32" t="b">
        <f t="shared" si="0"/>
        <v>0</v>
      </c>
      <c r="H45" s="27"/>
      <c r="I45" s="33" t="b">
        <f t="shared" si="5"/>
        <v>0</v>
      </c>
      <c r="J45" s="40" t="e">
        <f t="shared" si="6"/>
        <v>#VALUE!</v>
      </c>
      <c r="K45" s="40" t="e">
        <f t="shared" si="1"/>
        <v>#VALUE!</v>
      </c>
      <c r="L45" s="41" t="e">
        <f t="shared" si="2"/>
        <v>#VALUE!</v>
      </c>
      <c r="M45" s="41" t="e">
        <f t="shared" si="3"/>
        <v>#VALUE!</v>
      </c>
      <c r="N45" s="27"/>
      <c r="O45" s="27"/>
      <c r="P45" s="43"/>
      <c r="Q45" s="27"/>
      <c r="R45" s="17"/>
      <c r="S45" s="17"/>
      <c r="T45" s="17"/>
    </row>
    <row r="46" spans="1:20">
      <c r="A46" s="25"/>
      <c r="B46" s="26"/>
      <c r="C46" s="27"/>
      <c r="D46" s="27"/>
      <c r="E46" s="27"/>
      <c r="F46" s="31" t="b">
        <f t="shared" si="4"/>
        <v>0</v>
      </c>
      <c r="G46" s="32" t="b">
        <f t="shared" si="0"/>
        <v>0</v>
      </c>
      <c r="H46" s="27"/>
      <c r="I46" s="33" t="b">
        <f t="shared" si="5"/>
        <v>0</v>
      </c>
      <c r="J46" s="40" t="e">
        <f t="shared" si="6"/>
        <v>#VALUE!</v>
      </c>
      <c r="K46" s="40" t="e">
        <f t="shared" si="1"/>
        <v>#VALUE!</v>
      </c>
      <c r="L46" s="41" t="e">
        <f t="shared" si="2"/>
        <v>#VALUE!</v>
      </c>
      <c r="M46" s="41" t="e">
        <f t="shared" si="3"/>
        <v>#VALUE!</v>
      </c>
      <c r="N46" s="27"/>
      <c r="O46" s="27"/>
      <c r="P46" s="43"/>
      <c r="Q46" s="27"/>
      <c r="R46" s="17"/>
      <c r="S46" s="17"/>
      <c r="T46" s="17"/>
    </row>
    <row r="47" spans="1:20">
      <c r="A47" s="25"/>
      <c r="B47" s="26"/>
      <c r="C47" s="27"/>
      <c r="D47" s="27"/>
      <c r="E47" s="27"/>
      <c r="F47" s="31" t="b">
        <f t="shared" si="4"/>
        <v>0</v>
      </c>
      <c r="G47" s="32" t="b">
        <f t="shared" si="0"/>
        <v>0</v>
      </c>
      <c r="H47" s="27"/>
      <c r="I47" s="33" t="b">
        <f t="shared" si="5"/>
        <v>0</v>
      </c>
      <c r="J47" s="40" t="e">
        <f t="shared" si="6"/>
        <v>#VALUE!</v>
      </c>
      <c r="K47" s="40" t="e">
        <f t="shared" si="1"/>
        <v>#VALUE!</v>
      </c>
      <c r="L47" s="41" t="e">
        <f t="shared" si="2"/>
        <v>#VALUE!</v>
      </c>
      <c r="M47" s="41" t="e">
        <f t="shared" si="3"/>
        <v>#VALUE!</v>
      </c>
      <c r="N47" s="27"/>
      <c r="O47" s="27"/>
      <c r="P47" s="43"/>
      <c r="Q47" s="27"/>
      <c r="R47" s="17"/>
      <c r="S47" s="17"/>
      <c r="T47" s="17"/>
    </row>
    <row r="48" spans="1:20">
      <c r="A48" s="25"/>
      <c r="B48" s="26"/>
      <c r="C48" s="27"/>
      <c r="D48" s="27"/>
      <c r="E48" s="27"/>
      <c r="F48" s="31" t="b">
        <f t="shared" si="4"/>
        <v>0</v>
      </c>
      <c r="G48" s="32" t="b">
        <f t="shared" si="0"/>
        <v>0</v>
      </c>
      <c r="H48" s="27"/>
      <c r="I48" s="33" t="b">
        <f t="shared" si="5"/>
        <v>0</v>
      </c>
      <c r="J48" s="40" t="e">
        <f t="shared" si="6"/>
        <v>#VALUE!</v>
      </c>
      <c r="K48" s="40" t="e">
        <f t="shared" si="1"/>
        <v>#VALUE!</v>
      </c>
      <c r="L48" s="41" t="e">
        <f t="shared" si="2"/>
        <v>#VALUE!</v>
      </c>
      <c r="M48" s="41" t="e">
        <f t="shared" si="3"/>
        <v>#VALUE!</v>
      </c>
      <c r="N48" s="27"/>
      <c r="O48" s="27"/>
      <c r="P48" s="43"/>
      <c r="Q48" s="27"/>
      <c r="R48" s="17"/>
      <c r="S48" s="17"/>
      <c r="T48" s="17"/>
    </row>
    <row r="49" spans="1:20">
      <c r="A49" s="25"/>
      <c r="B49" s="26"/>
      <c r="C49" s="27"/>
      <c r="D49" s="27"/>
      <c r="E49" s="27"/>
      <c r="F49" s="31" t="b">
        <f t="shared" si="4"/>
        <v>0</v>
      </c>
      <c r="G49" s="32" t="b">
        <f t="shared" si="0"/>
        <v>0</v>
      </c>
      <c r="H49" s="27"/>
      <c r="I49" s="33" t="b">
        <f t="shared" si="5"/>
        <v>0</v>
      </c>
      <c r="J49" s="40" t="e">
        <f t="shared" si="6"/>
        <v>#VALUE!</v>
      </c>
      <c r="K49" s="40" t="e">
        <f t="shared" si="1"/>
        <v>#VALUE!</v>
      </c>
      <c r="L49" s="41" t="e">
        <f t="shared" si="2"/>
        <v>#VALUE!</v>
      </c>
      <c r="M49" s="41" t="e">
        <f t="shared" si="3"/>
        <v>#VALUE!</v>
      </c>
      <c r="N49" s="27"/>
      <c r="O49" s="27"/>
      <c r="P49" s="43"/>
      <c r="Q49" s="27"/>
      <c r="R49" s="17"/>
      <c r="S49" s="17"/>
      <c r="T49" s="17"/>
    </row>
    <row r="50" spans="1:20">
      <c r="A50" s="25"/>
      <c r="B50" s="26"/>
      <c r="C50" s="27"/>
      <c r="D50" s="27"/>
      <c r="E50" s="27"/>
      <c r="F50" s="31" t="b">
        <f t="shared" si="4"/>
        <v>0</v>
      </c>
      <c r="G50" s="32" t="b">
        <f t="shared" si="0"/>
        <v>0</v>
      </c>
      <c r="H50" s="27"/>
      <c r="I50" s="33" t="b">
        <f t="shared" si="5"/>
        <v>0</v>
      </c>
      <c r="J50" s="40" t="e">
        <f t="shared" si="6"/>
        <v>#VALUE!</v>
      </c>
      <c r="K50" s="40" t="e">
        <f t="shared" si="1"/>
        <v>#VALUE!</v>
      </c>
      <c r="L50" s="41" t="e">
        <f t="shared" si="2"/>
        <v>#VALUE!</v>
      </c>
      <c r="M50" s="41" t="e">
        <f t="shared" si="3"/>
        <v>#VALUE!</v>
      </c>
      <c r="N50" s="27"/>
      <c r="O50" s="27"/>
      <c r="P50" s="43"/>
      <c r="Q50" s="27"/>
      <c r="R50" s="17"/>
      <c r="S50" s="17"/>
      <c r="T50" s="17"/>
    </row>
    <row r="51" spans="1:20">
      <c r="A51" s="25"/>
      <c r="B51" s="26"/>
      <c r="C51" s="27"/>
      <c r="D51" s="27"/>
      <c r="E51" s="27"/>
      <c r="F51" s="31" t="b">
        <f t="shared" si="4"/>
        <v>0</v>
      </c>
      <c r="G51" s="32" t="b">
        <f t="shared" si="0"/>
        <v>0</v>
      </c>
      <c r="H51" s="27"/>
      <c r="I51" s="33" t="b">
        <f t="shared" si="5"/>
        <v>0</v>
      </c>
      <c r="J51" s="40" t="e">
        <f t="shared" si="6"/>
        <v>#VALUE!</v>
      </c>
      <c r="K51" s="40" t="e">
        <f t="shared" si="1"/>
        <v>#VALUE!</v>
      </c>
      <c r="L51" s="41" t="e">
        <f t="shared" si="2"/>
        <v>#VALUE!</v>
      </c>
      <c r="M51" s="41" t="e">
        <f t="shared" si="3"/>
        <v>#VALUE!</v>
      </c>
      <c r="N51" s="27"/>
      <c r="O51" s="27"/>
      <c r="P51" s="43"/>
      <c r="Q51" s="27"/>
      <c r="R51" s="17"/>
      <c r="S51" s="17"/>
      <c r="T51" s="17"/>
    </row>
    <row r="52" spans="1:20">
      <c r="A52" s="25"/>
      <c r="B52" s="26"/>
      <c r="C52" s="27"/>
      <c r="D52" s="27"/>
      <c r="E52" s="27"/>
      <c r="F52" s="31" t="b">
        <f t="shared" si="4"/>
        <v>0</v>
      </c>
      <c r="G52" s="32" t="b">
        <f t="shared" si="0"/>
        <v>0</v>
      </c>
      <c r="H52" s="27"/>
      <c r="I52" s="33" t="b">
        <f t="shared" si="5"/>
        <v>0</v>
      </c>
      <c r="J52" s="40" t="e">
        <f t="shared" si="6"/>
        <v>#VALUE!</v>
      </c>
      <c r="K52" s="40" t="e">
        <f t="shared" si="1"/>
        <v>#VALUE!</v>
      </c>
      <c r="L52" s="41" t="e">
        <f t="shared" si="2"/>
        <v>#VALUE!</v>
      </c>
      <c r="M52" s="41" t="e">
        <f t="shared" si="3"/>
        <v>#VALUE!</v>
      </c>
      <c r="N52" s="27"/>
      <c r="O52" s="27"/>
      <c r="P52" s="43"/>
      <c r="Q52" s="27"/>
      <c r="R52" s="17"/>
      <c r="S52" s="17"/>
      <c r="T52" s="17"/>
    </row>
    <row r="53" spans="1:20">
      <c r="A53" s="25"/>
      <c r="B53" s="26"/>
      <c r="C53" s="27"/>
      <c r="D53" s="27"/>
      <c r="E53" s="27"/>
      <c r="F53" s="31" t="b">
        <f t="shared" si="4"/>
        <v>0</v>
      </c>
      <c r="G53" s="32" t="b">
        <f t="shared" si="0"/>
        <v>0</v>
      </c>
      <c r="H53" s="27"/>
      <c r="I53" s="33" t="b">
        <f t="shared" si="5"/>
        <v>0</v>
      </c>
      <c r="J53" s="40" t="e">
        <f t="shared" si="6"/>
        <v>#VALUE!</v>
      </c>
      <c r="K53" s="40" t="e">
        <f t="shared" si="1"/>
        <v>#VALUE!</v>
      </c>
      <c r="L53" s="41" t="e">
        <f t="shared" si="2"/>
        <v>#VALUE!</v>
      </c>
      <c r="M53" s="41" t="e">
        <f t="shared" si="3"/>
        <v>#VALUE!</v>
      </c>
      <c r="N53" s="27"/>
      <c r="O53" s="27"/>
      <c r="P53" s="43"/>
      <c r="Q53" s="27"/>
      <c r="R53" s="17"/>
      <c r="S53" s="17"/>
      <c r="T53" s="17"/>
    </row>
    <row r="54" spans="1:20">
      <c r="A54" s="25"/>
      <c r="B54" s="26"/>
      <c r="C54" s="27"/>
      <c r="D54" s="27"/>
      <c r="E54" s="27"/>
      <c r="F54" s="31" t="b">
        <f t="shared" si="4"/>
        <v>0</v>
      </c>
      <c r="G54" s="32" t="b">
        <f t="shared" si="0"/>
        <v>0</v>
      </c>
      <c r="H54" s="27"/>
      <c r="I54" s="33" t="b">
        <f t="shared" si="5"/>
        <v>0</v>
      </c>
      <c r="J54" s="40" t="e">
        <f t="shared" si="6"/>
        <v>#VALUE!</v>
      </c>
      <c r="K54" s="40" t="e">
        <f t="shared" si="1"/>
        <v>#VALUE!</v>
      </c>
      <c r="L54" s="41" t="e">
        <f t="shared" si="2"/>
        <v>#VALUE!</v>
      </c>
      <c r="M54" s="41" t="e">
        <f t="shared" si="3"/>
        <v>#VALUE!</v>
      </c>
      <c r="N54" s="27"/>
      <c r="O54" s="27"/>
      <c r="P54" s="43"/>
      <c r="Q54" s="27"/>
      <c r="R54" s="17"/>
      <c r="S54" s="17"/>
      <c r="T54" s="17"/>
    </row>
    <row r="55" spans="1:20">
      <c r="A55" s="25"/>
      <c r="B55" s="26"/>
      <c r="C55" s="27"/>
      <c r="D55" s="27"/>
      <c r="E55" s="27"/>
      <c r="F55" s="31" t="b">
        <f t="shared" si="4"/>
        <v>0</v>
      </c>
      <c r="G55" s="32" t="b">
        <f t="shared" si="0"/>
        <v>0</v>
      </c>
      <c r="H55" s="27"/>
      <c r="I55" s="33" t="b">
        <f t="shared" si="5"/>
        <v>0</v>
      </c>
      <c r="J55" s="40" t="e">
        <f t="shared" si="6"/>
        <v>#VALUE!</v>
      </c>
      <c r="K55" s="40" t="e">
        <f t="shared" si="1"/>
        <v>#VALUE!</v>
      </c>
      <c r="L55" s="41" t="e">
        <f t="shared" si="2"/>
        <v>#VALUE!</v>
      </c>
      <c r="M55" s="41" t="e">
        <f t="shared" si="3"/>
        <v>#VALUE!</v>
      </c>
      <c r="N55" s="27"/>
      <c r="O55" s="27"/>
      <c r="P55" s="43"/>
      <c r="Q55" s="27"/>
      <c r="R55" s="17"/>
      <c r="S55" s="17"/>
      <c r="T55" s="17"/>
    </row>
    <row r="56" spans="1:20">
      <c r="A56" s="25"/>
      <c r="B56" s="26"/>
      <c r="C56" s="27"/>
      <c r="D56" s="27"/>
      <c r="E56" s="27"/>
      <c r="F56" s="31" t="b">
        <f t="shared" si="4"/>
        <v>0</v>
      </c>
      <c r="G56" s="32" t="b">
        <f t="shared" si="0"/>
        <v>0</v>
      </c>
      <c r="H56" s="27"/>
      <c r="I56" s="33" t="b">
        <f t="shared" si="5"/>
        <v>0</v>
      </c>
      <c r="J56" s="40" t="e">
        <f t="shared" si="6"/>
        <v>#VALUE!</v>
      </c>
      <c r="K56" s="40" t="e">
        <f t="shared" si="1"/>
        <v>#VALUE!</v>
      </c>
      <c r="L56" s="41" t="e">
        <f t="shared" si="2"/>
        <v>#VALUE!</v>
      </c>
      <c r="M56" s="41" t="e">
        <f t="shared" si="3"/>
        <v>#VALUE!</v>
      </c>
      <c r="N56" s="27"/>
      <c r="O56" s="27"/>
      <c r="P56" s="43"/>
      <c r="Q56" s="27"/>
      <c r="R56" s="17"/>
      <c r="S56" s="17"/>
      <c r="T56" s="17"/>
    </row>
    <row r="57" spans="1:20">
      <c r="A57" s="25"/>
      <c r="B57" s="26"/>
      <c r="C57" s="27"/>
      <c r="D57" s="27"/>
      <c r="E57" s="27"/>
      <c r="F57" s="31" t="b">
        <f t="shared" si="4"/>
        <v>0</v>
      </c>
      <c r="G57" s="32" t="b">
        <f t="shared" si="0"/>
        <v>0</v>
      </c>
      <c r="H57" s="27"/>
      <c r="I57" s="33" t="b">
        <f t="shared" si="5"/>
        <v>0</v>
      </c>
      <c r="J57" s="40" t="e">
        <f t="shared" si="6"/>
        <v>#VALUE!</v>
      </c>
      <c r="K57" s="40" t="e">
        <f t="shared" si="1"/>
        <v>#VALUE!</v>
      </c>
      <c r="L57" s="41" t="e">
        <f t="shared" si="2"/>
        <v>#VALUE!</v>
      </c>
      <c r="M57" s="41" t="e">
        <f t="shared" si="3"/>
        <v>#VALUE!</v>
      </c>
      <c r="N57" s="27"/>
      <c r="O57" s="27"/>
      <c r="P57" s="43"/>
      <c r="Q57" s="27"/>
      <c r="R57" s="17"/>
      <c r="S57" s="17"/>
      <c r="T57" s="17"/>
    </row>
    <row r="58" spans="1:20">
      <c r="A58" s="25"/>
      <c r="B58" s="26"/>
      <c r="C58" s="27"/>
      <c r="D58" s="27"/>
      <c r="E58" s="27"/>
      <c r="F58" s="31" t="b">
        <f t="shared" si="4"/>
        <v>0</v>
      </c>
      <c r="G58" s="32" t="b">
        <f t="shared" si="0"/>
        <v>0</v>
      </c>
      <c r="H58" s="27"/>
      <c r="I58" s="33" t="b">
        <f t="shared" si="5"/>
        <v>0</v>
      </c>
      <c r="J58" s="40" t="e">
        <f t="shared" si="6"/>
        <v>#VALUE!</v>
      </c>
      <c r="K58" s="40" t="e">
        <f t="shared" si="1"/>
        <v>#VALUE!</v>
      </c>
      <c r="L58" s="41" t="e">
        <f t="shared" si="2"/>
        <v>#VALUE!</v>
      </c>
      <c r="M58" s="41" t="e">
        <f t="shared" si="3"/>
        <v>#VALUE!</v>
      </c>
      <c r="N58" s="27"/>
      <c r="O58" s="27"/>
      <c r="P58" s="43"/>
      <c r="Q58" s="27"/>
      <c r="R58" s="17"/>
      <c r="S58" s="17"/>
      <c r="T58" s="17"/>
    </row>
    <row r="59" spans="1:20">
      <c r="A59" s="25"/>
      <c r="B59" s="26"/>
      <c r="C59" s="27"/>
      <c r="D59" s="27"/>
      <c r="E59" s="27"/>
      <c r="F59" s="31" t="b">
        <f t="shared" si="4"/>
        <v>0</v>
      </c>
      <c r="G59" s="32" t="b">
        <f t="shared" si="0"/>
        <v>0</v>
      </c>
      <c r="H59" s="27"/>
      <c r="I59" s="33" t="b">
        <f t="shared" si="5"/>
        <v>0</v>
      </c>
      <c r="J59" s="40" t="e">
        <f t="shared" si="6"/>
        <v>#VALUE!</v>
      </c>
      <c r="K59" s="40" t="e">
        <f t="shared" si="1"/>
        <v>#VALUE!</v>
      </c>
      <c r="L59" s="41" t="e">
        <f t="shared" si="2"/>
        <v>#VALUE!</v>
      </c>
      <c r="M59" s="41" t="e">
        <f t="shared" si="3"/>
        <v>#VALUE!</v>
      </c>
      <c r="N59" s="27"/>
      <c r="O59" s="27"/>
      <c r="P59" s="43"/>
      <c r="Q59" s="27"/>
      <c r="R59" s="17"/>
      <c r="S59" s="17"/>
      <c r="T59" s="17"/>
    </row>
    <row r="60" spans="1:20">
      <c r="A60" s="25"/>
      <c r="B60" s="26"/>
      <c r="C60" s="27"/>
      <c r="D60" s="27"/>
      <c r="E60" s="27"/>
      <c r="F60" s="31" t="b">
        <f t="shared" si="4"/>
        <v>0</v>
      </c>
      <c r="G60" s="32" t="b">
        <f t="shared" si="0"/>
        <v>0</v>
      </c>
      <c r="H60" s="27"/>
      <c r="I60" s="33" t="b">
        <f t="shared" si="5"/>
        <v>0</v>
      </c>
      <c r="J60" s="40" t="e">
        <f t="shared" si="6"/>
        <v>#VALUE!</v>
      </c>
      <c r="K60" s="40" t="e">
        <f t="shared" si="1"/>
        <v>#VALUE!</v>
      </c>
      <c r="L60" s="41" t="e">
        <f t="shared" si="2"/>
        <v>#VALUE!</v>
      </c>
      <c r="M60" s="41" t="e">
        <f t="shared" si="3"/>
        <v>#VALUE!</v>
      </c>
      <c r="N60" s="27"/>
      <c r="O60" s="27"/>
      <c r="P60" s="43"/>
      <c r="Q60" s="27"/>
      <c r="R60" s="17"/>
      <c r="S60" s="17"/>
      <c r="T60" s="17"/>
    </row>
    <row r="61" spans="1:20">
      <c r="A61" s="25"/>
      <c r="B61" s="26"/>
      <c r="C61" s="27"/>
      <c r="D61" s="27"/>
      <c r="E61" s="27"/>
      <c r="F61" s="31" t="b">
        <f t="shared" si="4"/>
        <v>0</v>
      </c>
      <c r="G61" s="32" t="b">
        <f t="shared" si="0"/>
        <v>0</v>
      </c>
      <c r="H61" s="27"/>
      <c r="I61" s="33" t="b">
        <f t="shared" si="5"/>
        <v>0</v>
      </c>
      <c r="J61" s="40" t="e">
        <f t="shared" si="6"/>
        <v>#VALUE!</v>
      </c>
      <c r="K61" s="40" t="e">
        <f t="shared" si="1"/>
        <v>#VALUE!</v>
      </c>
      <c r="L61" s="41" t="e">
        <f t="shared" si="2"/>
        <v>#VALUE!</v>
      </c>
      <c r="M61" s="41" t="e">
        <f t="shared" si="3"/>
        <v>#VALUE!</v>
      </c>
      <c r="N61" s="27"/>
      <c r="O61" s="27"/>
      <c r="P61" s="43"/>
      <c r="Q61" s="27"/>
      <c r="R61" s="17"/>
      <c r="S61" s="17"/>
      <c r="T61" s="17"/>
    </row>
    <row r="62" spans="1:20">
      <c r="A62" s="25"/>
      <c r="B62" s="26"/>
      <c r="C62" s="27"/>
      <c r="D62" s="27"/>
      <c r="E62" s="27"/>
      <c r="F62" s="31" t="b">
        <f t="shared" si="4"/>
        <v>0</v>
      </c>
      <c r="G62" s="32" t="b">
        <f t="shared" si="0"/>
        <v>0</v>
      </c>
      <c r="H62" s="27"/>
      <c r="I62" s="33" t="b">
        <f t="shared" si="5"/>
        <v>0</v>
      </c>
      <c r="J62" s="40" t="e">
        <f t="shared" si="6"/>
        <v>#VALUE!</v>
      </c>
      <c r="K62" s="40" t="e">
        <f t="shared" si="1"/>
        <v>#VALUE!</v>
      </c>
      <c r="L62" s="41" t="e">
        <f t="shared" si="2"/>
        <v>#VALUE!</v>
      </c>
      <c r="M62" s="41" t="e">
        <f t="shared" si="3"/>
        <v>#VALUE!</v>
      </c>
      <c r="N62" s="27"/>
      <c r="O62" s="27"/>
      <c r="P62" s="43"/>
      <c r="Q62" s="27"/>
      <c r="R62" s="17"/>
      <c r="S62" s="17"/>
      <c r="T62" s="17"/>
    </row>
    <row r="63" spans="1:20">
      <c r="A63" s="25"/>
      <c r="B63" s="26"/>
      <c r="C63" s="27"/>
      <c r="D63" s="27"/>
      <c r="E63" s="27"/>
      <c r="F63" s="31" t="b">
        <f t="shared" si="4"/>
        <v>0</v>
      </c>
      <c r="G63" s="32" t="b">
        <f t="shared" si="0"/>
        <v>0</v>
      </c>
      <c r="H63" s="27"/>
      <c r="I63" s="33" t="b">
        <f t="shared" si="5"/>
        <v>0</v>
      </c>
      <c r="J63" s="40" t="e">
        <f t="shared" si="6"/>
        <v>#VALUE!</v>
      </c>
      <c r="K63" s="40" t="e">
        <f t="shared" si="1"/>
        <v>#VALUE!</v>
      </c>
      <c r="L63" s="41" t="e">
        <f t="shared" si="2"/>
        <v>#VALUE!</v>
      </c>
      <c r="M63" s="41" t="e">
        <f t="shared" si="3"/>
        <v>#VALUE!</v>
      </c>
      <c r="N63" s="27"/>
      <c r="O63" s="27"/>
      <c r="P63" s="43"/>
      <c r="Q63" s="27"/>
      <c r="R63" s="17"/>
      <c r="S63" s="17"/>
      <c r="T63" s="17"/>
    </row>
    <row r="64" spans="1:20">
      <c r="A64" s="25"/>
      <c r="B64" s="26"/>
      <c r="C64" s="27"/>
      <c r="D64" s="27"/>
      <c r="E64" s="27"/>
      <c r="F64" s="31" t="b">
        <f t="shared" si="4"/>
        <v>0</v>
      </c>
      <c r="G64" s="32" t="b">
        <f t="shared" si="0"/>
        <v>0</v>
      </c>
      <c r="H64" s="27"/>
      <c r="I64" s="33" t="b">
        <f t="shared" si="5"/>
        <v>0</v>
      </c>
      <c r="J64" s="40" t="e">
        <f t="shared" si="6"/>
        <v>#VALUE!</v>
      </c>
      <c r="K64" s="40" t="e">
        <f t="shared" si="1"/>
        <v>#VALUE!</v>
      </c>
      <c r="L64" s="41" t="e">
        <f t="shared" si="2"/>
        <v>#VALUE!</v>
      </c>
      <c r="M64" s="41" t="e">
        <f t="shared" si="3"/>
        <v>#VALUE!</v>
      </c>
      <c r="N64" s="27"/>
      <c r="O64" s="27"/>
      <c r="P64" s="43"/>
      <c r="Q64" s="27"/>
      <c r="R64" s="17"/>
      <c r="S64" s="17"/>
      <c r="T64" s="17"/>
    </row>
    <row r="65" spans="1:20">
      <c r="A65" s="25"/>
      <c r="B65" s="26"/>
      <c r="C65" s="27"/>
      <c r="D65" s="27"/>
      <c r="E65" s="27"/>
      <c r="F65" s="31" t="b">
        <f t="shared" si="4"/>
        <v>0</v>
      </c>
      <c r="G65" s="32" t="b">
        <f t="shared" si="0"/>
        <v>0</v>
      </c>
      <c r="H65" s="27"/>
      <c r="I65" s="33" t="b">
        <f t="shared" si="5"/>
        <v>0</v>
      </c>
      <c r="J65" s="40" t="e">
        <f t="shared" si="6"/>
        <v>#VALUE!</v>
      </c>
      <c r="K65" s="40" t="e">
        <f t="shared" si="1"/>
        <v>#VALUE!</v>
      </c>
      <c r="L65" s="41" t="e">
        <f t="shared" si="2"/>
        <v>#VALUE!</v>
      </c>
      <c r="M65" s="41" t="e">
        <f t="shared" si="3"/>
        <v>#VALUE!</v>
      </c>
      <c r="N65" s="27"/>
      <c r="O65" s="27"/>
      <c r="P65" s="43"/>
      <c r="Q65" s="27"/>
      <c r="R65" s="17"/>
      <c r="S65" s="17"/>
      <c r="T65" s="17"/>
    </row>
    <row r="66" spans="1:20">
      <c r="A66" s="25"/>
      <c r="B66" s="26"/>
      <c r="C66" s="27"/>
      <c r="D66" s="27"/>
      <c r="E66" s="27"/>
      <c r="F66" s="31" t="b">
        <f t="shared" si="4"/>
        <v>0</v>
      </c>
      <c r="G66" s="32" t="b">
        <f t="shared" si="0"/>
        <v>0</v>
      </c>
      <c r="H66" s="27"/>
      <c r="I66" s="33" t="b">
        <f t="shared" si="5"/>
        <v>0</v>
      </c>
      <c r="J66" s="40" t="e">
        <f t="shared" si="6"/>
        <v>#VALUE!</v>
      </c>
      <c r="K66" s="40" t="e">
        <f t="shared" si="1"/>
        <v>#VALUE!</v>
      </c>
      <c r="L66" s="41" t="e">
        <f t="shared" si="2"/>
        <v>#VALUE!</v>
      </c>
      <c r="M66" s="41" t="e">
        <f t="shared" si="3"/>
        <v>#VALUE!</v>
      </c>
      <c r="N66" s="27"/>
      <c r="O66" s="27"/>
      <c r="P66" s="43"/>
      <c r="Q66" s="27"/>
      <c r="R66" s="17"/>
      <c r="S66" s="17"/>
      <c r="T66" s="17"/>
    </row>
    <row r="67" spans="1:20">
      <c r="A67" s="25"/>
      <c r="B67" s="26"/>
      <c r="C67" s="27"/>
      <c r="D67" s="27"/>
      <c r="E67" s="27"/>
      <c r="F67" s="31" t="b">
        <f t="shared" si="4"/>
        <v>0</v>
      </c>
      <c r="G67" s="32" t="b">
        <f t="shared" si="0"/>
        <v>0</v>
      </c>
      <c r="H67" s="27"/>
      <c r="I67" s="33" t="b">
        <f t="shared" si="5"/>
        <v>0</v>
      </c>
      <c r="J67" s="40" t="e">
        <f t="shared" si="6"/>
        <v>#VALUE!</v>
      </c>
      <c r="K67" s="40" t="e">
        <f t="shared" si="1"/>
        <v>#VALUE!</v>
      </c>
      <c r="L67" s="41" t="e">
        <f t="shared" si="2"/>
        <v>#VALUE!</v>
      </c>
      <c r="M67" s="41" t="e">
        <f t="shared" si="3"/>
        <v>#VALUE!</v>
      </c>
      <c r="N67" s="27"/>
      <c r="O67" s="27"/>
      <c r="P67" s="43"/>
      <c r="Q67" s="27"/>
      <c r="R67" s="17"/>
      <c r="S67" s="17"/>
      <c r="T67" s="17"/>
    </row>
    <row r="68" spans="1:20">
      <c r="A68" s="25"/>
      <c r="B68" s="26"/>
      <c r="C68" s="27"/>
      <c r="D68" s="27"/>
      <c r="E68" s="27"/>
      <c r="F68" s="31" t="b">
        <f t="shared" ref="F68:F101" si="7">IF(B68="BUY",(C68*(1-1.5%)),IF(B68="SELL",(C68*(1+1.5%))))</f>
        <v>0</v>
      </c>
      <c r="G68" s="32" t="b">
        <f t="shared" si="0"/>
        <v>0</v>
      </c>
      <c r="H68" s="27"/>
      <c r="I68" s="33" t="b">
        <f t="shared" ref="I68:I101" si="8">IF(G68="2DHH",(H68*(1+0.15%)),IF(G68="2DLL",(H68*(1-0.15%))))</f>
        <v>0</v>
      </c>
      <c r="J68" s="40" t="e">
        <f t="shared" si="6"/>
        <v>#VALUE!</v>
      </c>
      <c r="K68" s="40" t="e">
        <f t="shared" si="1"/>
        <v>#VALUE!</v>
      </c>
      <c r="L68" s="41" t="e">
        <f t="shared" si="2"/>
        <v>#VALUE!</v>
      </c>
      <c r="M68" s="41" t="e">
        <f t="shared" si="3"/>
        <v>#VALUE!</v>
      </c>
      <c r="N68" s="27"/>
      <c r="O68" s="27"/>
      <c r="P68" s="43"/>
      <c r="Q68" s="27"/>
      <c r="R68" s="17"/>
      <c r="S68" s="17"/>
      <c r="T68" s="17"/>
    </row>
    <row r="69" spans="1:20">
      <c r="A69" s="25"/>
      <c r="B69" s="26"/>
      <c r="C69" s="27"/>
      <c r="D69" s="27"/>
      <c r="E69" s="27"/>
      <c r="F69" s="31" t="b">
        <f t="shared" si="7"/>
        <v>0</v>
      </c>
      <c r="G69" s="32" t="b">
        <f t="shared" si="0"/>
        <v>0</v>
      </c>
      <c r="H69" s="27"/>
      <c r="I69" s="33" t="b">
        <f t="shared" si="8"/>
        <v>0</v>
      </c>
      <c r="J69" s="40" t="e">
        <f t="shared" ref="J69:J101" si="9">MROUND(IF(B69="BUY",MAX(F69,I69),IF(B69="SELL",MIN(F69,I69))),0.05)</f>
        <v>#VALUE!</v>
      </c>
      <c r="K69" s="40" t="e">
        <f t="shared" si="1"/>
        <v>#VALUE!</v>
      </c>
      <c r="L69" s="41" t="e">
        <f t="shared" si="2"/>
        <v>#VALUE!</v>
      </c>
      <c r="M69" s="41" t="e">
        <f t="shared" si="3"/>
        <v>#VALUE!</v>
      </c>
      <c r="N69" s="27"/>
      <c r="O69" s="27"/>
      <c r="P69" s="43"/>
      <c r="Q69" s="27"/>
      <c r="R69" s="17"/>
      <c r="S69" s="17"/>
      <c r="T69" s="17"/>
    </row>
    <row r="70" spans="1:20">
      <c r="A70" s="25"/>
      <c r="B70" s="26"/>
      <c r="C70" s="27"/>
      <c r="D70" s="27"/>
      <c r="E70" s="27"/>
      <c r="F70" s="31" t="b">
        <f t="shared" si="7"/>
        <v>0</v>
      </c>
      <c r="G70" s="32" t="b">
        <f t="shared" si="0"/>
        <v>0</v>
      </c>
      <c r="H70" s="27"/>
      <c r="I70" s="33" t="b">
        <f t="shared" si="8"/>
        <v>0</v>
      </c>
      <c r="J70" s="40" t="e">
        <f t="shared" si="9"/>
        <v>#VALUE!</v>
      </c>
      <c r="K70" s="40" t="e">
        <f t="shared" si="1"/>
        <v>#VALUE!</v>
      </c>
      <c r="L70" s="41" t="e">
        <f t="shared" si="2"/>
        <v>#VALUE!</v>
      </c>
      <c r="M70" s="41" t="e">
        <f t="shared" si="3"/>
        <v>#VALUE!</v>
      </c>
      <c r="N70" s="27"/>
      <c r="O70" s="27"/>
      <c r="P70" s="43"/>
      <c r="Q70" s="27"/>
      <c r="R70" s="17"/>
      <c r="S70" s="17"/>
      <c r="T70" s="17"/>
    </row>
    <row r="71" spans="1:20">
      <c r="A71" s="25"/>
      <c r="B71" s="26"/>
      <c r="C71" s="27"/>
      <c r="D71" s="27"/>
      <c r="E71" s="27"/>
      <c r="F71" s="31" t="b">
        <f t="shared" si="7"/>
        <v>0</v>
      </c>
      <c r="G71" s="32" t="b">
        <f t="shared" si="0"/>
        <v>0</v>
      </c>
      <c r="H71" s="27"/>
      <c r="I71" s="33" t="b">
        <f t="shared" si="8"/>
        <v>0</v>
      </c>
      <c r="J71" s="40" t="e">
        <f t="shared" si="9"/>
        <v>#VALUE!</v>
      </c>
      <c r="K71" s="40" t="e">
        <f t="shared" si="1"/>
        <v>#VALUE!</v>
      </c>
      <c r="L71" s="41" t="e">
        <f t="shared" si="2"/>
        <v>#VALUE!</v>
      </c>
      <c r="M71" s="41" t="e">
        <f t="shared" si="3"/>
        <v>#VALUE!</v>
      </c>
      <c r="N71" s="27"/>
      <c r="O71" s="27"/>
      <c r="P71" s="43"/>
      <c r="Q71" s="27"/>
      <c r="R71" s="17"/>
      <c r="S71" s="17"/>
      <c r="T71" s="17"/>
    </row>
    <row r="72" spans="1:20">
      <c r="A72" s="25"/>
      <c r="B72" s="26"/>
      <c r="C72" s="27"/>
      <c r="D72" s="27"/>
      <c r="E72" s="27"/>
      <c r="F72" s="31" t="b">
        <f t="shared" si="7"/>
        <v>0</v>
      </c>
      <c r="G72" s="32" t="b">
        <f t="shared" si="0"/>
        <v>0</v>
      </c>
      <c r="H72" s="27"/>
      <c r="I72" s="33" t="b">
        <f t="shared" si="8"/>
        <v>0</v>
      </c>
      <c r="J72" s="40" t="e">
        <f t="shared" si="9"/>
        <v>#VALUE!</v>
      </c>
      <c r="K72" s="40" t="e">
        <f t="shared" si="1"/>
        <v>#VALUE!</v>
      </c>
      <c r="L72" s="41" t="e">
        <f t="shared" si="2"/>
        <v>#VALUE!</v>
      </c>
      <c r="M72" s="41" t="e">
        <f t="shared" si="3"/>
        <v>#VALUE!</v>
      </c>
      <c r="N72" s="27"/>
      <c r="O72" s="27"/>
      <c r="P72" s="43"/>
      <c r="Q72" s="27"/>
      <c r="R72" s="17"/>
      <c r="S72" s="17"/>
      <c r="T72" s="17"/>
    </row>
    <row r="73" spans="1:20">
      <c r="A73" s="25"/>
      <c r="B73" s="26"/>
      <c r="C73" s="27"/>
      <c r="D73" s="27"/>
      <c r="E73" s="27"/>
      <c r="F73" s="31" t="b">
        <f t="shared" si="7"/>
        <v>0</v>
      </c>
      <c r="G73" s="32" t="b">
        <f t="shared" si="0"/>
        <v>0</v>
      </c>
      <c r="H73" s="27"/>
      <c r="I73" s="33" t="b">
        <f t="shared" si="8"/>
        <v>0</v>
      </c>
      <c r="J73" s="40" t="e">
        <f t="shared" si="9"/>
        <v>#VALUE!</v>
      </c>
      <c r="K73" s="40" t="e">
        <f t="shared" si="1"/>
        <v>#VALUE!</v>
      </c>
      <c r="L73" s="41" t="e">
        <f t="shared" si="2"/>
        <v>#VALUE!</v>
      </c>
      <c r="M73" s="41" t="e">
        <f t="shared" si="3"/>
        <v>#VALUE!</v>
      </c>
      <c r="N73" s="27"/>
      <c r="O73" s="27"/>
      <c r="P73" s="43"/>
      <c r="Q73" s="27"/>
      <c r="R73" s="17"/>
      <c r="S73" s="17"/>
      <c r="T73" s="17"/>
    </row>
    <row r="74" spans="1:20">
      <c r="A74" s="25"/>
      <c r="B74" s="26"/>
      <c r="C74" s="27"/>
      <c r="D74" s="27"/>
      <c r="E74" s="27"/>
      <c r="F74" s="31" t="b">
        <f t="shared" si="7"/>
        <v>0</v>
      </c>
      <c r="G74" s="32" t="b">
        <f t="shared" si="0"/>
        <v>0</v>
      </c>
      <c r="H74" s="27"/>
      <c r="I74" s="33" t="b">
        <f t="shared" si="8"/>
        <v>0</v>
      </c>
      <c r="J74" s="40" t="e">
        <f t="shared" si="9"/>
        <v>#VALUE!</v>
      </c>
      <c r="K74" s="40" t="e">
        <f t="shared" si="1"/>
        <v>#VALUE!</v>
      </c>
      <c r="L74" s="41" t="e">
        <f t="shared" si="2"/>
        <v>#VALUE!</v>
      </c>
      <c r="M74" s="41" t="e">
        <f t="shared" si="3"/>
        <v>#VALUE!</v>
      </c>
      <c r="N74" s="27"/>
      <c r="O74" s="27"/>
      <c r="P74" s="43"/>
      <c r="Q74" s="27"/>
      <c r="R74" s="17"/>
      <c r="S74" s="17"/>
      <c r="T74" s="17"/>
    </row>
    <row r="75" spans="1:20">
      <c r="A75" s="25"/>
      <c r="B75" s="26"/>
      <c r="C75" s="27"/>
      <c r="D75" s="27"/>
      <c r="E75" s="27"/>
      <c r="F75" s="31" t="b">
        <f t="shared" si="7"/>
        <v>0</v>
      </c>
      <c r="G75" s="32" t="b">
        <f t="shared" si="0"/>
        <v>0</v>
      </c>
      <c r="H75" s="27"/>
      <c r="I75" s="33" t="b">
        <f t="shared" si="8"/>
        <v>0</v>
      </c>
      <c r="J75" s="40" t="e">
        <f t="shared" si="9"/>
        <v>#VALUE!</v>
      </c>
      <c r="K75" s="40" t="e">
        <f t="shared" si="1"/>
        <v>#VALUE!</v>
      </c>
      <c r="L75" s="41" t="e">
        <f t="shared" si="2"/>
        <v>#VALUE!</v>
      </c>
      <c r="M75" s="41" t="e">
        <f t="shared" si="3"/>
        <v>#VALUE!</v>
      </c>
      <c r="N75" s="27"/>
      <c r="O75" s="27"/>
      <c r="P75" s="43"/>
      <c r="Q75" s="27"/>
      <c r="R75" s="17"/>
      <c r="S75" s="17"/>
      <c r="T75" s="17"/>
    </row>
    <row r="76" spans="1:20">
      <c r="A76" s="25"/>
      <c r="B76" s="26"/>
      <c r="C76" s="27"/>
      <c r="D76" s="27"/>
      <c r="E76" s="27"/>
      <c r="F76" s="31" t="b">
        <f t="shared" si="7"/>
        <v>0</v>
      </c>
      <c r="G76" s="32" t="b">
        <f t="shared" si="0"/>
        <v>0</v>
      </c>
      <c r="H76" s="27"/>
      <c r="I76" s="33" t="b">
        <f t="shared" si="8"/>
        <v>0</v>
      </c>
      <c r="J76" s="40" t="e">
        <f t="shared" si="9"/>
        <v>#VALUE!</v>
      </c>
      <c r="K76" s="40" t="e">
        <f t="shared" si="1"/>
        <v>#VALUE!</v>
      </c>
      <c r="L76" s="41" t="e">
        <f t="shared" si="2"/>
        <v>#VALUE!</v>
      </c>
      <c r="M76" s="41" t="e">
        <f t="shared" si="3"/>
        <v>#VALUE!</v>
      </c>
      <c r="N76" s="27"/>
      <c r="O76" s="27"/>
      <c r="P76" s="43"/>
      <c r="Q76" s="27"/>
      <c r="R76" s="17"/>
      <c r="S76" s="17"/>
      <c r="T76" s="17"/>
    </row>
    <row r="77" spans="1:20">
      <c r="A77" s="25"/>
      <c r="B77" s="26"/>
      <c r="C77" s="27"/>
      <c r="D77" s="27"/>
      <c r="E77" s="27"/>
      <c r="F77" s="31" t="b">
        <f t="shared" si="7"/>
        <v>0</v>
      </c>
      <c r="G77" s="32" t="b">
        <f t="shared" si="0"/>
        <v>0</v>
      </c>
      <c r="H77" s="27"/>
      <c r="I77" s="33" t="b">
        <f t="shared" si="8"/>
        <v>0</v>
      </c>
      <c r="J77" s="40" t="e">
        <f t="shared" si="9"/>
        <v>#VALUE!</v>
      </c>
      <c r="K77" s="40" t="e">
        <f t="shared" si="1"/>
        <v>#VALUE!</v>
      </c>
      <c r="L77" s="41" t="e">
        <f t="shared" si="2"/>
        <v>#VALUE!</v>
      </c>
      <c r="M77" s="41" t="e">
        <f t="shared" si="3"/>
        <v>#VALUE!</v>
      </c>
      <c r="N77" s="27"/>
      <c r="O77" s="27"/>
      <c r="P77" s="43"/>
      <c r="Q77" s="27"/>
      <c r="R77" s="17"/>
      <c r="S77" s="17"/>
      <c r="T77" s="17"/>
    </row>
    <row r="78" spans="1:20">
      <c r="A78" s="25"/>
      <c r="B78" s="26"/>
      <c r="C78" s="27"/>
      <c r="D78" s="27"/>
      <c r="E78" s="27"/>
      <c r="F78" s="31" t="b">
        <f t="shared" si="7"/>
        <v>0</v>
      </c>
      <c r="G78" s="32" t="b">
        <f t="shared" si="0"/>
        <v>0</v>
      </c>
      <c r="H78" s="27"/>
      <c r="I78" s="33" t="b">
        <f t="shared" si="8"/>
        <v>0</v>
      </c>
      <c r="J78" s="40" t="e">
        <f t="shared" si="9"/>
        <v>#VALUE!</v>
      </c>
      <c r="K78" s="40" t="e">
        <f t="shared" si="1"/>
        <v>#VALUE!</v>
      </c>
      <c r="L78" s="41" t="e">
        <f t="shared" si="2"/>
        <v>#VALUE!</v>
      </c>
      <c r="M78" s="41" t="e">
        <f t="shared" si="3"/>
        <v>#VALUE!</v>
      </c>
      <c r="N78" s="27"/>
      <c r="O78" s="27"/>
      <c r="P78" s="43"/>
      <c r="Q78" s="27"/>
      <c r="R78" s="17"/>
      <c r="S78" s="17"/>
      <c r="T78" s="17"/>
    </row>
    <row r="79" spans="1:20">
      <c r="A79" s="25"/>
      <c r="B79" s="26"/>
      <c r="C79" s="27"/>
      <c r="D79" s="27"/>
      <c r="E79" s="27"/>
      <c r="F79" s="31" t="b">
        <f t="shared" si="7"/>
        <v>0</v>
      </c>
      <c r="G79" s="32" t="b">
        <f t="shared" si="0"/>
        <v>0</v>
      </c>
      <c r="H79" s="27"/>
      <c r="I79" s="33" t="b">
        <f t="shared" si="8"/>
        <v>0</v>
      </c>
      <c r="J79" s="40" t="e">
        <f t="shared" si="9"/>
        <v>#VALUE!</v>
      </c>
      <c r="K79" s="40" t="e">
        <f t="shared" si="1"/>
        <v>#VALUE!</v>
      </c>
      <c r="L79" s="41" t="e">
        <f t="shared" si="2"/>
        <v>#VALUE!</v>
      </c>
      <c r="M79" s="41" t="e">
        <f t="shared" si="3"/>
        <v>#VALUE!</v>
      </c>
      <c r="N79" s="27"/>
      <c r="O79" s="27"/>
      <c r="P79" s="43"/>
      <c r="Q79" s="27"/>
      <c r="R79" s="17"/>
      <c r="S79" s="17"/>
      <c r="T79" s="17"/>
    </row>
    <row r="80" spans="1:20">
      <c r="A80" s="25"/>
      <c r="B80" s="26"/>
      <c r="C80" s="27"/>
      <c r="D80" s="27"/>
      <c r="E80" s="27"/>
      <c r="F80" s="31" t="b">
        <f t="shared" si="7"/>
        <v>0</v>
      </c>
      <c r="G80" s="32" t="b">
        <f t="shared" si="0"/>
        <v>0</v>
      </c>
      <c r="H80" s="27"/>
      <c r="I80" s="33" t="b">
        <f t="shared" si="8"/>
        <v>0</v>
      </c>
      <c r="J80" s="40" t="e">
        <f t="shared" si="9"/>
        <v>#VALUE!</v>
      </c>
      <c r="K80" s="40" t="e">
        <f t="shared" si="1"/>
        <v>#VALUE!</v>
      </c>
      <c r="L80" s="41" t="e">
        <f t="shared" si="2"/>
        <v>#VALUE!</v>
      </c>
      <c r="M80" s="41" t="e">
        <f t="shared" si="3"/>
        <v>#VALUE!</v>
      </c>
      <c r="N80" s="27"/>
      <c r="O80" s="27"/>
      <c r="P80" s="43"/>
      <c r="Q80" s="27"/>
      <c r="R80" s="17"/>
      <c r="S80" s="17"/>
      <c r="T80" s="17"/>
    </row>
    <row r="81" spans="1:20">
      <c r="A81" s="25"/>
      <c r="B81" s="26"/>
      <c r="C81" s="27"/>
      <c r="D81" s="27"/>
      <c r="E81" s="27"/>
      <c r="F81" s="31" t="b">
        <f t="shared" si="7"/>
        <v>0</v>
      </c>
      <c r="G81" s="32" t="b">
        <f t="shared" si="0"/>
        <v>0</v>
      </c>
      <c r="H81" s="27"/>
      <c r="I81" s="33" t="b">
        <f t="shared" si="8"/>
        <v>0</v>
      </c>
      <c r="J81" s="40" t="e">
        <f t="shared" si="9"/>
        <v>#VALUE!</v>
      </c>
      <c r="K81" s="40" t="e">
        <f t="shared" si="1"/>
        <v>#VALUE!</v>
      </c>
      <c r="L81" s="41" t="e">
        <f t="shared" si="2"/>
        <v>#VALUE!</v>
      </c>
      <c r="M81" s="41" t="e">
        <f t="shared" si="3"/>
        <v>#VALUE!</v>
      </c>
      <c r="N81" s="27"/>
      <c r="O81" s="27"/>
      <c r="P81" s="43"/>
      <c r="Q81" s="27"/>
      <c r="R81" s="17"/>
      <c r="S81" s="17"/>
      <c r="T81" s="17"/>
    </row>
    <row r="82" spans="1:20">
      <c r="A82" s="25"/>
      <c r="B82" s="26"/>
      <c r="C82" s="27"/>
      <c r="D82" s="27"/>
      <c r="E82" s="27"/>
      <c r="F82" s="31" t="b">
        <f t="shared" si="7"/>
        <v>0</v>
      </c>
      <c r="G82" s="32" t="b">
        <f t="shared" si="0"/>
        <v>0</v>
      </c>
      <c r="H82" s="27"/>
      <c r="I82" s="33" t="b">
        <f t="shared" si="8"/>
        <v>0</v>
      </c>
      <c r="J82" s="40" t="e">
        <f t="shared" si="9"/>
        <v>#VALUE!</v>
      </c>
      <c r="K82" s="40" t="e">
        <f t="shared" si="1"/>
        <v>#VALUE!</v>
      </c>
      <c r="L82" s="41" t="e">
        <f t="shared" si="2"/>
        <v>#VALUE!</v>
      </c>
      <c r="M82" s="41" t="e">
        <f t="shared" si="3"/>
        <v>#VALUE!</v>
      </c>
      <c r="N82" s="27"/>
      <c r="O82" s="27"/>
      <c r="P82" s="43"/>
      <c r="Q82" s="27"/>
      <c r="R82" s="17"/>
      <c r="S82" s="17"/>
      <c r="T82" s="17"/>
    </row>
    <row r="83" spans="1:20">
      <c r="A83" s="25"/>
      <c r="B83" s="26"/>
      <c r="C83" s="27"/>
      <c r="D83" s="27"/>
      <c r="E83" s="27"/>
      <c r="F83" s="31" t="b">
        <f t="shared" si="7"/>
        <v>0</v>
      </c>
      <c r="G83" s="32" t="b">
        <f t="shared" si="0"/>
        <v>0</v>
      </c>
      <c r="H83" s="27"/>
      <c r="I83" s="33" t="b">
        <f t="shared" si="8"/>
        <v>0</v>
      </c>
      <c r="J83" s="40" t="e">
        <f t="shared" si="9"/>
        <v>#VALUE!</v>
      </c>
      <c r="K83" s="40" t="e">
        <f t="shared" si="1"/>
        <v>#VALUE!</v>
      </c>
      <c r="L83" s="41" t="e">
        <f t="shared" si="2"/>
        <v>#VALUE!</v>
      </c>
      <c r="M83" s="41" t="e">
        <f t="shared" si="3"/>
        <v>#VALUE!</v>
      </c>
      <c r="N83" s="27"/>
      <c r="O83" s="27"/>
      <c r="P83" s="43"/>
      <c r="Q83" s="27"/>
      <c r="R83" s="17"/>
      <c r="S83" s="17"/>
      <c r="T83" s="17"/>
    </row>
    <row r="84" spans="1:20">
      <c r="A84" s="25"/>
      <c r="B84" s="26"/>
      <c r="C84" s="27"/>
      <c r="D84" s="27"/>
      <c r="E84" s="27"/>
      <c r="F84" s="31" t="b">
        <f t="shared" si="7"/>
        <v>0</v>
      </c>
      <c r="G84" s="32" t="b">
        <f t="shared" si="0"/>
        <v>0</v>
      </c>
      <c r="H84" s="27"/>
      <c r="I84" s="33" t="b">
        <f t="shared" si="8"/>
        <v>0</v>
      </c>
      <c r="J84" s="40" t="e">
        <f t="shared" si="9"/>
        <v>#VALUE!</v>
      </c>
      <c r="K84" s="40" t="e">
        <f t="shared" si="1"/>
        <v>#VALUE!</v>
      </c>
      <c r="L84" s="41" t="e">
        <f t="shared" si="2"/>
        <v>#VALUE!</v>
      </c>
      <c r="M84" s="41" t="e">
        <f t="shared" si="3"/>
        <v>#VALUE!</v>
      </c>
      <c r="N84" s="27"/>
      <c r="O84" s="27"/>
      <c r="P84" s="43"/>
      <c r="Q84" s="27"/>
      <c r="R84" s="17"/>
      <c r="S84" s="17"/>
      <c r="T84" s="17"/>
    </row>
    <row r="85" spans="1:20">
      <c r="A85" s="25"/>
      <c r="B85" s="26"/>
      <c r="C85" s="27"/>
      <c r="D85" s="27"/>
      <c r="E85" s="27"/>
      <c r="F85" s="31" t="b">
        <f t="shared" si="7"/>
        <v>0</v>
      </c>
      <c r="G85" s="32" t="b">
        <f t="shared" si="0"/>
        <v>0</v>
      </c>
      <c r="H85" s="27"/>
      <c r="I85" s="33" t="b">
        <f t="shared" si="8"/>
        <v>0</v>
      </c>
      <c r="J85" s="40" t="e">
        <f t="shared" si="9"/>
        <v>#VALUE!</v>
      </c>
      <c r="K85" s="40" t="e">
        <f t="shared" si="1"/>
        <v>#VALUE!</v>
      </c>
      <c r="L85" s="41" t="e">
        <f t="shared" si="2"/>
        <v>#VALUE!</v>
      </c>
      <c r="M85" s="41" t="e">
        <f t="shared" si="3"/>
        <v>#VALUE!</v>
      </c>
      <c r="N85" s="27"/>
      <c r="O85" s="27"/>
      <c r="P85" s="43"/>
      <c r="Q85" s="27"/>
      <c r="R85" s="17"/>
      <c r="S85" s="17"/>
      <c r="T85" s="17"/>
    </row>
    <row r="86" spans="1:20">
      <c r="A86" s="25"/>
      <c r="B86" s="26"/>
      <c r="C86" s="27"/>
      <c r="D86" s="27"/>
      <c r="E86" s="27"/>
      <c r="F86" s="31" t="b">
        <f t="shared" si="7"/>
        <v>0</v>
      </c>
      <c r="G86" s="32" t="b">
        <f t="shared" si="0"/>
        <v>0</v>
      </c>
      <c r="H86" s="27"/>
      <c r="I86" s="33" t="b">
        <f t="shared" si="8"/>
        <v>0</v>
      </c>
      <c r="J86" s="40" t="e">
        <f t="shared" si="9"/>
        <v>#VALUE!</v>
      </c>
      <c r="K86" s="40" t="e">
        <f t="shared" si="1"/>
        <v>#VALUE!</v>
      </c>
      <c r="L86" s="41" t="e">
        <f t="shared" si="2"/>
        <v>#VALUE!</v>
      </c>
      <c r="M86" s="41" t="e">
        <f t="shared" si="3"/>
        <v>#VALUE!</v>
      </c>
      <c r="N86" s="27"/>
      <c r="O86" s="27"/>
      <c r="P86" s="43"/>
      <c r="Q86" s="27"/>
      <c r="R86" s="17"/>
      <c r="S86" s="17"/>
      <c r="T86" s="17"/>
    </row>
    <row r="87" spans="1:20">
      <c r="A87" s="25"/>
      <c r="B87" s="26"/>
      <c r="C87" s="27"/>
      <c r="D87" s="27"/>
      <c r="E87" s="27"/>
      <c r="F87" s="31" t="b">
        <f t="shared" si="7"/>
        <v>0</v>
      </c>
      <c r="G87" s="32" t="b">
        <f t="shared" si="0"/>
        <v>0</v>
      </c>
      <c r="H87" s="27"/>
      <c r="I87" s="33" t="b">
        <f t="shared" si="8"/>
        <v>0</v>
      </c>
      <c r="J87" s="40" t="e">
        <f t="shared" si="9"/>
        <v>#VALUE!</v>
      </c>
      <c r="K87" s="40" t="e">
        <f t="shared" si="1"/>
        <v>#VALUE!</v>
      </c>
      <c r="L87" s="41" t="e">
        <f t="shared" si="2"/>
        <v>#VALUE!</v>
      </c>
      <c r="M87" s="41" t="e">
        <f t="shared" si="3"/>
        <v>#VALUE!</v>
      </c>
      <c r="N87" s="27"/>
      <c r="O87" s="27"/>
      <c r="P87" s="43"/>
      <c r="Q87" s="27"/>
      <c r="R87" s="17"/>
      <c r="S87" s="17"/>
      <c r="T87" s="17"/>
    </row>
    <row r="88" spans="1:20">
      <c r="A88" s="25"/>
      <c r="B88" s="26"/>
      <c r="C88" s="27"/>
      <c r="D88" s="27"/>
      <c r="E88" s="27"/>
      <c r="F88" s="31" t="b">
        <f t="shared" si="7"/>
        <v>0</v>
      </c>
      <c r="G88" s="32" t="b">
        <f t="shared" si="0"/>
        <v>0</v>
      </c>
      <c r="H88" s="27"/>
      <c r="I88" s="33" t="b">
        <f t="shared" si="8"/>
        <v>0</v>
      </c>
      <c r="J88" s="40" t="e">
        <f t="shared" si="9"/>
        <v>#VALUE!</v>
      </c>
      <c r="K88" s="40" t="e">
        <f t="shared" si="1"/>
        <v>#VALUE!</v>
      </c>
      <c r="L88" s="41" t="e">
        <f t="shared" si="2"/>
        <v>#VALUE!</v>
      </c>
      <c r="M88" s="41" t="e">
        <f t="shared" si="3"/>
        <v>#VALUE!</v>
      </c>
      <c r="N88" s="27"/>
      <c r="O88" s="27"/>
      <c r="P88" s="43"/>
      <c r="Q88" s="27"/>
      <c r="R88" s="17"/>
      <c r="S88" s="17"/>
      <c r="T88" s="17"/>
    </row>
    <row r="89" spans="1:20">
      <c r="A89" s="25"/>
      <c r="B89" s="26"/>
      <c r="C89" s="27"/>
      <c r="D89" s="27"/>
      <c r="E89" s="27"/>
      <c r="F89" s="31" t="b">
        <f t="shared" si="7"/>
        <v>0</v>
      </c>
      <c r="G89" s="32" t="b">
        <f t="shared" si="0"/>
        <v>0</v>
      </c>
      <c r="H89" s="27"/>
      <c r="I89" s="33" t="b">
        <f t="shared" si="8"/>
        <v>0</v>
      </c>
      <c r="J89" s="40" t="e">
        <f t="shared" si="9"/>
        <v>#VALUE!</v>
      </c>
      <c r="K89" s="40" t="e">
        <f t="shared" si="1"/>
        <v>#VALUE!</v>
      </c>
      <c r="L89" s="41" t="e">
        <f t="shared" si="2"/>
        <v>#VALUE!</v>
      </c>
      <c r="M89" s="41" t="e">
        <f t="shared" si="3"/>
        <v>#VALUE!</v>
      </c>
      <c r="N89" s="27"/>
      <c r="O89" s="27"/>
      <c r="P89" s="43"/>
      <c r="Q89" s="27"/>
      <c r="R89" s="17"/>
      <c r="S89" s="17"/>
      <c r="T89" s="17"/>
    </row>
    <row r="90" spans="1:20">
      <c r="A90" s="25"/>
      <c r="B90" s="26"/>
      <c r="C90" s="27"/>
      <c r="D90" s="27"/>
      <c r="E90" s="27"/>
      <c r="F90" s="31" t="b">
        <f t="shared" si="7"/>
        <v>0</v>
      </c>
      <c r="G90" s="32" t="b">
        <f t="shared" si="0"/>
        <v>0</v>
      </c>
      <c r="H90" s="27"/>
      <c r="I90" s="33" t="b">
        <f t="shared" si="8"/>
        <v>0</v>
      </c>
      <c r="J90" s="40" t="e">
        <f t="shared" si="9"/>
        <v>#VALUE!</v>
      </c>
      <c r="K90" s="40" t="e">
        <f t="shared" si="1"/>
        <v>#VALUE!</v>
      </c>
      <c r="L90" s="41" t="e">
        <f t="shared" si="2"/>
        <v>#VALUE!</v>
      </c>
      <c r="M90" s="41" t="e">
        <f t="shared" si="3"/>
        <v>#VALUE!</v>
      </c>
      <c r="N90" s="27"/>
      <c r="O90" s="27"/>
      <c r="P90" s="43"/>
      <c r="Q90" s="27"/>
      <c r="R90" s="17"/>
      <c r="S90" s="17"/>
      <c r="T90" s="17"/>
    </row>
    <row r="91" spans="1:20">
      <c r="A91" s="25"/>
      <c r="B91" s="26"/>
      <c r="C91" s="27"/>
      <c r="D91" s="27"/>
      <c r="E91" s="27"/>
      <c r="F91" s="31" t="b">
        <f t="shared" si="7"/>
        <v>0</v>
      </c>
      <c r="G91" s="32" t="b">
        <f t="shared" si="0"/>
        <v>0</v>
      </c>
      <c r="H91" s="27"/>
      <c r="I91" s="33" t="b">
        <f t="shared" si="8"/>
        <v>0</v>
      </c>
      <c r="J91" s="40" t="e">
        <f t="shared" si="9"/>
        <v>#VALUE!</v>
      </c>
      <c r="K91" s="40" t="e">
        <f t="shared" si="1"/>
        <v>#VALUE!</v>
      </c>
      <c r="L91" s="41" t="e">
        <f t="shared" si="2"/>
        <v>#VALUE!</v>
      </c>
      <c r="M91" s="41" t="e">
        <f t="shared" si="3"/>
        <v>#VALUE!</v>
      </c>
      <c r="N91" s="27"/>
      <c r="O91" s="27"/>
      <c r="P91" s="43"/>
      <c r="Q91" s="27"/>
      <c r="R91" s="17"/>
      <c r="S91" s="17"/>
      <c r="T91" s="17"/>
    </row>
    <row r="92" spans="1:20">
      <c r="A92" s="25"/>
      <c r="B92" s="26"/>
      <c r="C92" s="27"/>
      <c r="D92" s="27"/>
      <c r="E92" s="27"/>
      <c r="F92" s="31" t="b">
        <f t="shared" si="7"/>
        <v>0</v>
      </c>
      <c r="G92" s="32" t="b">
        <f t="shared" si="0"/>
        <v>0</v>
      </c>
      <c r="H92" s="27"/>
      <c r="I92" s="33" t="b">
        <f t="shared" si="8"/>
        <v>0</v>
      </c>
      <c r="J92" s="40" t="e">
        <f t="shared" si="9"/>
        <v>#VALUE!</v>
      </c>
      <c r="K92" s="40" t="e">
        <f t="shared" si="1"/>
        <v>#VALUE!</v>
      </c>
      <c r="L92" s="41" t="e">
        <f t="shared" si="2"/>
        <v>#VALUE!</v>
      </c>
      <c r="M92" s="41" t="e">
        <f t="shared" si="3"/>
        <v>#VALUE!</v>
      </c>
      <c r="N92" s="27"/>
      <c r="O92" s="27"/>
      <c r="P92" s="43"/>
      <c r="Q92" s="27"/>
      <c r="R92" s="17"/>
      <c r="S92" s="17"/>
      <c r="T92" s="17"/>
    </row>
    <row r="93" spans="1:20">
      <c r="A93" s="25"/>
      <c r="B93" s="26"/>
      <c r="C93" s="27"/>
      <c r="D93" s="27"/>
      <c r="E93" s="27"/>
      <c r="F93" s="31" t="b">
        <f t="shared" si="7"/>
        <v>0</v>
      </c>
      <c r="G93" s="32" t="b">
        <f t="shared" si="0"/>
        <v>0</v>
      </c>
      <c r="H93" s="27"/>
      <c r="I93" s="33" t="b">
        <f t="shared" si="8"/>
        <v>0</v>
      </c>
      <c r="J93" s="40" t="e">
        <f t="shared" si="9"/>
        <v>#VALUE!</v>
      </c>
      <c r="K93" s="40" t="e">
        <f t="shared" si="1"/>
        <v>#VALUE!</v>
      </c>
      <c r="L93" s="41" t="e">
        <f t="shared" si="2"/>
        <v>#VALUE!</v>
      </c>
      <c r="M93" s="41" t="e">
        <f t="shared" si="3"/>
        <v>#VALUE!</v>
      </c>
      <c r="N93" s="27"/>
      <c r="O93" s="27"/>
      <c r="P93" s="43"/>
      <c r="Q93" s="27"/>
      <c r="R93" s="17"/>
      <c r="S93" s="17"/>
      <c r="T93" s="17"/>
    </row>
    <row r="94" spans="1:20">
      <c r="A94" s="25"/>
      <c r="B94" s="26"/>
      <c r="C94" s="27"/>
      <c r="D94" s="27"/>
      <c r="E94" s="27"/>
      <c r="F94" s="31" t="b">
        <f t="shared" si="7"/>
        <v>0</v>
      </c>
      <c r="G94" s="32" t="b">
        <f t="shared" si="0"/>
        <v>0</v>
      </c>
      <c r="H94" s="27"/>
      <c r="I94" s="33" t="b">
        <f t="shared" si="8"/>
        <v>0</v>
      </c>
      <c r="J94" s="40" t="e">
        <f t="shared" si="9"/>
        <v>#VALUE!</v>
      </c>
      <c r="K94" s="40" t="e">
        <f t="shared" si="1"/>
        <v>#VALUE!</v>
      </c>
      <c r="L94" s="41" t="e">
        <f t="shared" si="2"/>
        <v>#VALUE!</v>
      </c>
      <c r="M94" s="41" t="e">
        <f t="shared" si="3"/>
        <v>#VALUE!</v>
      </c>
      <c r="N94" s="27"/>
      <c r="O94" s="27"/>
      <c r="P94" s="43"/>
      <c r="Q94" s="27"/>
      <c r="R94" s="17"/>
      <c r="S94" s="17"/>
      <c r="T94" s="17"/>
    </row>
    <row r="95" spans="1:20">
      <c r="A95" s="25"/>
      <c r="B95" s="26"/>
      <c r="C95" s="27"/>
      <c r="D95" s="27"/>
      <c r="E95" s="27"/>
      <c r="F95" s="31" t="b">
        <f t="shared" si="7"/>
        <v>0</v>
      </c>
      <c r="G95" s="32" t="b">
        <f t="shared" si="0"/>
        <v>0</v>
      </c>
      <c r="H95" s="27"/>
      <c r="I95" s="33" t="b">
        <f t="shared" si="8"/>
        <v>0</v>
      </c>
      <c r="J95" s="40" t="e">
        <f t="shared" si="9"/>
        <v>#VALUE!</v>
      </c>
      <c r="K95" s="40" t="e">
        <f t="shared" si="1"/>
        <v>#VALUE!</v>
      </c>
      <c r="L95" s="41" t="e">
        <f t="shared" si="2"/>
        <v>#VALUE!</v>
      </c>
      <c r="M95" s="41" t="e">
        <f t="shared" si="3"/>
        <v>#VALUE!</v>
      </c>
      <c r="N95" s="27"/>
      <c r="O95" s="27"/>
      <c r="P95" s="43"/>
      <c r="Q95" s="27"/>
      <c r="R95" s="17"/>
      <c r="S95" s="17"/>
      <c r="T95" s="17"/>
    </row>
    <row r="96" spans="1:20">
      <c r="A96" s="25"/>
      <c r="B96" s="26"/>
      <c r="C96" s="27"/>
      <c r="D96" s="27"/>
      <c r="E96" s="27"/>
      <c r="F96" s="31" t="b">
        <f t="shared" si="7"/>
        <v>0</v>
      </c>
      <c r="G96" s="32" t="b">
        <f t="shared" si="0"/>
        <v>0</v>
      </c>
      <c r="H96" s="27"/>
      <c r="I96" s="33" t="b">
        <f t="shared" si="8"/>
        <v>0</v>
      </c>
      <c r="J96" s="40" t="e">
        <f t="shared" si="9"/>
        <v>#VALUE!</v>
      </c>
      <c r="K96" s="40" t="e">
        <f t="shared" si="1"/>
        <v>#VALUE!</v>
      </c>
      <c r="L96" s="41" t="e">
        <f t="shared" si="2"/>
        <v>#VALUE!</v>
      </c>
      <c r="M96" s="41" t="e">
        <f t="shared" si="3"/>
        <v>#VALUE!</v>
      </c>
      <c r="N96" s="27"/>
      <c r="O96" s="27"/>
      <c r="P96" s="43"/>
      <c r="Q96" s="27"/>
      <c r="R96" s="17"/>
      <c r="S96" s="17"/>
      <c r="T96" s="17"/>
    </row>
    <row r="97" spans="1:20">
      <c r="A97" s="25"/>
      <c r="B97" s="26"/>
      <c r="C97" s="27"/>
      <c r="D97" s="27"/>
      <c r="E97" s="27"/>
      <c r="F97" s="31" t="b">
        <f t="shared" si="7"/>
        <v>0</v>
      </c>
      <c r="G97" s="32" t="b">
        <f t="shared" si="0"/>
        <v>0</v>
      </c>
      <c r="H97" s="27"/>
      <c r="I97" s="33" t="b">
        <f t="shared" si="8"/>
        <v>0</v>
      </c>
      <c r="J97" s="40" t="e">
        <f t="shared" si="9"/>
        <v>#VALUE!</v>
      </c>
      <c r="K97" s="40" t="e">
        <f t="shared" si="1"/>
        <v>#VALUE!</v>
      </c>
      <c r="L97" s="41" t="e">
        <f t="shared" si="2"/>
        <v>#VALUE!</v>
      </c>
      <c r="M97" s="41" t="e">
        <f t="shared" si="3"/>
        <v>#VALUE!</v>
      </c>
      <c r="N97" s="27"/>
      <c r="O97" s="27"/>
      <c r="P97" s="43"/>
      <c r="Q97" s="27"/>
      <c r="R97" s="17"/>
      <c r="S97" s="17"/>
      <c r="T97" s="17"/>
    </row>
    <row r="98" spans="1:20">
      <c r="A98" s="25"/>
      <c r="B98" s="26"/>
      <c r="C98" s="27"/>
      <c r="D98" s="27"/>
      <c r="E98" s="27"/>
      <c r="F98" s="31" t="b">
        <f t="shared" si="7"/>
        <v>0</v>
      </c>
      <c r="G98" s="32" t="b">
        <f t="shared" si="0"/>
        <v>0</v>
      </c>
      <c r="H98" s="27"/>
      <c r="I98" s="33" t="b">
        <f t="shared" si="8"/>
        <v>0</v>
      </c>
      <c r="J98" s="40" t="e">
        <f t="shared" si="9"/>
        <v>#VALUE!</v>
      </c>
      <c r="K98" s="40" t="e">
        <f t="shared" si="1"/>
        <v>#VALUE!</v>
      </c>
      <c r="L98" s="41" t="e">
        <f t="shared" si="2"/>
        <v>#VALUE!</v>
      </c>
      <c r="M98" s="41" t="e">
        <f t="shared" si="3"/>
        <v>#VALUE!</v>
      </c>
      <c r="N98" s="27"/>
      <c r="O98" s="27"/>
      <c r="P98" s="43"/>
      <c r="Q98" s="27"/>
      <c r="R98" s="17"/>
      <c r="S98" s="17"/>
      <c r="T98" s="17"/>
    </row>
    <row r="99" spans="1:20">
      <c r="A99" s="25"/>
      <c r="B99" s="26"/>
      <c r="C99" s="27"/>
      <c r="D99" s="27"/>
      <c r="E99" s="27"/>
      <c r="F99" s="31" t="b">
        <f t="shared" si="7"/>
        <v>0</v>
      </c>
      <c r="G99" s="32" t="b">
        <f t="shared" si="0"/>
        <v>0</v>
      </c>
      <c r="H99" s="27"/>
      <c r="I99" s="33" t="b">
        <f t="shared" si="8"/>
        <v>0</v>
      </c>
      <c r="J99" s="40" t="e">
        <f t="shared" si="9"/>
        <v>#VALUE!</v>
      </c>
      <c r="K99" s="40" t="e">
        <f t="shared" si="1"/>
        <v>#VALUE!</v>
      </c>
      <c r="L99" s="41" t="e">
        <f t="shared" si="2"/>
        <v>#VALUE!</v>
      </c>
      <c r="M99" s="41" t="e">
        <f t="shared" si="3"/>
        <v>#VALUE!</v>
      </c>
      <c r="N99" s="27"/>
      <c r="O99" s="27"/>
      <c r="P99" s="43"/>
      <c r="Q99" s="27"/>
      <c r="R99" s="17"/>
      <c r="S99" s="17"/>
      <c r="T99" s="17"/>
    </row>
    <row r="100" spans="1:20">
      <c r="A100" s="25"/>
      <c r="B100" s="26"/>
      <c r="C100" s="27"/>
      <c r="D100" s="27"/>
      <c r="E100" s="27"/>
      <c r="F100" s="31" t="b">
        <f t="shared" si="7"/>
        <v>0</v>
      </c>
      <c r="G100" s="32" t="b">
        <f t="shared" si="0"/>
        <v>0</v>
      </c>
      <c r="H100" s="27"/>
      <c r="I100" s="33" t="b">
        <f t="shared" si="8"/>
        <v>0</v>
      </c>
      <c r="J100" s="40" t="e">
        <f t="shared" si="9"/>
        <v>#VALUE!</v>
      </c>
      <c r="K100" s="40" t="e">
        <f t="shared" si="1"/>
        <v>#VALUE!</v>
      </c>
      <c r="L100" s="41" t="e">
        <f t="shared" si="2"/>
        <v>#VALUE!</v>
      </c>
      <c r="M100" s="41" t="e">
        <f t="shared" si="3"/>
        <v>#VALUE!</v>
      </c>
      <c r="N100" s="27"/>
      <c r="O100" s="27"/>
      <c r="P100" s="43"/>
      <c r="Q100" s="27"/>
      <c r="R100" s="17"/>
      <c r="S100" s="17"/>
      <c r="T100" s="17"/>
    </row>
    <row r="101" spans="1:20">
      <c r="A101" s="25"/>
      <c r="B101" s="26"/>
      <c r="C101" s="27"/>
      <c r="D101" s="27"/>
      <c r="E101" s="27"/>
      <c r="F101" s="31" t="b">
        <f t="shared" si="7"/>
        <v>0</v>
      </c>
      <c r="G101" s="32" t="b">
        <f t="shared" si="0"/>
        <v>0</v>
      </c>
      <c r="H101" s="27"/>
      <c r="I101" s="33" t="b">
        <f t="shared" si="8"/>
        <v>0</v>
      </c>
      <c r="J101" s="40" t="e">
        <f t="shared" si="9"/>
        <v>#VALUE!</v>
      </c>
      <c r="K101" s="40" t="e">
        <f t="shared" si="1"/>
        <v>#VALUE!</v>
      </c>
      <c r="L101" s="41" t="e">
        <f t="shared" si="2"/>
        <v>#VALUE!</v>
      </c>
      <c r="M101" s="41" t="e">
        <f t="shared" si="3"/>
        <v>#VALUE!</v>
      </c>
      <c r="N101" s="27"/>
      <c r="O101" s="27"/>
      <c r="P101" s="43"/>
      <c r="Q101" s="27"/>
      <c r="R101" s="17"/>
      <c r="S101" s="17"/>
      <c r="T101" s="17"/>
    </row>
    <row r="102" spans="1:2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4" t="s">
        <v>17</v>
      </c>
      <c r="O102" s="45"/>
      <c r="P102" s="65">
        <f>SUM(P3:P101)</f>
        <v>0</v>
      </c>
      <c r="Q102" s="1"/>
      <c r="R102" s="17"/>
      <c r="S102" s="17"/>
      <c r="T102" s="17"/>
    </row>
    <row r="104" spans="2:3">
      <c r="B104" s="16"/>
      <c r="C104" s="16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6">
      <c r="A108" s="17"/>
      <c r="B108" s="18"/>
      <c r="C108" s="18"/>
      <c r="D108" s="17"/>
      <c r="E108" s="17"/>
      <c r="F108" s="17"/>
    </row>
    <row r="109" spans="1:6">
      <c r="A109" s="17"/>
      <c r="B109" s="18"/>
      <c r="C109" s="18"/>
      <c r="D109" s="17"/>
      <c r="E109" s="17"/>
      <c r="F109" s="17"/>
    </row>
    <row r="110" spans="1:6">
      <c r="A110" s="17"/>
      <c r="B110" s="18"/>
      <c r="C110" s="18"/>
      <c r="D110" s="17"/>
      <c r="E110" s="17"/>
      <c r="F110" s="17"/>
    </row>
    <row r="111" spans="1:6">
      <c r="A111" s="17"/>
      <c r="B111" s="17"/>
      <c r="C111" s="17"/>
      <c r="D111" s="17"/>
      <c r="E111" s="17"/>
      <c r="F111" s="17"/>
    </row>
    <row r="112" ht="20.4" spans="2:6">
      <c r="B112" s="19" t="s">
        <v>21</v>
      </c>
      <c r="C112" s="20"/>
      <c r="D112" s="20"/>
      <c r="E112" s="17"/>
      <c r="F112" s="17"/>
    </row>
    <row r="113" ht="20.4" spans="2:6">
      <c r="B113" s="21" t="s">
        <v>22</v>
      </c>
      <c r="E113" s="17"/>
      <c r="F113" s="17"/>
    </row>
    <row r="114" ht="20.4" spans="2:6">
      <c r="B114" s="21" t="s">
        <v>23</v>
      </c>
      <c r="C114" s="20"/>
      <c r="D114" s="20"/>
      <c r="E114" s="17"/>
      <c r="F114" s="17"/>
    </row>
    <row r="115" ht="20.4" spans="2:6">
      <c r="B115" s="21" t="s">
        <v>24</v>
      </c>
      <c r="C115" s="20"/>
      <c r="E115" s="17"/>
      <c r="F115" s="17"/>
    </row>
    <row r="116" ht="20.4" spans="2:3">
      <c r="B116" s="21"/>
      <c r="C116" s="20"/>
    </row>
  </sheetData>
  <sheetProtection algorithmName="SHA-512" hashValue="KOrtteOaCo2Q4NQ8uwlHaqN+QHyHPvO8mfQW7cJ7BqjSsAZ6BNEh3/5exSOHkCnvtF1irFRjswwwouOEMkDb+Q==" saltValue="I5+2WRaGOctBpC6F3Qcrmg==" spinCount="100000" sheet="1" objects="1" scenarios="1"/>
  <mergeCells count="3">
    <mergeCell ref="J1:K1"/>
    <mergeCell ref="L1:M1"/>
    <mergeCell ref="N102:O102"/>
  </mergeCells>
  <dataValidations count="1">
    <dataValidation type="list" allowBlank="1" showErrorMessage="1" sqref="B3:B101">
      <formula1>$S$2:$S$3</formula1>
    </dataValidation>
  </dataValidation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"/>
  <sheetViews>
    <sheetView workbookViewId="0">
      <selection activeCell="H108" sqref="H108:J108"/>
    </sheetView>
  </sheetViews>
  <sheetFormatPr defaultColWidth="9" defaultRowHeight="17.6"/>
  <cols>
    <col min="1" max="1" width="12.8303571428571" customWidth="1"/>
    <col min="2" max="2" width="12.5" customWidth="1"/>
    <col min="3" max="3" width="13.3303571428571" customWidth="1"/>
    <col min="4" max="4" width="12.6607142857143" customWidth="1"/>
    <col min="5" max="5" width="11.8303571428571" customWidth="1"/>
    <col min="6" max="6" width="12.6607142857143" hidden="1" customWidth="1"/>
    <col min="7" max="8" width="12.6607142857143" customWidth="1"/>
    <col min="9" max="9" width="13.1607142857143" hidden="1" customWidth="1"/>
    <col min="10" max="10" width="13.3303571428571" customWidth="1"/>
    <col min="11" max="11" width="13.1607142857143" customWidth="1"/>
    <col min="12" max="12" width="13.5" hidden="1" customWidth="1"/>
    <col min="13" max="13" width="13.6607142857143" customWidth="1"/>
    <col min="14" max="14" width="14.3303571428571" customWidth="1"/>
    <col min="15" max="15" width="13.3303571428571" customWidth="1"/>
    <col min="16" max="16" width="14.3303571428571" customWidth="1"/>
    <col min="17" max="18" width="13" customWidth="1"/>
    <col min="19" max="20" width="12.8303571428571" customWidth="1"/>
    <col min="22" max="22" width="9" hidden="1" customWidth="1"/>
  </cols>
  <sheetData>
    <row r="1" spans="1:23">
      <c r="A1" s="1"/>
      <c r="B1" s="1"/>
      <c r="C1" s="1"/>
      <c r="D1" s="1"/>
      <c r="E1" s="1"/>
      <c r="F1" s="1"/>
      <c r="G1" s="58" t="s">
        <v>25</v>
      </c>
      <c r="H1" s="59"/>
      <c r="I1" s="59"/>
      <c r="J1" s="28" t="s">
        <v>26</v>
      </c>
      <c r="K1" s="29"/>
      <c r="L1" s="29"/>
      <c r="M1" s="60" t="s">
        <v>0</v>
      </c>
      <c r="N1" s="60"/>
      <c r="O1" s="61" t="s">
        <v>1</v>
      </c>
      <c r="P1" s="61"/>
      <c r="Q1" s="1"/>
      <c r="R1" s="1"/>
      <c r="S1" s="1"/>
      <c r="T1" s="1"/>
      <c r="U1" s="1"/>
      <c r="V1" s="1" t="s">
        <v>19</v>
      </c>
      <c r="W1" s="15"/>
    </row>
    <row r="2" spans="1:23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30" t="s">
        <v>27</v>
      </c>
      <c r="K2" s="30" t="s">
        <v>9</v>
      </c>
      <c r="L2" s="30" t="s">
        <v>10</v>
      </c>
      <c r="M2" s="62" t="s">
        <v>28</v>
      </c>
      <c r="N2" s="62" t="s">
        <v>29</v>
      </c>
      <c r="O2" s="63" t="s">
        <v>30</v>
      </c>
      <c r="P2" s="63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 t="s">
        <v>20</v>
      </c>
      <c r="W2" s="15"/>
    </row>
    <row r="3" spans="1:23">
      <c r="A3" s="56"/>
      <c r="B3" s="26"/>
      <c r="C3" s="27"/>
      <c r="D3" s="27"/>
      <c r="E3" s="27"/>
      <c r="F3" s="31" t="b">
        <f>IF(B3="BUY",(C3*(1-1.5%)),IF(B3="SELL",(C3*(1+1.5%))))</f>
        <v>0</v>
      </c>
      <c r="G3" s="32" t="b">
        <f t="shared" ref="G3:G101" si="0">IF(B3="BUY","2DLL",IF(B3="SELL","2DHH"))</f>
        <v>0</v>
      </c>
      <c r="H3" s="27"/>
      <c r="I3" s="33" t="b">
        <f t="shared" ref="I3:I101" si="1">IF(G3="2DHH",(H3*(1+0.12%)),IF(G3="2DLL",(H3*(1-0.12%))))</f>
        <v>0</v>
      </c>
      <c r="J3" s="32" t="b">
        <f>IF(B3="BUY","4DLL",IF(B3="SELL","4DHH"))</f>
        <v>0</v>
      </c>
      <c r="K3" s="27"/>
      <c r="L3" s="33" t="b">
        <f>IF(J3="4DHH",(K3*(1+0.12%)),IF(J3="4DLL",(K3*(1-0.12%))))</f>
        <v>0</v>
      </c>
      <c r="M3" s="40" t="e">
        <f t="shared" ref="M3:M34" si="2">MROUND(IF(B3="BUY",MAX(F3,I3),IF(B3="SELL",MIN(F3,I3))),1)</f>
        <v>#VALUE!</v>
      </c>
      <c r="N3" s="40" t="b">
        <f t="shared" ref="N3:N34" si="3">IF(B3="BUY",(M3*(1-0.1%)),IF(B3="SELL",(M3*(1+0.1%))))</f>
        <v>0</v>
      </c>
      <c r="O3" s="41" t="e">
        <f t="shared" ref="O3:O34" si="4">MROUND(IF(B3="BUY",MAX(F3,L3),IF(B3="SELL",MIN(F3,L3))),1)</f>
        <v>#VALUE!</v>
      </c>
      <c r="P3" s="41" t="b">
        <f t="shared" ref="P3:P34" si="5">IF(B3="BUY",(O3*(1-0.1%)),IF(B3="SELL",(O3*(1+0.1%))))</f>
        <v>0</v>
      </c>
      <c r="Q3" s="27"/>
      <c r="R3" s="27"/>
      <c r="S3" s="43"/>
      <c r="T3" s="27"/>
      <c r="U3" s="1"/>
      <c r="V3" s="1"/>
      <c r="W3" s="15"/>
    </row>
    <row r="4" spans="1:23">
      <c r="A4" s="56"/>
      <c r="B4" s="26"/>
      <c r="C4" s="27"/>
      <c r="D4" s="27"/>
      <c r="E4" s="27"/>
      <c r="F4" s="31" t="b">
        <f t="shared" ref="F4:F67" si="6">IF(B4="BUY",(C4*(1-1.5%)),IF(B4="SELL",(C4*(1+1.5%))))</f>
        <v>0</v>
      </c>
      <c r="G4" s="32" t="b">
        <f t="shared" si="0"/>
        <v>0</v>
      </c>
      <c r="H4" s="27"/>
      <c r="I4" s="33" t="b">
        <f t="shared" si="1"/>
        <v>0</v>
      </c>
      <c r="J4" s="32" t="b">
        <f t="shared" ref="J4:J67" si="7">IF(B4="BUY","4DLL",IF(B4="SELL","4DHH"))</f>
        <v>0</v>
      </c>
      <c r="K4" s="27"/>
      <c r="L4" s="33" t="b">
        <f t="shared" ref="L4:L67" si="8">IF(J4="4DHH",(K4*(1+0.12%)),IF(J4="4DLL",(K4*(1-0.12%))))</f>
        <v>0</v>
      </c>
      <c r="M4" s="40" t="e">
        <f t="shared" si="2"/>
        <v>#VALUE!</v>
      </c>
      <c r="N4" s="40" t="b">
        <f t="shared" si="3"/>
        <v>0</v>
      </c>
      <c r="O4" s="41" t="e">
        <f t="shared" si="4"/>
        <v>#VALUE!</v>
      </c>
      <c r="P4" s="41" t="b">
        <f t="shared" si="5"/>
        <v>0</v>
      </c>
      <c r="Q4" s="27"/>
      <c r="R4" s="27"/>
      <c r="S4" s="43"/>
      <c r="T4" s="27"/>
      <c r="U4" s="1"/>
      <c r="V4" s="1"/>
      <c r="W4" s="15"/>
    </row>
    <row r="5" spans="1:23">
      <c r="A5" s="56"/>
      <c r="B5" s="26"/>
      <c r="C5" s="27"/>
      <c r="D5" s="27"/>
      <c r="E5" s="27"/>
      <c r="F5" s="31" t="b">
        <f t="shared" si="6"/>
        <v>0</v>
      </c>
      <c r="G5" s="32" t="b">
        <f t="shared" si="0"/>
        <v>0</v>
      </c>
      <c r="H5" s="27"/>
      <c r="I5" s="33" t="b">
        <f t="shared" si="1"/>
        <v>0</v>
      </c>
      <c r="J5" s="32" t="b">
        <f t="shared" si="7"/>
        <v>0</v>
      </c>
      <c r="K5" s="27"/>
      <c r="L5" s="33" t="b">
        <f t="shared" si="8"/>
        <v>0</v>
      </c>
      <c r="M5" s="40" t="e">
        <f t="shared" si="2"/>
        <v>#VALUE!</v>
      </c>
      <c r="N5" s="40" t="b">
        <f t="shared" si="3"/>
        <v>0</v>
      </c>
      <c r="O5" s="41" t="e">
        <f t="shared" si="4"/>
        <v>#VALUE!</v>
      </c>
      <c r="P5" s="41" t="b">
        <f t="shared" si="5"/>
        <v>0</v>
      </c>
      <c r="Q5" s="27"/>
      <c r="R5" s="27"/>
      <c r="S5" s="43"/>
      <c r="T5" s="27"/>
      <c r="U5" s="1"/>
      <c r="V5" s="1"/>
      <c r="W5" s="15"/>
    </row>
    <row r="6" spans="1:23">
      <c r="A6" s="56"/>
      <c r="B6" s="26"/>
      <c r="C6" s="27"/>
      <c r="D6" s="27"/>
      <c r="E6" s="27"/>
      <c r="F6" s="31" t="b">
        <f t="shared" si="6"/>
        <v>0</v>
      </c>
      <c r="G6" s="32" t="b">
        <f t="shared" si="0"/>
        <v>0</v>
      </c>
      <c r="H6" s="27"/>
      <c r="I6" s="33" t="b">
        <f t="shared" si="1"/>
        <v>0</v>
      </c>
      <c r="J6" s="32" t="b">
        <f t="shared" si="7"/>
        <v>0</v>
      </c>
      <c r="K6" s="27"/>
      <c r="L6" s="33" t="b">
        <f t="shared" si="8"/>
        <v>0</v>
      </c>
      <c r="M6" s="40" t="e">
        <f t="shared" si="2"/>
        <v>#VALUE!</v>
      </c>
      <c r="N6" s="40" t="b">
        <f t="shared" si="3"/>
        <v>0</v>
      </c>
      <c r="O6" s="41" t="e">
        <f t="shared" si="4"/>
        <v>#VALUE!</v>
      </c>
      <c r="P6" s="41" t="b">
        <f t="shared" si="5"/>
        <v>0</v>
      </c>
      <c r="Q6" s="27"/>
      <c r="R6" s="27"/>
      <c r="S6" s="43"/>
      <c r="T6" s="27"/>
      <c r="U6" s="1"/>
      <c r="V6" s="1"/>
      <c r="W6" s="15"/>
    </row>
    <row r="7" spans="1:23">
      <c r="A7" s="56"/>
      <c r="B7" s="26"/>
      <c r="C7" s="27"/>
      <c r="D7" s="27"/>
      <c r="E7" s="27"/>
      <c r="F7" s="31" t="b">
        <f t="shared" si="6"/>
        <v>0</v>
      </c>
      <c r="G7" s="32" t="b">
        <f t="shared" si="0"/>
        <v>0</v>
      </c>
      <c r="H7" s="27"/>
      <c r="I7" s="33" t="b">
        <f t="shared" si="1"/>
        <v>0</v>
      </c>
      <c r="J7" s="32" t="b">
        <f t="shared" si="7"/>
        <v>0</v>
      </c>
      <c r="K7" s="27"/>
      <c r="L7" s="33" t="b">
        <f t="shared" si="8"/>
        <v>0</v>
      </c>
      <c r="M7" s="40" t="e">
        <f t="shared" si="2"/>
        <v>#VALUE!</v>
      </c>
      <c r="N7" s="40" t="b">
        <f t="shared" si="3"/>
        <v>0</v>
      </c>
      <c r="O7" s="41" t="e">
        <f t="shared" si="4"/>
        <v>#VALUE!</v>
      </c>
      <c r="P7" s="41" t="b">
        <f t="shared" si="5"/>
        <v>0</v>
      </c>
      <c r="Q7" s="27"/>
      <c r="R7" s="27"/>
      <c r="S7" s="43"/>
      <c r="T7" s="27"/>
      <c r="U7" s="1"/>
      <c r="V7" s="1"/>
      <c r="W7" s="15"/>
    </row>
    <row r="8" spans="1:23">
      <c r="A8" s="27"/>
      <c r="B8" s="26"/>
      <c r="C8" s="27"/>
      <c r="D8" s="27"/>
      <c r="E8" s="27"/>
      <c r="F8" s="31" t="b">
        <f t="shared" si="6"/>
        <v>0</v>
      </c>
      <c r="G8" s="32" t="b">
        <f t="shared" si="0"/>
        <v>0</v>
      </c>
      <c r="H8" s="27"/>
      <c r="I8" s="33" t="b">
        <f t="shared" si="1"/>
        <v>0</v>
      </c>
      <c r="J8" s="32" t="b">
        <f t="shared" si="7"/>
        <v>0</v>
      </c>
      <c r="K8" s="27"/>
      <c r="L8" s="33" t="b">
        <f t="shared" si="8"/>
        <v>0</v>
      </c>
      <c r="M8" s="40" t="e">
        <f t="shared" si="2"/>
        <v>#VALUE!</v>
      </c>
      <c r="N8" s="40" t="b">
        <f t="shared" si="3"/>
        <v>0</v>
      </c>
      <c r="O8" s="41" t="e">
        <f t="shared" si="4"/>
        <v>#VALUE!</v>
      </c>
      <c r="P8" s="41" t="b">
        <f t="shared" si="5"/>
        <v>0</v>
      </c>
      <c r="Q8" s="27"/>
      <c r="R8" s="27"/>
      <c r="S8" s="43"/>
      <c r="T8" s="27"/>
      <c r="U8" s="1"/>
      <c r="V8" s="1"/>
      <c r="W8" s="15"/>
    </row>
    <row r="9" spans="1:23">
      <c r="A9" s="27"/>
      <c r="B9" s="26"/>
      <c r="C9" s="27"/>
      <c r="D9" s="27"/>
      <c r="E9" s="27"/>
      <c r="F9" s="31" t="b">
        <f t="shared" si="6"/>
        <v>0</v>
      </c>
      <c r="G9" s="32" t="b">
        <f t="shared" si="0"/>
        <v>0</v>
      </c>
      <c r="H9" s="27"/>
      <c r="I9" s="33" t="b">
        <f t="shared" si="1"/>
        <v>0</v>
      </c>
      <c r="J9" s="32" t="b">
        <f t="shared" si="7"/>
        <v>0</v>
      </c>
      <c r="K9" s="27"/>
      <c r="L9" s="33" t="b">
        <f t="shared" si="8"/>
        <v>0</v>
      </c>
      <c r="M9" s="40" t="e">
        <f t="shared" si="2"/>
        <v>#VALUE!</v>
      </c>
      <c r="N9" s="40" t="b">
        <f t="shared" si="3"/>
        <v>0</v>
      </c>
      <c r="O9" s="41" t="e">
        <f t="shared" si="4"/>
        <v>#VALUE!</v>
      </c>
      <c r="P9" s="41" t="b">
        <f t="shared" si="5"/>
        <v>0</v>
      </c>
      <c r="Q9" s="27"/>
      <c r="R9" s="27"/>
      <c r="S9" s="43"/>
      <c r="T9" s="27"/>
      <c r="U9" s="1"/>
      <c r="V9" s="1"/>
      <c r="W9" s="15"/>
    </row>
    <row r="10" spans="1:23">
      <c r="A10" s="27"/>
      <c r="B10" s="26"/>
      <c r="C10" s="27"/>
      <c r="D10" s="27"/>
      <c r="E10" s="27"/>
      <c r="F10" s="31" t="b">
        <f t="shared" si="6"/>
        <v>0</v>
      </c>
      <c r="G10" s="32" t="b">
        <f t="shared" si="0"/>
        <v>0</v>
      </c>
      <c r="H10" s="27"/>
      <c r="I10" s="33" t="b">
        <f t="shared" si="1"/>
        <v>0</v>
      </c>
      <c r="J10" s="32" t="b">
        <f t="shared" si="7"/>
        <v>0</v>
      </c>
      <c r="K10" s="27"/>
      <c r="L10" s="33" t="b">
        <f t="shared" si="8"/>
        <v>0</v>
      </c>
      <c r="M10" s="40" t="e">
        <f t="shared" si="2"/>
        <v>#VALUE!</v>
      </c>
      <c r="N10" s="40" t="b">
        <f t="shared" si="3"/>
        <v>0</v>
      </c>
      <c r="O10" s="41" t="e">
        <f t="shared" si="4"/>
        <v>#VALUE!</v>
      </c>
      <c r="P10" s="41" t="b">
        <f t="shared" si="5"/>
        <v>0</v>
      </c>
      <c r="Q10" s="27"/>
      <c r="R10" s="27"/>
      <c r="S10" s="43"/>
      <c r="T10" s="27"/>
      <c r="U10" s="1"/>
      <c r="V10" s="1"/>
      <c r="W10" s="15"/>
    </row>
    <row r="11" spans="1:23">
      <c r="A11" s="27"/>
      <c r="B11" s="26"/>
      <c r="C11" s="27"/>
      <c r="D11" s="27"/>
      <c r="E11" s="27"/>
      <c r="F11" s="31" t="b">
        <f t="shared" si="6"/>
        <v>0</v>
      </c>
      <c r="G11" s="32" t="b">
        <f t="shared" si="0"/>
        <v>0</v>
      </c>
      <c r="H11" s="27"/>
      <c r="I11" s="33" t="b">
        <f t="shared" si="1"/>
        <v>0</v>
      </c>
      <c r="J11" s="32" t="b">
        <f t="shared" si="7"/>
        <v>0</v>
      </c>
      <c r="K11" s="27"/>
      <c r="L11" s="33" t="b">
        <f t="shared" si="8"/>
        <v>0</v>
      </c>
      <c r="M11" s="40" t="e">
        <f t="shared" si="2"/>
        <v>#VALUE!</v>
      </c>
      <c r="N11" s="40" t="b">
        <f t="shared" si="3"/>
        <v>0</v>
      </c>
      <c r="O11" s="41" t="e">
        <f t="shared" si="4"/>
        <v>#VALUE!</v>
      </c>
      <c r="P11" s="41" t="b">
        <f t="shared" si="5"/>
        <v>0</v>
      </c>
      <c r="Q11" s="27"/>
      <c r="R11" s="27"/>
      <c r="S11" s="43"/>
      <c r="T11" s="27"/>
      <c r="U11" s="1"/>
      <c r="V11" s="1"/>
      <c r="W11" s="15"/>
    </row>
    <row r="12" spans="1:23">
      <c r="A12" s="27"/>
      <c r="B12" s="26"/>
      <c r="C12" s="27"/>
      <c r="D12" s="27"/>
      <c r="E12" s="27"/>
      <c r="F12" s="31" t="b">
        <f t="shared" si="6"/>
        <v>0</v>
      </c>
      <c r="G12" s="32" t="b">
        <f t="shared" si="0"/>
        <v>0</v>
      </c>
      <c r="H12" s="27"/>
      <c r="I12" s="33" t="b">
        <f t="shared" si="1"/>
        <v>0</v>
      </c>
      <c r="J12" s="32" t="b">
        <f t="shared" si="7"/>
        <v>0</v>
      </c>
      <c r="K12" s="27"/>
      <c r="L12" s="33" t="b">
        <f t="shared" si="8"/>
        <v>0</v>
      </c>
      <c r="M12" s="40" t="e">
        <f t="shared" si="2"/>
        <v>#VALUE!</v>
      </c>
      <c r="N12" s="40" t="b">
        <f t="shared" si="3"/>
        <v>0</v>
      </c>
      <c r="O12" s="41" t="e">
        <f t="shared" si="4"/>
        <v>#VALUE!</v>
      </c>
      <c r="P12" s="41" t="b">
        <f t="shared" si="5"/>
        <v>0</v>
      </c>
      <c r="Q12" s="27"/>
      <c r="R12" s="27"/>
      <c r="S12" s="43"/>
      <c r="T12" s="27"/>
      <c r="U12" s="1"/>
      <c r="V12" s="1"/>
      <c r="W12" s="15"/>
    </row>
    <row r="13" spans="1:23">
      <c r="A13" s="27"/>
      <c r="B13" s="26"/>
      <c r="C13" s="27"/>
      <c r="D13" s="27"/>
      <c r="E13" s="27"/>
      <c r="F13" s="31" t="b">
        <f t="shared" si="6"/>
        <v>0</v>
      </c>
      <c r="G13" s="32" t="b">
        <f t="shared" si="0"/>
        <v>0</v>
      </c>
      <c r="H13" s="27"/>
      <c r="I13" s="33" t="b">
        <f t="shared" si="1"/>
        <v>0</v>
      </c>
      <c r="J13" s="32" t="b">
        <f t="shared" si="7"/>
        <v>0</v>
      </c>
      <c r="K13" s="27"/>
      <c r="L13" s="33" t="b">
        <f t="shared" si="8"/>
        <v>0</v>
      </c>
      <c r="M13" s="40" t="e">
        <f t="shared" si="2"/>
        <v>#VALUE!</v>
      </c>
      <c r="N13" s="40" t="b">
        <f t="shared" si="3"/>
        <v>0</v>
      </c>
      <c r="O13" s="41" t="e">
        <f t="shared" si="4"/>
        <v>#VALUE!</v>
      </c>
      <c r="P13" s="41" t="b">
        <f t="shared" si="5"/>
        <v>0</v>
      </c>
      <c r="Q13" s="27"/>
      <c r="R13" s="27"/>
      <c r="S13" s="43"/>
      <c r="T13" s="27"/>
      <c r="U13" s="1"/>
      <c r="V13" s="1"/>
      <c r="W13" s="15"/>
    </row>
    <row r="14" spans="1:23">
      <c r="A14" s="27"/>
      <c r="B14" s="26"/>
      <c r="C14" s="27"/>
      <c r="D14" s="27"/>
      <c r="E14" s="27"/>
      <c r="F14" s="31" t="b">
        <f t="shared" si="6"/>
        <v>0</v>
      </c>
      <c r="G14" s="32" t="b">
        <f t="shared" si="0"/>
        <v>0</v>
      </c>
      <c r="H14" s="27"/>
      <c r="I14" s="33" t="b">
        <f t="shared" si="1"/>
        <v>0</v>
      </c>
      <c r="J14" s="32" t="b">
        <f t="shared" si="7"/>
        <v>0</v>
      </c>
      <c r="K14" s="27"/>
      <c r="L14" s="33" t="b">
        <f t="shared" si="8"/>
        <v>0</v>
      </c>
      <c r="M14" s="40" t="e">
        <f t="shared" si="2"/>
        <v>#VALUE!</v>
      </c>
      <c r="N14" s="40" t="b">
        <f t="shared" si="3"/>
        <v>0</v>
      </c>
      <c r="O14" s="41" t="e">
        <f t="shared" si="4"/>
        <v>#VALUE!</v>
      </c>
      <c r="P14" s="41" t="b">
        <f t="shared" si="5"/>
        <v>0</v>
      </c>
      <c r="Q14" s="27"/>
      <c r="R14" s="27"/>
      <c r="S14" s="43"/>
      <c r="T14" s="27"/>
      <c r="U14" s="1"/>
      <c r="V14" s="1"/>
      <c r="W14" s="15"/>
    </row>
    <row r="15" spans="1:23">
      <c r="A15" s="27"/>
      <c r="B15" s="26"/>
      <c r="C15" s="27"/>
      <c r="D15" s="27"/>
      <c r="E15" s="27"/>
      <c r="F15" s="31" t="b">
        <f t="shared" si="6"/>
        <v>0</v>
      </c>
      <c r="G15" s="32" t="b">
        <f t="shared" si="0"/>
        <v>0</v>
      </c>
      <c r="H15" s="27"/>
      <c r="I15" s="33" t="b">
        <f t="shared" si="1"/>
        <v>0</v>
      </c>
      <c r="J15" s="32" t="b">
        <f t="shared" si="7"/>
        <v>0</v>
      </c>
      <c r="K15" s="27"/>
      <c r="L15" s="33" t="b">
        <f t="shared" si="8"/>
        <v>0</v>
      </c>
      <c r="M15" s="40" t="e">
        <f t="shared" si="2"/>
        <v>#VALUE!</v>
      </c>
      <c r="N15" s="40" t="b">
        <f t="shared" si="3"/>
        <v>0</v>
      </c>
      <c r="O15" s="41" t="e">
        <f t="shared" si="4"/>
        <v>#VALUE!</v>
      </c>
      <c r="P15" s="41" t="b">
        <f t="shared" si="5"/>
        <v>0</v>
      </c>
      <c r="Q15" s="27"/>
      <c r="R15" s="27"/>
      <c r="S15" s="43"/>
      <c r="T15" s="27"/>
      <c r="U15" s="1"/>
      <c r="V15" s="1"/>
      <c r="W15" s="15"/>
    </row>
    <row r="16" spans="1:23">
      <c r="A16" s="27"/>
      <c r="B16" s="26"/>
      <c r="C16" s="27"/>
      <c r="D16" s="27"/>
      <c r="E16" s="27"/>
      <c r="F16" s="31" t="b">
        <f t="shared" si="6"/>
        <v>0</v>
      </c>
      <c r="G16" s="32" t="b">
        <f t="shared" si="0"/>
        <v>0</v>
      </c>
      <c r="H16" s="27"/>
      <c r="I16" s="33" t="b">
        <f t="shared" si="1"/>
        <v>0</v>
      </c>
      <c r="J16" s="32" t="b">
        <f t="shared" si="7"/>
        <v>0</v>
      </c>
      <c r="K16" s="27"/>
      <c r="L16" s="33" t="b">
        <f t="shared" si="8"/>
        <v>0</v>
      </c>
      <c r="M16" s="40" t="e">
        <f t="shared" si="2"/>
        <v>#VALUE!</v>
      </c>
      <c r="N16" s="40" t="b">
        <f t="shared" si="3"/>
        <v>0</v>
      </c>
      <c r="O16" s="41" t="e">
        <f t="shared" si="4"/>
        <v>#VALUE!</v>
      </c>
      <c r="P16" s="41" t="b">
        <f t="shared" si="5"/>
        <v>0</v>
      </c>
      <c r="Q16" s="27"/>
      <c r="R16" s="27"/>
      <c r="S16" s="43"/>
      <c r="T16" s="27"/>
      <c r="U16" s="1"/>
      <c r="V16" s="1"/>
      <c r="W16" s="15"/>
    </row>
    <row r="17" spans="1:23">
      <c r="A17" s="27"/>
      <c r="B17" s="26"/>
      <c r="C17" s="27"/>
      <c r="D17" s="27"/>
      <c r="E17" s="27"/>
      <c r="F17" s="31" t="b">
        <f t="shared" si="6"/>
        <v>0</v>
      </c>
      <c r="G17" s="32" t="b">
        <f t="shared" si="0"/>
        <v>0</v>
      </c>
      <c r="H17" s="27"/>
      <c r="I17" s="33" t="b">
        <f t="shared" si="1"/>
        <v>0</v>
      </c>
      <c r="J17" s="32" t="b">
        <f t="shared" si="7"/>
        <v>0</v>
      </c>
      <c r="K17" s="27"/>
      <c r="L17" s="33" t="b">
        <f t="shared" si="8"/>
        <v>0</v>
      </c>
      <c r="M17" s="40" t="e">
        <f t="shared" si="2"/>
        <v>#VALUE!</v>
      </c>
      <c r="N17" s="40" t="b">
        <f t="shared" si="3"/>
        <v>0</v>
      </c>
      <c r="O17" s="41" t="e">
        <f t="shared" si="4"/>
        <v>#VALUE!</v>
      </c>
      <c r="P17" s="41" t="b">
        <f t="shared" si="5"/>
        <v>0</v>
      </c>
      <c r="Q17" s="27"/>
      <c r="R17" s="27"/>
      <c r="S17" s="43"/>
      <c r="T17" s="27"/>
      <c r="U17" s="1"/>
      <c r="V17" s="1"/>
      <c r="W17" s="15"/>
    </row>
    <row r="18" spans="1:23">
      <c r="A18" s="27"/>
      <c r="B18" s="26"/>
      <c r="C18" s="27"/>
      <c r="D18" s="27"/>
      <c r="E18" s="27"/>
      <c r="F18" s="31" t="b">
        <f t="shared" si="6"/>
        <v>0</v>
      </c>
      <c r="G18" s="32" t="b">
        <f t="shared" si="0"/>
        <v>0</v>
      </c>
      <c r="H18" s="27"/>
      <c r="I18" s="33" t="b">
        <f t="shared" si="1"/>
        <v>0</v>
      </c>
      <c r="J18" s="32" t="b">
        <f t="shared" si="7"/>
        <v>0</v>
      </c>
      <c r="K18" s="27"/>
      <c r="L18" s="33" t="b">
        <f t="shared" si="8"/>
        <v>0</v>
      </c>
      <c r="M18" s="40" t="e">
        <f t="shared" si="2"/>
        <v>#VALUE!</v>
      </c>
      <c r="N18" s="40" t="b">
        <f t="shared" si="3"/>
        <v>0</v>
      </c>
      <c r="O18" s="41" t="e">
        <f t="shared" si="4"/>
        <v>#VALUE!</v>
      </c>
      <c r="P18" s="41" t="b">
        <f t="shared" si="5"/>
        <v>0</v>
      </c>
      <c r="Q18" s="27"/>
      <c r="R18" s="27"/>
      <c r="S18" s="43"/>
      <c r="T18" s="27"/>
      <c r="U18" s="1"/>
      <c r="V18" s="1"/>
      <c r="W18" s="15"/>
    </row>
    <row r="19" spans="1:23">
      <c r="A19" s="27"/>
      <c r="B19" s="26"/>
      <c r="C19" s="27"/>
      <c r="D19" s="27"/>
      <c r="E19" s="27"/>
      <c r="F19" s="31" t="b">
        <f t="shared" si="6"/>
        <v>0</v>
      </c>
      <c r="G19" s="32" t="b">
        <f t="shared" si="0"/>
        <v>0</v>
      </c>
      <c r="H19" s="27"/>
      <c r="I19" s="33" t="b">
        <f t="shared" si="1"/>
        <v>0</v>
      </c>
      <c r="J19" s="32" t="b">
        <f t="shared" si="7"/>
        <v>0</v>
      </c>
      <c r="K19" s="27"/>
      <c r="L19" s="33" t="b">
        <f t="shared" si="8"/>
        <v>0</v>
      </c>
      <c r="M19" s="40" t="e">
        <f t="shared" si="2"/>
        <v>#VALUE!</v>
      </c>
      <c r="N19" s="40" t="b">
        <f t="shared" si="3"/>
        <v>0</v>
      </c>
      <c r="O19" s="41" t="e">
        <f t="shared" si="4"/>
        <v>#VALUE!</v>
      </c>
      <c r="P19" s="41" t="b">
        <f t="shared" si="5"/>
        <v>0</v>
      </c>
      <c r="Q19" s="27"/>
      <c r="R19" s="27"/>
      <c r="S19" s="43"/>
      <c r="T19" s="27"/>
      <c r="U19" s="1"/>
      <c r="V19" s="1"/>
      <c r="W19" s="15"/>
    </row>
    <row r="20" spans="1:23">
      <c r="A20" s="27"/>
      <c r="B20" s="26"/>
      <c r="C20" s="27"/>
      <c r="D20" s="27"/>
      <c r="E20" s="27"/>
      <c r="F20" s="31" t="b">
        <f t="shared" si="6"/>
        <v>0</v>
      </c>
      <c r="G20" s="32" t="b">
        <f t="shared" si="0"/>
        <v>0</v>
      </c>
      <c r="H20" s="27"/>
      <c r="I20" s="33" t="b">
        <f t="shared" si="1"/>
        <v>0</v>
      </c>
      <c r="J20" s="32" t="b">
        <f t="shared" si="7"/>
        <v>0</v>
      </c>
      <c r="K20" s="27"/>
      <c r="L20" s="33" t="b">
        <f t="shared" si="8"/>
        <v>0</v>
      </c>
      <c r="M20" s="40" t="e">
        <f t="shared" si="2"/>
        <v>#VALUE!</v>
      </c>
      <c r="N20" s="40" t="b">
        <f t="shared" si="3"/>
        <v>0</v>
      </c>
      <c r="O20" s="41" t="e">
        <f t="shared" si="4"/>
        <v>#VALUE!</v>
      </c>
      <c r="P20" s="41" t="b">
        <f t="shared" si="5"/>
        <v>0</v>
      </c>
      <c r="Q20" s="27"/>
      <c r="R20" s="27"/>
      <c r="S20" s="43"/>
      <c r="T20" s="27"/>
      <c r="U20" s="1"/>
      <c r="V20" s="1"/>
      <c r="W20" s="15"/>
    </row>
    <row r="21" spans="1:23">
      <c r="A21" s="27"/>
      <c r="B21" s="26"/>
      <c r="C21" s="27"/>
      <c r="D21" s="27"/>
      <c r="E21" s="27"/>
      <c r="F21" s="31" t="b">
        <f t="shared" si="6"/>
        <v>0</v>
      </c>
      <c r="G21" s="32" t="b">
        <f t="shared" si="0"/>
        <v>0</v>
      </c>
      <c r="H21" s="27"/>
      <c r="I21" s="33" t="b">
        <f t="shared" si="1"/>
        <v>0</v>
      </c>
      <c r="J21" s="32" t="b">
        <f t="shared" si="7"/>
        <v>0</v>
      </c>
      <c r="K21" s="27"/>
      <c r="L21" s="33" t="b">
        <f t="shared" si="8"/>
        <v>0</v>
      </c>
      <c r="M21" s="40" t="e">
        <f t="shared" si="2"/>
        <v>#VALUE!</v>
      </c>
      <c r="N21" s="40" t="b">
        <f t="shared" si="3"/>
        <v>0</v>
      </c>
      <c r="O21" s="41" t="e">
        <f t="shared" si="4"/>
        <v>#VALUE!</v>
      </c>
      <c r="P21" s="41" t="b">
        <f t="shared" si="5"/>
        <v>0</v>
      </c>
      <c r="Q21" s="27"/>
      <c r="R21" s="27"/>
      <c r="S21" s="43"/>
      <c r="T21" s="27"/>
      <c r="U21" s="1"/>
      <c r="V21" s="1"/>
      <c r="W21" s="15"/>
    </row>
    <row r="22" spans="1:23">
      <c r="A22" s="27"/>
      <c r="B22" s="26"/>
      <c r="C22" s="27"/>
      <c r="D22" s="27"/>
      <c r="E22" s="27"/>
      <c r="F22" s="31" t="b">
        <f t="shared" si="6"/>
        <v>0</v>
      </c>
      <c r="G22" s="32" t="b">
        <f t="shared" si="0"/>
        <v>0</v>
      </c>
      <c r="H22" s="27"/>
      <c r="I22" s="33" t="b">
        <f t="shared" si="1"/>
        <v>0</v>
      </c>
      <c r="J22" s="32" t="b">
        <f t="shared" si="7"/>
        <v>0</v>
      </c>
      <c r="K22" s="27"/>
      <c r="L22" s="33" t="b">
        <f t="shared" si="8"/>
        <v>0</v>
      </c>
      <c r="M22" s="40" t="e">
        <f t="shared" si="2"/>
        <v>#VALUE!</v>
      </c>
      <c r="N22" s="40" t="b">
        <f t="shared" si="3"/>
        <v>0</v>
      </c>
      <c r="O22" s="41" t="e">
        <f t="shared" si="4"/>
        <v>#VALUE!</v>
      </c>
      <c r="P22" s="41" t="b">
        <f t="shared" si="5"/>
        <v>0</v>
      </c>
      <c r="Q22" s="27"/>
      <c r="R22" s="27"/>
      <c r="S22" s="43"/>
      <c r="T22" s="27"/>
      <c r="U22" s="1"/>
      <c r="V22" s="1"/>
      <c r="W22" s="15"/>
    </row>
    <row r="23" spans="1:23">
      <c r="A23" s="27"/>
      <c r="B23" s="26"/>
      <c r="C23" s="27"/>
      <c r="D23" s="27"/>
      <c r="E23" s="27"/>
      <c r="F23" s="31" t="b">
        <f t="shared" si="6"/>
        <v>0</v>
      </c>
      <c r="G23" s="32" t="b">
        <f t="shared" si="0"/>
        <v>0</v>
      </c>
      <c r="H23" s="27"/>
      <c r="I23" s="33" t="b">
        <f t="shared" si="1"/>
        <v>0</v>
      </c>
      <c r="J23" s="32" t="b">
        <f t="shared" si="7"/>
        <v>0</v>
      </c>
      <c r="K23" s="27"/>
      <c r="L23" s="33" t="b">
        <f t="shared" si="8"/>
        <v>0</v>
      </c>
      <c r="M23" s="40" t="e">
        <f t="shared" si="2"/>
        <v>#VALUE!</v>
      </c>
      <c r="N23" s="40" t="b">
        <f t="shared" si="3"/>
        <v>0</v>
      </c>
      <c r="O23" s="41" t="e">
        <f t="shared" si="4"/>
        <v>#VALUE!</v>
      </c>
      <c r="P23" s="41" t="b">
        <f t="shared" si="5"/>
        <v>0</v>
      </c>
      <c r="Q23" s="27"/>
      <c r="R23" s="27"/>
      <c r="S23" s="43"/>
      <c r="T23" s="27"/>
      <c r="U23" s="1"/>
      <c r="V23" s="1"/>
      <c r="W23" s="15"/>
    </row>
    <row r="24" spans="1:23">
      <c r="A24" s="27"/>
      <c r="B24" s="26"/>
      <c r="C24" s="27"/>
      <c r="D24" s="27"/>
      <c r="E24" s="27"/>
      <c r="F24" s="31" t="b">
        <f t="shared" si="6"/>
        <v>0</v>
      </c>
      <c r="G24" s="32" t="b">
        <f t="shared" si="0"/>
        <v>0</v>
      </c>
      <c r="H24" s="27"/>
      <c r="I24" s="33" t="b">
        <f t="shared" si="1"/>
        <v>0</v>
      </c>
      <c r="J24" s="32" t="b">
        <f t="shared" si="7"/>
        <v>0</v>
      </c>
      <c r="K24" s="27"/>
      <c r="L24" s="33" t="b">
        <f t="shared" si="8"/>
        <v>0</v>
      </c>
      <c r="M24" s="40" t="e">
        <f t="shared" si="2"/>
        <v>#VALUE!</v>
      </c>
      <c r="N24" s="40" t="b">
        <f t="shared" si="3"/>
        <v>0</v>
      </c>
      <c r="O24" s="41" t="e">
        <f t="shared" si="4"/>
        <v>#VALUE!</v>
      </c>
      <c r="P24" s="41" t="b">
        <f t="shared" si="5"/>
        <v>0</v>
      </c>
      <c r="Q24" s="27"/>
      <c r="R24" s="27"/>
      <c r="S24" s="43"/>
      <c r="T24" s="27"/>
      <c r="U24" s="1"/>
      <c r="V24" s="1"/>
      <c r="W24" s="15"/>
    </row>
    <row r="25" spans="1:23">
      <c r="A25" s="27"/>
      <c r="B25" s="26"/>
      <c r="C25" s="27"/>
      <c r="D25" s="27"/>
      <c r="E25" s="27"/>
      <c r="F25" s="31" t="b">
        <f t="shared" si="6"/>
        <v>0</v>
      </c>
      <c r="G25" s="32" t="b">
        <f t="shared" si="0"/>
        <v>0</v>
      </c>
      <c r="H25" s="27"/>
      <c r="I25" s="33" t="b">
        <f t="shared" si="1"/>
        <v>0</v>
      </c>
      <c r="J25" s="32" t="b">
        <f t="shared" si="7"/>
        <v>0</v>
      </c>
      <c r="K25" s="27"/>
      <c r="L25" s="33" t="b">
        <f t="shared" si="8"/>
        <v>0</v>
      </c>
      <c r="M25" s="40" t="e">
        <f t="shared" si="2"/>
        <v>#VALUE!</v>
      </c>
      <c r="N25" s="40" t="b">
        <f t="shared" si="3"/>
        <v>0</v>
      </c>
      <c r="O25" s="41" t="e">
        <f t="shared" si="4"/>
        <v>#VALUE!</v>
      </c>
      <c r="P25" s="41" t="b">
        <f t="shared" si="5"/>
        <v>0</v>
      </c>
      <c r="Q25" s="27"/>
      <c r="R25" s="27"/>
      <c r="S25" s="43"/>
      <c r="T25" s="27"/>
      <c r="U25" s="1"/>
      <c r="V25" s="1"/>
      <c r="W25" s="15"/>
    </row>
    <row r="26" spans="1:23">
      <c r="A26" s="27"/>
      <c r="B26" s="26"/>
      <c r="C26" s="27"/>
      <c r="D26" s="27"/>
      <c r="E26" s="27"/>
      <c r="F26" s="31" t="b">
        <f t="shared" si="6"/>
        <v>0</v>
      </c>
      <c r="G26" s="32" t="b">
        <f t="shared" si="0"/>
        <v>0</v>
      </c>
      <c r="H26" s="27"/>
      <c r="I26" s="33" t="b">
        <f t="shared" si="1"/>
        <v>0</v>
      </c>
      <c r="J26" s="32" t="b">
        <f t="shared" si="7"/>
        <v>0</v>
      </c>
      <c r="K26" s="27"/>
      <c r="L26" s="33" t="b">
        <f t="shared" si="8"/>
        <v>0</v>
      </c>
      <c r="M26" s="40" t="e">
        <f t="shared" si="2"/>
        <v>#VALUE!</v>
      </c>
      <c r="N26" s="40" t="b">
        <f t="shared" si="3"/>
        <v>0</v>
      </c>
      <c r="O26" s="41" t="e">
        <f t="shared" si="4"/>
        <v>#VALUE!</v>
      </c>
      <c r="P26" s="41" t="b">
        <f t="shared" si="5"/>
        <v>0</v>
      </c>
      <c r="Q26" s="27"/>
      <c r="R26" s="27"/>
      <c r="S26" s="43"/>
      <c r="T26" s="27"/>
      <c r="U26" s="1"/>
      <c r="V26" s="1"/>
      <c r="W26" s="15"/>
    </row>
    <row r="27" spans="1:23">
      <c r="A27" s="27"/>
      <c r="B27" s="26"/>
      <c r="C27" s="27"/>
      <c r="D27" s="27"/>
      <c r="E27" s="27"/>
      <c r="F27" s="31" t="b">
        <f t="shared" si="6"/>
        <v>0</v>
      </c>
      <c r="G27" s="32" t="b">
        <f t="shared" si="0"/>
        <v>0</v>
      </c>
      <c r="H27" s="27"/>
      <c r="I27" s="33" t="b">
        <f t="shared" si="1"/>
        <v>0</v>
      </c>
      <c r="J27" s="32" t="b">
        <f t="shared" si="7"/>
        <v>0</v>
      </c>
      <c r="K27" s="27"/>
      <c r="L27" s="33" t="b">
        <f t="shared" si="8"/>
        <v>0</v>
      </c>
      <c r="M27" s="40" t="e">
        <f t="shared" si="2"/>
        <v>#VALUE!</v>
      </c>
      <c r="N27" s="40" t="b">
        <f t="shared" si="3"/>
        <v>0</v>
      </c>
      <c r="O27" s="41" t="e">
        <f t="shared" si="4"/>
        <v>#VALUE!</v>
      </c>
      <c r="P27" s="41" t="b">
        <f t="shared" si="5"/>
        <v>0</v>
      </c>
      <c r="Q27" s="27"/>
      <c r="R27" s="27"/>
      <c r="S27" s="43"/>
      <c r="T27" s="27"/>
      <c r="U27" s="1"/>
      <c r="V27" s="1"/>
      <c r="W27" s="15"/>
    </row>
    <row r="28" spans="1:23">
      <c r="A28" s="27"/>
      <c r="B28" s="26"/>
      <c r="C28" s="27"/>
      <c r="D28" s="27"/>
      <c r="E28" s="27"/>
      <c r="F28" s="31" t="b">
        <f t="shared" si="6"/>
        <v>0</v>
      </c>
      <c r="G28" s="32" t="b">
        <f t="shared" si="0"/>
        <v>0</v>
      </c>
      <c r="H28" s="27"/>
      <c r="I28" s="33" t="b">
        <f t="shared" si="1"/>
        <v>0</v>
      </c>
      <c r="J28" s="32" t="b">
        <f t="shared" si="7"/>
        <v>0</v>
      </c>
      <c r="K28" s="27"/>
      <c r="L28" s="33" t="b">
        <f t="shared" si="8"/>
        <v>0</v>
      </c>
      <c r="M28" s="40" t="e">
        <f t="shared" si="2"/>
        <v>#VALUE!</v>
      </c>
      <c r="N28" s="40" t="b">
        <f t="shared" si="3"/>
        <v>0</v>
      </c>
      <c r="O28" s="41" t="e">
        <f t="shared" si="4"/>
        <v>#VALUE!</v>
      </c>
      <c r="P28" s="41" t="b">
        <f t="shared" si="5"/>
        <v>0</v>
      </c>
      <c r="Q28" s="27"/>
      <c r="R28" s="27"/>
      <c r="S28" s="43"/>
      <c r="T28" s="27"/>
      <c r="U28" s="1"/>
      <c r="V28" s="1"/>
      <c r="W28" s="15"/>
    </row>
    <row r="29" spans="1:23">
      <c r="A29" s="27"/>
      <c r="B29" s="26"/>
      <c r="C29" s="27"/>
      <c r="D29" s="27"/>
      <c r="E29" s="27"/>
      <c r="F29" s="31" t="b">
        <f t="shared" si="6"/>
        <v>0</v>
      </c>
      <c r="G29" s="32" t="b">
        <f t="shared" si="0"/>
        <v>0</v>
      </c>
      <c r="H29" s="27"/>
      <c r="I29" s="33" t="b">
        <f t="shared" si="1"/>
        <v>0</v>
      </c>
      <c r="J29" s="32" t="b">
        <f t="shared" si="7"/>
        <v>0</v>
      </c>
      <c r="K29" s="27"/>
      <c r="L29" s="33" t="b">
        <f t="shared" si="8"/>
        <v>0</v>
      </c>
      <c r="M29" s="40" t="e">
        <f t="shared" si="2"/>
        <v>#VALUE!</v>
      </c>
      <c r="N29" s="40" t="b">
        <f t="shared" si="3"/>
        <v>0</v>
      </c>
      <c r="O29" s="41" t="e">
        <f t="shared" si="4"/>
        <v>#VALUE!</v>
      </c>
      <c r="P29" s="41" t="b">
        <f t="shared" si="5"/>
        <v>0</v>
      </c>
      <c r="Q29" s="27"/>
      <c r="R29" s="27"/>
      <c r="S29" s="43"/>
      <c r="T29" s="27"/>
      <c r="U29" s="1"/>
      <c r="V29" s="1"/>
      <c r="W29" s="15"/>
    </row>
    <row r="30" spans="1:23">
      <c r="A30" s="27"/>
      <c r="B30" s="26"/>
      <c r="C30" s="27"/>
      <c r="D30" s="27"/>
      <c r="E30" s="27"/>
      <c r="F30" s="31" t="b">
        <f t="shared" si="6"/>
        <v>0</v>
      </c>
      <c r="G30" s="32" t="b">
        <f t="shared" si="0"/>
        <v>0</v>
      </c>
      <c r="H30" s="27"/>
      <c r="I30" s="33" t="b">
        <f t="shared" si="1"/>
        <v>0</v>
      </c>
      <c r="J30" s="32" t="b">
        <f t="shared" si="7"/>
        <v>0</v>
      </c>
      <c r="K30" s="27"/>
      <c r="L30" s="33" t="b">
        <f t="shared" si="8"/>
        <v>0</v>
      </c>
      <c r="M30" s="40" t="e">
        <f t="shared" si="2"/>
        <v>#VALUE!</v>
      </c>
      <c r="N30" s="40" t="b">
        <f t="shared" si="3"/>
        <v>0</v>
      </c>
      <c r="O30" s="41" t="e">
        <f t="shared" si="4"/>
        <v>#VALUE!</v>
      </c>
      <c r="P30" s="41" t="b">
        <f t="shared" si="5"/>
        <v>0</v>
      </c>
      <c r="Q30" s="27"/>
      <c r="R30" s="27"/>
      <c r="S30" s="43"/>
      <c r="T30" s="27"/>
      <c r="U30" s="1"/>
      <c r="V30" s="1"/>
      <c r="W30" s="15"/>
    </row>
    <row r="31" spans="1:23">
      <c r="A31" s="27"/>
      <c r="B31" s="26"/>
      <c r="C31" s="27"/>
      <c r="D31" s="27"/>
      <c r="E31" s="27"/>
      <c r="F31" s="31" t="b">
        <f t="shared" si="6"/>
        <v>0</v>
      </c>
      <c r="G31" s="32" t="b">
        <f t="shared" si="0"/>
        <v>0</v>
      </c>
      <c r="H31" s="27"/>
      <c r="I31" s="33" t="b">
        <f t="shared" si="1"/>
        <v>0</v>
      </c>
      <c r="J31" s="32" t="b">
        <f t="shared" si="7"/>
        <v>0</v>
      </c>
      <c r="K31" s="27"/>
      <c r="L31" s="33" t="b">
        <f t="shared" si="8"/>
        <v>0</v>
      </c>
      <c r="M31" s="40" t="e">
        <f t="shared" si="2"/>
        <v>#VALUE!</v>
      </c>
      <c r="N31" s="40" t="b">
        <f t="shared" si="3"/>
        <v>0</v>
      </c>
      <c r="O31" s="41" t="e">
        <f t="shared" si="4"/>
        <v>#VALUE!</v>
      </c>
      <c r="P31" s="41" t="b">
        <f t="shared" si="5"/>
        <v>0</v>
      </c>
      <c r="Q31" s="27"/>
      <c r="R31" s="27"/>
      <c r="S31" s="43"/>
      <c r="T31" s="27"/>
      <c r="U31" s="1"/>
      <c r="V31" s="1"/>
      <c r="W31" s="15"/>
    </row>
    <row r="32" spans="1:23">
      <c r="A32" s="27"/>
      <c r="B32" s="26"/>
      <c r="C32" s="27"/>
      <c r="D32" s="27"/>
      <c r="E32" s="27"/>
      <c r="F32" s="31" t="b">
        <f t="shared" si="6"/>
        <v>0</v>
      </c>
      <c r="G32" s="32" t="b">
        <f t="shared" si="0"/>
        <v>0</v>
      </c>
      <c r="H32" s="27"/>
      <c r="I32" s="33" t="b">
        <f t="shared" si="1"/>
        <v>0</v>
      </c>
      <c r="J32" s="32" t="b">
        <f t="shared" si="7"/>
        <v>0</v>
      </c>
      <c r="K32" s="27"/>
      <c r="L32" s="33" t="b">
        <f t="shared" si="8"/>
        <v>0</v>
      </c>
      <c r="M32" s="40" t="e">
        <f t="shared" si="2"/>
        <v>#VALUE!</v>
      </c>
      <c r="N32" s="40" t="b">
        <f t="shared" si="3"/>
        <v>0</v>
      </c>
      <c r="O32" s="41" t="e">
        <f t="shared" si="4"/>
        <v>#VALUE!</v>
      </c>
      <c r="P32" s="41" t="b">
        <f t="shared" si="5"/>
        <v>0</v>
      </c>
      <c r="Q32" s="27"/>
      <c r="R32" s="27"/>
      <c r="S32" s="43"/>
      <c r="T32" s="27"/>
      <c r="U32" s="1"/>
      <c r="V32" s="1"/>
      <c r="W32" s="15"/>
    </row>
    <row r="33" spans="1:23">
      <c r="A33" s="27"/>
      <c r="B33" s="26"/>
      <c r="C33" s="27"/>
      <c r="D33" s="27"/>
      <c r="E33" s="27"/>
      <c r="F33" s="31" t="b">
        <f t="shared" si="6"/>
        <v>0</v>
      </c>
      <c r="G33" s="32" t="b">
        <f t="shared" si="0"/>
        <v>0</v>
      </c>
      <c r="H33" s="27"/>
      <c r="I33" s="33" t="b">
        <f t="shared" si="1"/>
        <v>0</v>
      </c>
      <c r="J33" s="32" t="b">
        <f t="shared" si="7"/>
        <v>0</v>
      </c>
      <c r="K33" s="27"/>
      <c r="L33" s="33" t="b">
        <f t="shared" si="8"/>
        <v>0</v>
      </c>
      <c r="M33" s="40" t="e">
        <f t="shared" si="2"/>
        <v>#VALUE!</v>
      </c>
      <c r="N33" s="40" t="b">
        <f t="shared" si="3"/>
        <v>0</v>
      </c>
      <c r="O33" s="41" t="e">
        <f t="shared" si="4"/>
        <v>#VALUE!</v>
      </c>
      <c r="P33" s="41" t="b">
        <f t="shared" si="5"/>
        <v>0</v>
      </c>
      <c r="Q33" s="27"/>
      <c r="R33" s="27"/>
      <c r="S33" s="43"/>
      <c r="T33" s="27"/>
      <c r="U33" s="1"/>
      <c r="V33" s="1"/>
      <c r="W33" s="15"/>
    </row>
    <row r="34" spans="1:23">
      <c r="A34" s="27"/>
      <c r="B34" s="26"/>
      <c r="C34" s="27"/>
      <c r="D34" s="27"/>
      <c r="E34" s="27"/>
      <c r="F34" s="31" t="b">
        <f t="shared" si="6"/>
        <v>0</v>
      </c>
      <c r="G34" s="32" t="b">
        <f t="shared" si="0"/>
        <v>0</v>
      </c>
      <c r="H34" s="27"/>
      <c r="I34" s="33" t="b">
        <f t="shared" si="1"/>
        <v>0</v>
      </c>
      <c r="J34" s="32" t="b">
        <f t="shared" si="7"/>
        <v>0</v>
      </c>
      <c r="K34" s="27"/>
      <c r="L34" s="33" t="b">
        <f t="shared" si="8"/>
        <v>0</v>
      </c>
      <c r="M34" s="40" t="e">
        <f t="shared" si="2"/>
        <v>#VALUE!</v>
      </c>
      <c r="N34" s="40" t="b">
        <f t="shared" si="3"/>
        <v>0</v>
      </c>
      <c r="O34" s="41" t="e">
        <f t="shared" si="4"/>
        <v>#VALUE!</v>
      </c>
      <c r="P34" s="41" t="b">
        <f t="shared" si="5"/>
        <v>0</v>
      </c>
      <c r="Q34" s="27"/>
      <c r="R34" s="27"/>
      <c r="S34" s="43"/>
      <c r="T34" s="27"/>
      <c r="U34" s="1"/>
      <c r="V34" s="1"/>
      <c r="W34" s="15"/>
    </row>
    <row r="35" spans="1:23">
      <c r="A35" s="27"/>
      <c r="B35" s="26"/>
      <c r="C35" s="27"/>
      <c r="D35" s="27"/>
      <c r="E35" s="27"/>
      <c r="F35" s="31" t="b">
        <f t="shared" si="6"/>
        <v>0</v>
      </c>
      <c r="G35" s="32" t="b">
        <f t="shared" si="0"/>
        <v>0</v>
      </c>
      <c r="H35" s="27"/>
      <c r="I35" s="33" t="b">
        <f t="shared" si="1"/>
        <v>0</v>
      </c>
      <c r="J35" s="32" t="b">
        <f t="shared" si="7"/>
        <v>0</v>
      </c>
      <c r="K35" s="27"/>
      <c r="L35" s="33" t="b">
        <f t="shared" si="8"/>
        <v>0</v>
      </c>
      <c r="M35" s="40" t="e">
        <f t="shared" ref="M35:M66" si="9">MROUND(IF(B35="BUY",MAX(F35,I35),IF(B35="SELL",MIN(F35,I35))),1)</f>
        <v>#VALUE!</v>
      </c>
      <c r="N35" s="40" t="b">
        <f t="shared" ref="N35:N66" si="10">IF(B35="BUY",(M35*(1-0.1%)),IF(B35="SELL",(M35*(1+0.1%))))</f>
        <v>0</v>
      </c>
      <c r="O35" s="41" t="e">
        <f t="shared" ref="O35:O66" si="11">MROUND(IF(B35="BUY",MAX(F35,L35),IF(B35="SELL",MIN(F35,L35))),1)</f>
        <v>#VALUE!</v>
      </c>
      <c r="P35" s="41" t="b">
        <f t="shared" ref="P35:P66" si="12">IF(B35="BUY",(O35*(1-0.1%)),IF(B35="SELL",(O35*(1+0.1%))))</f>
        <v>0</v>
      </c>
      <c r="Q35" s="27"/>
      <c r="R35" s="27"/>
      <c r="S35" s="43"/>
      <c r="T35" s="27"/>
      <c r="U35" s="1"/>
      <c r="V35" s="1"/>
      <c r="W35" s="15"/>
    </row>
    <row r="36" spans="1:23">
      <c r="A36" s="27"/>
      <c r="B36" s="26"/>
      <c r="C36" s="27"/>
      <c r="D36" s="27"/>
      <c r="E36" s="27"/>
      <c r="F36" s="31" t="b">
        <f t="shared" si="6"/>
        <v>0</v>
      </c>
      <c r="G36" s="32" t="b">
        <f t="shared" si="0"/>
        <v>0</v>
      </c>
      <c r="H36" s="27"/>
      <c r="I36" s="33" t="b">
        <f t="shared" si="1"/>
        <v>0</v>
      </c>
      <c r="J36" s="32" t="b">
        <f t="shared" si="7"/>
        <v>0</v>
      </c>
      <c r="K36" s="27"/>
      <c r="L36" s="33" t="b">
        <f t="shared" si="8"/>
        <v>0</v>
      </c>
      <c r="M36" s="40" t="e">
        <f t="shared" si="9"/>
        <v>#VALUE!</v>
      </c>
      <c r="N36" s="40" t="b">
        <f t="shared" si="10"/>
        <v>0</v>
      </c>
      <c r="O36" s="41" t="e">
        <f t="shared" si="11"/>
        <v>#VALUE!</v>
      </c>
      <c r="P36" s="41" t="b">
        <f t="shared" si="12"/>
        <v>0</v>
      </c>
      <c r="Q36" s="27"/>
      <c r="R36" s="27"/>
      <c r="S36" s="43"/>
      <c r="T36" s="27"/>
      <c r="U36" s="1"/>
      <c r="V36" s="1"/>
      <c r="W36" s="15"/>
    </row>
    <row r="37" spans="1:23">
      <c r="A37" s="27"/>
      <c r="B37" s="26"/>
      <c r="C37" s="27"/>
      <c r="D37" s="27"/>
      <c r="E37" s="27"/>
      <c r="F37" s="31" t="b">
        <f t="shared" si="6"/>
        <v>0</v>
      </c>
      <c r="G37" s="32" t="b">
        <f t="shared" si="0"/>
        <v>0</v>
      </c>
      <c r="H37" s="27"/>
      <c r="I37" s="33" t="b">
        <f t="shared" si="1"/>
        <v>0</v>
      </c>
      <c r="J37" s="32" t="b">
        <f t="shared" si="7"/>
        <v>0</v>
      </c>
      <c r="K37" s="27"/>
      <c r="L37" s="33" t="b">
        <f t="shared" si="8"/>
        <v>0</v>
      </c>
      <c r="M37" s="40" t="e">
        <f t="shared" si="9"/>
        <v>#VALUE!</v>
      </c>
      <c r="N37" s="40" t="b">
        <f t="shared" si="10"/>
        <v>0</v>
      </c>
      <c r="O37" s="41" t="e">
        <f t="shared" si="11"/>
        <v>#VALUE!</v>
      </c>
      <c r="P37" s="41" t="b">
        <f t="shared" si="12"/>
        <v>0</v>
      </c>
      <c r="Q37" s="27"/>
      <c r="R37" s="27"/>
      <c r="S37" s="43"/>
      <c r="T37" s="27"/>
      <c r="U37" s="1"/>
      <c r="V37" s="1"/>
      <c r="W37" s="15"/>
    </row>
    <row r="38" spans="1:23">
      <c r="A38" s="27"/>
      <c r="B38" s="26"/>
      <c r="C38" s="27"/>
      <c r="D38" s="27"/>
      <c r="E38" s="27"/>
      <c r="F38" s="31" t="b">
        <f t="shared" si="6"/>
        <v>0</v>
      </c>
      <c r="G38" s="32" t="b">
        <f t="shared" si="0"/>
        <v>0</v>
      </c>
      <c r="H38" s="27"/>
      <c r="I38" s="33" t="b">
        <f t="shared" si="1"/>
        <v>0</v>
      </c>
      <c r="J38" s="32" t="b">
        <f t="shared" si="7"/>
        <v>0</v>
      </c>
      <c r="K38" s="27"/>
      <c r="L38" s="33" t="b">
        <f t="shared" si="8"/>
        <v>0</v>
      </c>
      <c r="M38" s="40" t="e">
        <f t="shared" si="9"/>
        <v>#VALUE!</v>
      </c>
      <c r="N38" s="40" t="b">
        <f t="shared" si="10"/>
        <v>0</v>
      </c>
      <c r="O38" s="41" t="e">
        <f t="shared" si="11"/>
        <v>#VALUE!</v>
      </c>
      <c r="P38" s="41" t="b">
        <f t="shared" si="12"/>
        <v>0</v>
      </c>
      <c r="Q38" s="27"/>
      <c r="R38" s="27"/>
      <c r="S38" s="43"/>
      <c r="T38" s="27"/>
      <c r="U38" s="1"/>
      <c r="V38" s="1"/>
      <c r="W38" s="15"/>
    </row>
    <row r="39" spans="1:23">
      <c r="A39" s="27"/>
      <c r="B39" s="26"/>
      <c r="C39" s="27"/>
      <c r="D39" s="27"/>
      <c r="E39" s="27"/>
      <c r="F39" s="31" t="b">
        <f t="shared" si="6"/>
        <v>0</v>
      </c>
      <c r="G39" s="32" t="b">
        <f t="shared" si="0"/>
        <v>0</v>
      </c>
      <c r="H39" s="27"/>
      <c r="I39" s="33" t="b">
        <f t="shared" si="1"/>
        <v>0</v>
      </c>
      <c r="J39" s="32" t="b">
        <f t="shared" si="7"/>
        <v>0</v>
      </c>
      <c r="K39" s="27"/>
      <c r="L39" s="33" t="b">
        <f t="shared" si="8"/>
        <v>0</v>
      </c>
      <c r="M39" s="40" t="e">
        <f t="shared" si="9"/>
        <v>#VALUE!</v>
      </c>
      <c r="N39" s="40" t="b">
        <f t="shared" si="10"/>
        <v>0</v>
      </c>
      <c r="O39" s="41" t="e">
        <f t="shared" si="11"/>
        <v>#VALUE!</v>
      </c>
      <c r="P39" s="41" t="b">
        <f t="shared" si="12"/>
        <v>0</v>
      </c>
      <c r="Q39" s="27"/>
      <c r="R39" s="27"/>
      <c r="S39" s="43"/>
      <c r="T39" s="27"/>
      <c r="U39" s="1"/>
      <c r="V39" s="1"/>
      <c r="W39" s="15"/>
    </row>
    <row r="40" spans="1:23">
      <c r="A40" s="27"/>
      <c r="B40" s="26"/>
      <c r="C40" s="27"/>
      <c r="D40" s="27"/>
      <c r="E40" s="27"/>
      <c r="F40" s="31" t="b">
        <f t="shared" si="6"/>
        <v>0</v>
      </c>
      <c r="G40" s="32" t="b">
        <f t="shared" si="0"/>
        <v>0</v>
      </c>
      <c r="H40" s="27"/>
      <c r="I40" s="33" t="b">
        <f t="shared" si="1"/>
        <v>0</v>
      </c>
      <c r="J40" s="32" t="b">
        <f t="shared" si="7"/>
        <v>0</v>
      </c>
      <c r="K40" s="27"/>
      <c r="L40" s="33" t="b">
        <f t="shared" si="8"/>
        <v>0</v>
      </c>
      <c r="M40" s="40" t="e">
        <f t="shared" si="9"/>
        <v>#VALUE!</v>
      </c>
      <c r="N40" s="40" t="b">
        <f t="shared" si="10"/>
        <v>0</v>
      </c>
      <c r="O40" s="41" t="e">
        <f t="shared" si="11"/>
        <v>#VALUE!</v>
      </c>
      <c r="P40" s="41" t="b">
        <f t="shared" si="12"/>
        <v>0</v>
      </c>
      <c r="Q40" s="27"/>
      <c r="R40" s="27"/>
      <c r="S40" s="43"/>
      <c r="T40" s="27"/>
      <c r="U40" s="1"/>
      <c r="V40" s="1"/>
      <c r="W40" s="15"/>
    </row>
    <row r="41" spans="1:23">
      <c r="A41" s="27"/>
      <c r="B41" s="26"/>
      <c r="C41" s="27"/>
      <c r="D41" s="27"/>
      <c r="E41" s="27"/>
      <c r="F41" s="31" t="b">
        <f t="shared" si="6"/>
        <v>0</v>
      </c>
      <c r="G41" s="32" t="b">
        <f t="shared" si="0"/>
        <v>0</v>
      </c>
      <c r="H41" s="27"/>
      <c r="I41" s="33" t="b">
        <f t="shared" si="1"/>
        <v>0</v>
      </c>
      <c r="J41" s="32" t="b">
        <f t="shared" si="7"/>
        <v>0</v>
      </c>
      <c r="K41" s="27"/>
      <c r="L41" s="33" t="b">
        <f t="shared" si="8"/>
        <v>0</v>
      </c>
      <c r="M41" s="40" t="e">
        <f t="shared" si="9"/>
        <v>#VALUE!</v>
      </c>
      <c r="N41" s="40" t="b">
        <f t="shared" si="10"/>
        <v>0</v>
      </c>
      <c r="O41" s="41" t="e">
        <f t="shared" si="11"/>
        <v>#VALUE!</v>
      </c>
      <c r="P41" s="41" t="b">
        <f t="shared" si="12"/>
        <v>0</v>
      </c>
      <c r="Q41" s="27"/>
      <c r="R41" s="27"/>
      <c r="S41" s="43"/>
      <c r="T41" s="27"/>
      <c r="U41" s="1"/>
      <c r="V41" s="1"/>
      <c r="W41" s="15"/>
    </row>
    <row r="42" spans="1:23">
      <c r="A42" s="27"/>
      <c r="B42" s="26"/>
      <c r="C42" s="27"/>
      <c r="D42" s="27"/>
      <c r="E42" s="27"/>
      <c r="F42" s="31" t="b">
        <f t="shared" si="6"/>
        <v>0</v>
      </c>
      <c r="G42" s="32" t="b">
        <f t="shared" si="0"/>
        <v>0</v>
      </c>
      <c r="H42" s="27"/>
      <c r="I42" s="33" t="b">
        <f t="shared" si="1"/>
        <v>0</v>
      </c>
      <c r="J42" s="32" t="b">
        <f t="shared" si="7"/>
        <v>0</v>
      </c>
      <c r="K42" s="27"/>
      <c r="L42" s="33" t="b">
        <f t="shared" si="8"/>
        <v>0</v>
      </c>
      <c r="M42" s="40" t="e">
        <f t="shared" si="9"/>
        <v>#VALUE!</v>
      </c>
      <c r="N42" s="40" t="b">
        <f t="shared" si="10"/>
        <v>0</v>
      </c>
      <c r="O42" s="41" t="e">
        <f t="shared" si="11"/>
        <v>#VALUE!</v>
      </c>
      <c r="P42" s="41" t="b">
        <f t="shared" si="12"/>
        <v>0</v>
      </c>
      <c r="Q42" s="27"/>
      <c r="R42" s="27"/>
      <c r="S42" s="43"/>
      <c r="T42" s="27"/>
      <c r="U42" s="1"/>
      <c r="V42" s="1"/>
      <c r="W42" s="15"/>
    </row>
    <row r="43" spans="1:23">
      <c r="A43" s="27"/>
      <c r="B43" s="26"/>
      <c r="C43" s="27"/>
      <c r="D43" s="27"/>
      <c r="E43" s="27"/>
      <c r="F43" s="31" t="b">
        <f t="shared" si="6"/>
        <v>0</v>
      </c>
      <c r="G43" s="32" t="b">
        <f t="shared" si="0"/>
        <v>0</v>
      </c>
      <c r="H43" s="27"/>
      <c r="I43" s="33" t="b">
        <f t="shared" si="1"/>
        <v>0</v>
      </c>
      <c r="J43" s="32" t="b">
        <f t="shared" si="7"/>
        <v>0</v>
      </c>
      <c r="K43" s="27"/>
      <c r="L43" s="33" t="b">
        <f t="shared" si="8"/>
        <v>0</v>
      </c>
      <c r="M43" s="40" t="e">
        <f t="shared" si="9"/>
        <v>#VALUE!</v>
      </c>
      <c r="N43" s="40" t="b">
        <f t="shared" si="10"/>
        <v>0</v>
      </c>
      <c r="O43" s="41" t="e">
        <f t="shared" si="11"/>
        <v>#VALUE!</v>
      </c>
      <c r="P43" s="41" t="b">
        <f t="shared" si="12"/>
        <v>0</v>
      </c>
      <c r="Q43" s="27"/>
      <c r="R43" s="27"/>
      <c r="S43" s="43"/>
      <c r="T43" s="27"/>
      <c r="U43" s="1"/>
      <c r="V43" s="1"/>
      <c r="W43" s="15"/>
    </row>
    <row r="44" spans="1:23">
      <c r="A44" s="27"/>
      <c r="B44" s="26"/>
      <c r="C44" s="27"/>
      <c r="D44" s="27"/>
      <c r="E44" s="27"/>
      <c r="F44" s="31" t="b">
        <f t="shared" si="6"/>
        <v>0</v>
      </c>
      <c r="G44" s="32" t="b">
        <f t="shared" si="0"/>
        <v>0</v>
      </c>
      <c r="H44" s="27"/>
      <c r="I44" s="33" t="b">
        <f t="shared" si="1"/>
        <v>0</v>
      </c>
      <c r="J44" s="32" t="b">
        <f t="shared" si="7"/>
        <v>0</v>
      </c>
      <c r="K44" s="27"/>
      <c r="L44" s="33" t="b">
        <f t="shared" si="8"/>
        <v>0</v>
      </c>
      <c r="M44" s="40" t="e">
        <f t="shared" si="9"/>
        <v>#VALUE!</v>
      </c>
      <c r="N44" s="40" t="b">
        <f t="shared" si="10"/>
        <v>0</v>
      </c>
      <c r="O44" s="41" t="e">
        <f t="shared" si="11"/>
        <v>#VALUE!</v>
      </c>
      <c r="P44" s="41" t="b">
        <f t="shared" si="12"/>
        <v>0</v>
      </c>
      <c r="Q44" s="27"/>
      <c r="R44" s="27"/>
      <c r="S44" s="43"/>
      <c r="T44" s="27"/>
      <c r="U44" s="1"/>
      <c r="V44" s="1"/>
      <c r="W44" s="15"/>
    </row>
    <row r="45" spans="1:23">
      <c r="A45" s="27"/>
      <c r="B45" s="26"/>
      <c r="C45" s="27"/>
      <c r="D45" s="27"/>
      <c r="E45" s="27"/>
      <c r="F45" s="31" t="b">
        <f t="shared" si="6"/>
        <v>0</v>
      </c>
      <c r="G45" s="32" t="b">
        <f t="shared" si="0"/>
        <v>0</v>
      </c>
      <c r="H45" s="27"/>
      <c r="I45" s="33" t="b">
        <f t="shared" si="1"/>
        <v>0</v>
      </c>
      <c r="J45" s="32" t="b">
        <f t="shared" si="7"/>
        <v>0</v>
      </c>
      <c r="K45" s="27"/>
      <c r="L45" s="33" t="b">
        <f t="shared" si="8"/>
        <v>0</v>
      </c>
      <c r="M45" s="40" t="e">
        <f t="shared" si="9"/>
        <v>#VALUE!</v>
      </c>
      <c r="N45" s="40" t="b">
        <f t="shared" si="10"/>
        <v>0</v>
      </c>
      <c r="O45" s="41" t="e">
        <f t="shared" si="11"/>
        <v>#VALUE!</v>
      </c>
      <c r="P45" s="41" t="b">
        <f t="shared" si="12"/>
        <v>0</v>
      </c>
      <c r="Q45" s="27"/>
      <c r="R45" s="27"/>
      <c r="S45" s="43"/>
      <c r="T45" s="27"/>
      <c r="U45" s="1"/>
      <c r="V45" s="1"/>
      <c r="W45" s="15"/>
    </row>
    <row r="46" spans="1:23">
      <c r="A46" s="27"/>
      <c r="B46" s="26"/>
      <c r="C46" s="27"/>
      <c r="D46" s="27"/>
      <c r="E46" s="27"/>
      <c r="F46" s="31" t="b">
        <f t="shared" si="6"/>
        <v>0</v>
      </c>
      <c r="G46" s="32" t="b">
        <f t="shared" si="0"/>
        <v>0</v>
      </c>
      <c r="H46" s="27"/>
      <c r="I46" s="33" t="b">
        <f t="shared" si="1"/>
        <v>0</v>
      </c>
      <c r="J46" s="32" t="b">
        <f t="shared" si="7"/>
        <v>0</v>
      </c>
      <c r="K46" s="27"/>
      <c r="L46" s="33" t="b">
        <f t="shared" si="8"/>
        <v>0</v>
      </c>
      <c r="M46" s="40" t="e">
        <f t="shared" si="9"/>
        <v>#VALUE!</v>
      </c>
      <c r="N46" s="40" t="b">
        <f t="shared" si="10"/>
        <v>0</v>
      </c>
      <c r="O46" s="41" t="e">
        <f t="shared" si="11"/>
        <v>#VALUE!</v>
      </c>
      <c r="P46" s="41" t="b">
        <f t="shared" si="12"/>
        <v>0</v>
      </c>
      <c r="Q46" s="27"/>
      <c r="R46" s="27"/>
      <c r="S46" s="43"/>
      <c r="T46" s="27"/>
      <c r="U46" s="1"/>
      <c r="V46" s="1"/>
      <c r="W46" s="15"/>
    </row>
    <row r="47" spans="1:23">
      <c r="A47" s="27"/>
      <c r="B47" s="26"/>
      <c r="C47" s="27"/>
      <c r="D47" s="27"/>
      <c r="E47" s="27"/>
      <c r="F47" s="31" t="b">
        <f t="shared" si="6"/>
        <v>0</v>
      </c>
      <c r="G47" s="32" t="b">
        <f t="shared" si="0"/>
        <v>0</v>
      </c>
      <c r="H47" s="27"/>
      <c r="I47" s="33" t="b">
        <f t="shared" si="1"/>
        <v>0</v>
      </c>
      <c r="J47" s="32" t="b">
        <f t="shared" si="7"/>
        <v>0</v>
      </c>
      <c r="K47" s="27"/>
      <c r="L47" s="33" t="b">
        <f t="shared" si="8"/>
        <v>0</v>
      </c>
      <c r="M47" s="40" t="e">
        <f t="shared" si="9"/>
        <v>#VALUE!</v>
      </c>
      <c r="N47" s="40" t="b">
        <f t="shared" si="10"/>
        <v>0</v>
      </c>
      <c r="O47" s="41" t="e">
        <f t="shared" si="11"/>
        <v>#VALUE!</v>
      </c>
      <c r="P47" s="41" t="b">
        <f t="shared" si="12"/>
        <v>0</v>
      </c>
      <c r="Q47" s="27"/>
      <c r="R47" s="27"/>
      <c r="S47" s="43"/>
      <c r="T47" s="27"/>
      <c r="U47" s="1"/>
      <c r="V47" s="1"/>
      <c r="W47" s="15"/>
    </row>
    <row r="48" spans="1:23">
      <c r="A48" s="27"/>
      <c r="B48" s="26"/>
      <c r="C48" s="27"/>
      <c r="D48" s="27"/>
      <c r="E48" s="27"/>
      <c r="F48" s="31" t="b">
        <f t="shared" si="6"/>
        <v>0</v>
      </c>
      <c r="G48" s="32" t="b">
        <f t="shared" si="0"/>
        <v>0</v>
      </c>
      <c r="H48" s="27"/>
      <c r="I48" s="33" t="b">
        <f t="shared" si="1"/>
        <v>0</v>
      </c>
      <c r="J48" s="32" t="b">
        <f t="shared" si="7"/>
        <v>0</v>
      </c>
      <c r="K48" s="27"/>
      <c r="L48" s="33" t="b">
        <f t="shared" si="8"/>
        <v>0</v>
      </c>
      <c r="M48" s="40" t="e">
        <f t="shared" si="9"/>
        <v>#VALUE!</v>
      </c>
      <c r="N48" s="40" t="b">
        <f t="shared" si="10"/>
        <v>0</v>
      </c>
      <c r="O48" s="41" t="e">
        <f t="shared" si="11"/>
        <v>#VALUE!</v>
      </c>
      <c r="P48" s="41" t="b">
        <f t="shared" si="12"/>
        <v>0</v>
      </c>
      <c r="Q48" s="27"/>
      <c r="R48" s="27"/>
      <c r="S48" s="43"/>
      <c r="T48" s="27"/>
      <c r="U48" s="1"/>
      <c r="V48" s="1"/>
      <c r="W48" s="15"/>
    </row>
    <row r="49" spans="1:23">
      <c r="A49" s="27"/>
      <c r="B49" s="26"/>
      <c r="C49" s="27"/>
      <c r="D49" s="27"/>
      <c r="E49" s="27"/>
      <c r="F49" s="31" t="b">
        <f t="shared" si="6"/>
        <v>0</v>
      </c>
      <c r="G49" s="32" t="b">
        <f t="shared" si="0"/>
        <v>0</v>
      </c>
      <c r="H49" s="27"/>
      <c r="I49" s="33" t="b">
        <f t="shared" si="1"/>
        <v>0</v>
      </c>
      <c r="J49" s="32" t="b">
        <f t="shared" si="7"/>
        <v>0</v>
      </c>
      <c r="K49" s="27"/>
      <c r="L49" s="33" t="b">
        <f t="shared" si="8"/>
        <v>0</v>
      </c>
      <c r="M49" s="40" t="e">
        <f t="shared" si="9"/>
        <v>#VALUE!</v>
      </c>
      <c r="N49" s="40" t="b">
        <f t="shared" si="10"/>
        <v>0</v>
      </c>
      <c r="O49" s="41" t="e">
        <f t="shared" si="11"/>
        <v>#VALUE!</v>
      </c>
      <c r="P49" s="41" t="b">
        <f t="shared" si="12"/>
        <v>0</v>
      </c>
      <c r="Q49" s="27"/>
      <c r="R49" s="27"/>
      <c r="S49" s="43"/>
      <c r="T49" s="27"/>
      <c r="U49" s="1"/>
      <c r="V49" s="1"/>
      <c r="W49" s="15"/>
    </row>
    <row r="50" spans="1:23">
      <c r="A50" s="27"/>
      <c r="B50" s="26"/>
      <c r="C50" s="27"/>
      <c r="D50" s="27"/>
      <c r="E50" s="27"/>
      <c r="F50" s="31" t="b">
        <f t="shared" si="6"/>
        <v>0</v>
      </c>
      <c r="G50" s="32" t="b">
        <f t="shared" si="0"/>
        <v>0</v>
      </c>
      <c r="H50" s="27"/>
      <c r="I50" s="33" t="b">
        <f t="shared" si="1"/>
        <v>0</v>
      </c>
      <c r="J50" s="32" t="b">
        <f t="shared" si="7"/>
        <v>0</v>
      </c>
      <c r="K50" s="27"/>
      <c r="L50" s="33" t="b">
        <f t="shared" si="8"/>
        <v>0</v>
      </c>
      <c r="M50" s="40" t="e">
        <f t="shared" si="9"/>
        <v>#VALUE!</v>
      </c>
      <c r="N50" s="40" t="b">
        <f t="shared" si="10"/>
        <v>0</v>
      </c>
      <c r="O50" s="41" t="e">
        <f t="shared" si="11"/>
        <v>#VALUE!</v>
      </c>
      <c r="P50" s="41" t="b">
        <f t="shared" si="12"/>
        <v>0</v>
      </c>
      <c r="Q50" s="27"/>
      <c r="R50" s="27"/>
      <c r="S50" s="43"/>
      <c r="T50" s="27"/>
      <c r="U50" s="1"/>
      <c r="V50" s="1"/>
      <c r="W50" s="15"/>
    </row>
    <row r="51" spans="1:23">
      <c r="A51" s="27"/>
      <c r="B51" s="26"/>
      <c r="C51" s="27"/>
      <c r="D51" s="27"/>
      <c r="E51" s="27"/>
      <c r="F51" s="31" t="b">
        <f t="shared" si="6"/>
        <v>0</v>
      </c>
      <c r="G51" s="32" t="b">
        <f t="shared" si="0"/>
        <v>0</v>
      </c>
      <c r="H51" s="27"/>
      <c r="I51" s="33" t="b">
        <f t="shared" si="1"/>
        <v>0</v>
      </c>
      <c r="J51" s="32" t="b">
        <f t="shared" si="7"/>
        <v>0</v>
      </c>
      <c r="K51" s="27"/>
      <c r="L51" s="33" t="b">
        <f t="shared" si="8"/>
        <v>0</v>
      </c>
      <c r="M51" s="40" t="e">
        <f t="shared" si="9"/>
        <v>#VALUE!</v>
      </c>
      <c r="N51" s="40" t="b">
        <f t="shared" si="10"/>
        <v>0</v>
      </c>
      <c r="O51" s="41" t="e">
        <f t="shared" si="11"/>
        <v>#VALUE!</v>
      </c>
      <c r="P51" s="41" t="b">
        <f t="shared" si="12"/>
        <v>0</v>
      </c>
      <c r="Q51" s="27"/>
      <c r="R51" s="27"/>
      <c r="S51" s="43"/>
      <c r="T51" s="27"/>
      <c r="U51" s="1"/>
      <c r="V51" s="1"/>
      <c r="W51" s="15"/>
    </row>
    <row r="52" spans="1:23">
      <c r="A52" s="27"/>
      <c r="B52" s="26"/>
      <c r="C52" s="27"/>
      <c r="D52" s="27"/>
      <c r="E52" s="27"/>
      <c r="F52" s="31" t="b">
        <f t="shared" si="6"/>
        <v>0</v>
      </c>
      <c r="G52" s="32" t="b">
        <f t="shared" si="0"/>
        <v>0</v>
      </c>
      <c r="H52" s="27"/>
      <c r="I52" s="33" t="b">
        <f t="shared" si="1"/>
        <v>0</v>
      </c>
      <c r="J52" s="32" t="b">
        <f t="shared" si="7"/>
        <v>0</v>
      </c>
      <c r="K52" s="27"/>
      <c r="L52" s="33" t="b">
        <f t="shared" si="8"/>
        <v>0</v>
      </c>
      <c r="M52" s="40" t="e">
        <f t="shared" si="9"/>
        <v>#VALUE!</v>
      </c>
      <c r="N52" s="40" t="b">
        <f t="shared" si="10"/>
        <v>0</v>
      </c>
      <c r="O52" s="41" t="e">
        <f t="shared" si="11"/>
        <v>#VALUE!</v>
      </c>
      <c r="P52" s="41" t="b">
        <f t="shared" si="12"/>
        <v>0</v>
      </c>
      <c r="Q52" s="27"/>
      <c r="R52" s="27"/>
      <c r="S52" s="43"/>
      <c r="T52" s="27"/>
      <c r="U52" s="1"/>
      <c r="V52" s="1"/>
      <c r="W52" s="15"/>
    </row>
    <row r="53" spans="1:23">
      <c r="A53" s="27"/>
      <c r="B53" s="26"/>
      <c r="C53" s="27"/>
      <c r="D53" s="27"/>
      <c r="E53" s="27"/>
      <c r="F53" s="31" t="b">
        <f t="shared" si="6"/>
        <v>0</v>
      </c>
      <c r="G53" s="32" t="b">
        <f t="shared" si="0"/>
        <v>0</v>
      </c>
      <c r="H53" s="27"/>
      <c r="I53" s="33" t="b">
        <f t="shared" si="1"/>
        <v>0</v>
      </c>
      <c r="J53" s="32" t="b">
        <f t="shared" si="7"/>
        <v>0</v>
      </c>
      <c r="K53" s="27"/>
      <c r="L53" s="33" t="b">
        <f t="shared" si="8"/>
        <v>0</v>
      </c>
      <c r="M53" s="40" t="e">
        <f t="shared" si="9"/>
        <v>#VALUE!</v>
      </c>
      <c r="N53" s="40" t="b">
        <f t="shared" si="10"/>
        <v>0</v>
      </c>
      <c r="O53" s="41" t="e">
        <f t="shared" si="11"/>
        <v>#VALUE!</v>
      </c>
      <c r="P53" s="41" t="b">
        <f t="shared" si="12"/>
        <v>0</v>
      </c>
      <c r="Q53" s="27"/>
      <c r="R53" s="27"/>
      <c r="S53" s="43"/>
      <c r="T53" s="27"/>
      <c r="U53" s="1"/>
      <c r="V53" s="1"/>
      <c r="W53" s="15"/>
    </row>
    <row r="54" spans="1:23">
      <c r="A54" s="27"/>
      <c r="B54" s="26"/>
      <c r="C54" s="27"/>
      <c r="D54" s="27"/>
      <c r="E54" s="27"/>
      <c r="F54" s="31" t="b">
        <f t="shared" si="6"/>
        <v>0</v>
      </c>
      <c r="G54" s="32" t="b">
        <f t="shared" si="0"/>
        <v>0</v>
      </c>
      <c r="H54" s="27"/>
      <c r="I54" s="33" t="b">
        <f t="shared" si="1"/>
        <v>0</v>
      </c>
      <c r="J54" s="32" t="b">
        <f t="shared" si="7"/>
        <v>0</v>
      </c>
      <c r="K54" s="27"/>
      <c r="L54" s="33" t="b">
        <f t="shared" si="8"/>
        <v>0</v>
      </c>
      <c r="M54" s="40" t="e">
        <f t="shared" si="9"/>
        <v>#VALUE!</v>
      </c>
      <c r="N54" s="40" t="b">
        <f t="shared" si="10"/>
        <v>0</v>
      </c>
      <c r="O54" s="41" t="e">
        <f t="shared" si="11"/>
        <v>#VALUE!</v>
      </c>
      <c r="P54" s="41" t="b">
        <f t="shared" si="12"/>
        <v>0</v>
      </c>
      <c r="Q54" s="27"/>
      <c r="R54" s="27"/>
      <c r="S54" s="43"/>
      <c r="T54" s="27"/>
      <c r="U54" s="1"/>
      <c r="V54" s="1"/>
      <c r="W54" s="15"/>
    </row>
    <row r="55" spans="1:23">
      <c r="A55" s="27"/>
      <c r="B55" s="26"/>
      <c r="C55" s="27"/>
      <c r="D55" s="27"/>
      <c r="E55" s="27"/>
      <c r="F55" s="31" t="b">
        <f t="shared" si="6"/>
        <v>0</v>
      </c>
      <c r="G55" s="32" t="b">
        <f t="shared" si="0"/>
        <v>0</v>
      </c>
      <c r="H55" s="27"/>
      <c r="I55" s="33" t="b">
        <f t="shared" si="1"/>
        <v>0</v>
      </c>
      <c r="J55" s="32" t="b">
        <f t="shared" si="7"/>
        <v>0</v>
      </c>
      <c r="K55" s="27"/>
      <c r="L55" s="33" t="b">
        <f t="shared" si="8"/>
        <v>0</v>
      </c>
      <c r="M55" s="40" t="e">
        <f t="shared" si="9"/>
        <v>#VALUE!</v>
      </c>
      <c r="N55" s="40" t="b">
        <f t="shared" si="10"/>
        <v>0</v>
      </c>
      <c r="O55" s="41" t="e">
        <f t="shared" si="11"/>
        <v>#VALUE!</v>
      </c>
      <c r="P55" s="41" t="b">
        <f t="shared" si="12"/>
        <v>0</v>
      </c>
      <c r="Q55" s="27"/>
      <c r="R55" s="27"/>
      <c r="S55" s="43"/>
      <c r="T55" s="27"/>
      <c r="U55" s="1"/>
      <c r="V55" s="1"/>
      <c r="W55" s="15"/>
    </row>
    <row r="56" spans="1:23">
      <c r="A56" s="27"/>
      <c r="B56" s="26"/>
      <c r="C56" s="27"/>
      <c r="D56" s="27"/>
      <c r="E56" s="27"/>
      <c r="F56" s="31" t="b">
        <f t="shared" si="6"/>
        <v>0</v>
      </c>
      <c r="G56" s="32" t="b">
        <f t="shared" si="0"/>
        <v>0</v>
      </c>
      <c r="H56" s="27"/>
      <c r="I56" s="33" t="b">
        <f t="shared" si="1"/>
        <v>0</v>
      </c>
      <c r="J56" s="32" t="b">
        <f t="shared" si="7"/>
        <v>0</v>
      </c>
      <c r="K56" s="27"/>
      <c r="L56" s="33" t="b">
        <f t="shared" si="8"/>
        <v>0</v>
      </c>
      <c r="M56" s="40" t="e">
        <f t="shared" si="9"/>
        <v>#VALUE!</v>
      </c>
      <c r="N56" s="40" t="b">
        <f t="shared" si="10"/>
        <v>0</v>
      </c>
      <c r="O56" s="41" t="e">
        <f t="shared" si="11"/>
        <v>#VALUE!</v>
      </c>
      <c r="P56" s="41" t="b">
        <f t="shared" si="12"/>
        <v>0</v>
      </c>
      <c r="Q56" s="27"/>
      <c r="R56" s="27"/>
      <c r="S56" s="43"/>
      <c r="T56" s="27"/>
      <c r="U56" s="1"/>
      <c r="V56" s="1"/>
      <c r="W56" s="15"/>
    </row>
    <row r="57" spans="1:23">
      <c r="A57" s="27"/>
      <c r="B57" s="26"/>
      <c r="C57" s="27"/>
      <c r="D57" s="27"/>
      <c r="E57" s="27"/>
      <c r="F57" s="31" t="b">
        <f t="shared" si="6"/>
        <v>0</v>
      </c>
      <c r="G57" s="32" t="b">
        <f t="shared" si="0"/>
        <v>0</v>
      </c>
      <c r="H57" s="27"/>
      <c r="I57" s="33" t="b">
        <f t="shared" si="1"/>
        <v>0</v>
      </c>
      <c r="J57" s="32" t="b">
        <f t="shared" si="7"/>
        <v>0</v>
      </c>
      <c r="K57" s="27"/>
      <c r="L57" s="33" t="b">
        <f t="shared" si="8"/>
        <v>0</v>
      </c>
      <c r="M57" s="40" t="e">
        <f t="shared" si="9"/>
        <v>#VALUE!</v>
      </c>
      <c r="N57" s="40" t="b">
        <f t="shared" si="10"/>
        <v>0</v>
      </c>
      <c r="O57" s="41" t="e">
        <f t="shared" si="11"/>
        <v>#VALUE!</v>
      </c>
      <c r="P57" s="41" t="b">
        <f t="shared" si="12"/>
        <v>0</v>
      </c>
      <c r="Q57" s="27"/>
      <c r="R57" s="27"/>
      <c r="S57" s="43"/>
      <c r="T57" s="27"/>
      <c r="U57" s="1"/>
      <c r="V57" s="1"/>
      <c r="W57" s="15"/>
    </row>
    <row r="58" spans="1:23">
      <c r="A58" s="27"/>
      <c r="B58" s="26"/>
      <c r="C58" s="27"/>
      <c r="D58" s="27"/>
      <c r="E58" s="27"/>
      <c r="F58" s="31" t="b">
        <f t="shared" si="6"/>
        <v>0</v>
      </c>
      <c r="G58" s="32" t="b">
        <f t="shared" si="0"/>
        <v>0</v>
      </c>
      <c r="H58" s="27"/>
      <c r="I58" s="33" t="b">
        <f t="shared" si="1"/>
        <v>0</v>
      </c>
      <c r="J58" s="32" t="b">
        <f t="shared" si="7"/>
        <v>0</v>
      </c>
      <c r="K58" s="27"/>
      <c r="L58" s="33" t="b">
        <f t="shared" si="8"/>
        <v>0</v>
      </c>
      <c r="M58" s="40" t="e">
        <f t="shared" si="9"/>
        <v>#VALUE!</v>
      </c>
      <c r="N58" s="40" t="b">
        <f t="shared" si="10"/>
        <v>0</v>
      </c>
      <c r="O58" s="41" t="e">
        <f t="shared" si="11"/>
        <v>#VALUE!</v>
      </c>
      <c r="P58" s="41" t="b">
        <f t="shared" si="12"/>
        <v>0</v>
      </c>
      <c r="Q58" s="27"/>
      <c r="R58" s="27"/>
      <c r="S58" s="43"/>
      <c r="T58" s="27"/>
      <c r="U58" s="1"/>
      <c r="V58" s="1"/>
      <c r="W58" s="15"/>
    </row>
    <row r="59" spans="1:23">
      <c r="A59" s="27"/>
      <c r="B59" s="26"/>
      <c r="C59" s="27"/>
      <c r="D59" s="27"/>
      <c r="E59" s="27"/>
      <c r="F59" s="31" t="b">
        <f t="shared" si="6"/>
        <v>0</v>
      </c>
      <c r="G59" s="32" t="b">
        <f t="shared" si="0"/>
        <v>0</v>
      </c>
      <c r="H59" s="27"/>
      <c r="I59" s="33" t="b">
        <f t="shared" si="1"/>
        <v>0</v>
      </c>
      <c r="J59" s="32" t="b">
        <f t="shared" si="7"/>
        <v>0</v>
      </c>
      <c r="K59" s="27"/>
      <c r="L59" s="33" t="b">
        <f t="shared" si="8"/>
        <v>0</v>
      </c>
      <c r="M59" s="40" t="e">
        <f t="shared" si="9"/>
        <v>#VALUE!</v>
      </c>
      <c r="N59" s="40" t="b">
        <f t="shared" si="10"/>
        <v>0</v>
      </c>
      <c r="O59" s="41" t="e">
        <f t="shared" si="11"/>
        <v>#VALUE!</v>
      </c>
      <c r="P59" s="41" t="b">
        <f t="shared" si="12"/>
        <v>0</v>
      </c>
      <c r="Q59" s="27"/>
      <c r="R59" s="27"/>
      <c r="S59" s="43"/>
      <c r="T59" s="27"/>
      <c r="U59" s="1"/>
      <c r="V59" s="1"/>
      <c r="W59" s="15"/>
    </row>
    <row r="60" spans="1:23">
      <c r="A60" s="27"/>
      <c r="B60" s="26"/>
      <c r="C60" s="27"/>
      <c r="D60" s="27"/>
      <c r="E60" s="27"/>
      <c r="F60" s="31" t="b">
        <f t="shared" si="6"/>
        <v>0</v>
      </c>
      <c r="G60" s="32" t="b">
        <f t="shared" si="0"/>
        <v>0</v>
      </c>
      <c r="H60" s="27"/>
      <c r="I60" s="33" t="b">
        <f t="shared" si="1"/>
        <v>0</v>
      </c>
      <c r="J60" s="32" t="b">
        <f t="shared" si="7"/>
        <v>0</v>
      </c>
      <c r="K60" s="27"/>
      <c r="L60" s="33" t="b">
        <f t="shared" si="8"/>
        <v>0</v>
      </c>
      <c r="M60" s="40" t="e">
        <f t="shared" si="9"/>
        <v>#VALUE!</v>
      </c>
      <c r="N60" s="40" t="b">
        <f t="shared" si="10"/>
        <v>0</v>
      </c>
      <c r="O60" s="41" t="e">
        <f t="shared" si="11"/>
        <v>#VALUE!</v>
      </c>
      <c r="P60" s="41" t="b">
        <f t="shared" si="12"/>
        <v>0</v>
      </c>
      <c r="Q60" s="27"/>
      <c r="R60" s="27"/>
      <c r="S60" s="43"/>
      <c r="T60" s="27"/>
      <c r="U60" s="1"/>
      <c r="V60" s="1"/>
      <c r="W60" s="15"/>
    </row>
    <row r="61" spans="1:23">
      <c r="A61" s="27"/>
      <c r="B61" s="26"/>
      <c r="C61" s="27"/>
      <c r="D61" s="27"/>
      <c r="E61" s="27"/>
      <c r="F61" s="31" t="b">
        <f t="shared" si="6"/>
        <v>0</v>
      </c>
      <c r="G61" s="32" t="b">
        <f t="shared" si="0"/>
        <v>0</v>
      </c>
      <c r="H61" s="27"/>
      <c r="I61" s="33" t="b">
        <f t="shared" si="1"/>
        <v>0</v>
      </c>
      <c r="J61" s="32" t="b">
        <f t="shared" si="7"/>
        <v>0</v>
      </c>
      <c r="K61" s="27"/>
      <c r="L61" s="33" t="b">
        <f t="shared" si="8"/>
        <v>0</v>
      </c>
      <c r="M61" s="40" t="e">
        <f t="shared" si="9"/>
        <v>#VALUE!</v>
      </c>
      <c r="N61" s="40" t="b">
        <f t="shared" si="10"/>
        <v>0</v>
      </c>
      <c r="O61" s="41" t="e">
        <f t="shared" si="11"/>
        <v>#VALUE!</v>
      </c>
      <c r="P61" s="41" t="b">
        <f t="shared" si="12"/>
        <v>0</v>
      </c>
      <c r="Q61" s="27"/>
      <c r="R61" s="27"/>
      <c r="S61" s="43"/>
      <c r="T61" s="27"/>
      <c r="U61" s="1"/>
      <c r="V61" s="1"/>
      <c r="W61" s="15"/>
    </row>
    <row r="62" spans="1:23">
      <c r="A62" s="27"/>
      <c r="B62" s="26"/>
      <c r="C62" s="27"/>
      <c r="D62" s="27"/>
      <c r="E62" s="27"/>
      <c r="F62" s="31" t="b">
        <f t="shared" si="6"/>
        <v>0</v>
      </c>
      <c r="G62" s="32" t="b">
        <f t="shared" si="0"/>
        <v>0</v>
      </c>
      <c r="H62" s="27"/>
      <c r="I62" s="33" t="b">
        <f t="shared" si="1"/>
        <v>0</v>
      </c>
      <c r="J62" s="32" t="b">
        <f t="shared" si="7"/>
        <v>0</v>
      </c>
      <c r="K62" s="27"/>
      <c r="L62" s="33" t="b">
        <f t="shared" si="8"/>
        <v>0</v>
      </c>
      <c r="M62" s="40" t="e">
        <f t="shared" si="9"/>
        <v>#VALUE!</v>
      </c>
      <c r="N62" s="40" t="b">
        <f t="shared" si="10"/>
        <v>0</v>
      </c>
      <c r="O62" s="41" t="e">
        <f t="shared" si="11"/>
        <v>#VALUE!</v>
      </c>
      <c r="P62" s="41" t="b">
        <f t="shared" si="12"/>
        <v>0</v>
      </c>
      <c r="Q62" s="27"/>
      <c r="R62" s="27"/>
      <c r="S62" s="43"/>
      <c r="T62" s="27"/>
      <c r="U62" s="1"/>
      <c r="V62" s="1"/>
      <c r="W62" s="15"/>
    </row>
    <row r="63" spans="1:23">
      <c r="A63" s="27"/>
      <c r="B63" s="26"/>
      <c r="C63" s="27"/>
      <c r="D63" s="27"/>
      <c r="E63" s="27"/>
      <c r="F63" s="31" t="b">
        <f t="shared" si="6"/>
        <v>0</v>
      </c>
      <c r="G63" s="32" t="b">
        <f t="shared" si="0"/>
        <v>0</v>
      </c>
      <c r="H63" s="27"/>
      <c r="I63" s="33" t="b">
        <f t="shared" si="1"/>
        <v>0</v>
      </c>
      <c r="J63" s="32" t="b">
        <f t="shared" si="7"/>
        <v>0</v>
      </c>
      <c r="K63" s="27"/>
      <c r="L63" s="33" t="b">
        <f t="shared" si="8"/>
        <v>0</v>
      </c>
      <c r="M63" s="40" t="e">
        <f t="shared" si="9"/>
        <v>#VALUE!</v>
      </c>
      <c r="N63" s="40" t="b">
        <f t="shared" si="10"/>
        <v>0</v>
      </c>
      <c r="O63" s="41" t="e">
        <f t="shared" si="11"/>
        <v>#VALUE!</v>
      </c>
      <c r="P63" s="41" t="b">
        <f t="shared" si="12"/>
        <v>0</v>
      </c>
      <c r="Q63" s="27"/>
      <c r="R63" s="27"/>
      <c r="S63" s="43"/>
      <c r="T63" s="27"/>
      <c r="U63" s="1"/>
      <c r="V63" s="1"/>
      <c r="W63" s="15"/>
    </row>
    <row r="64" spans="1:23">
      <c r="A64" s="27"/>
      <c r="B64" s="26"/>
      <c r="C64" s="27"/>
      <c r="D64" s="27"/>
      <c r="E64" s="27"/>
      <c r="F64" s="31" t="b">
        <f t="shared" si="6"/>
        <v>0</v>
      </c>
      <c r="G64" s="32" t="b">
        <f t="shared" si="0"/>
        <v>0</v>
      </c>
      <c r="H64" s="27"/>
      <c r="I64" s="33" t="b">
        <f t="shared" si="1"/>
        <v>0</v>
      </c>
      <c r="J64" s="32" t="b">
        <f t="shared" si="7"/>
        <v>0</v>
      </c>
      <c r="K64" s="27"/>
      <c r="L64" s="33" t="b">
        <f t="shared" si="8"/>
        <v>0</v>
      </c>
      <c r="M64" s="40" t="e">
        <f t="shared" si="9"/>
        <v>#VALUE!</v>
      </c>
      <c r="N64" s="40" t="b">
        <f t="shared" si="10"/>
        <v>0</v>
      </c>
      <c r="O64" s="41" t="e">
        <f t="shared" si="11"/>
        <v>#VALUE!</v>
      </c>
      <c r="P64" s="41" t="b">
        <f t="shared" si="12"/>
        <v>0</v>
      </c>
      <c r="Q64" s="27"/>
      <c r="R64" s="27"/>
      <c r="S64" s="43"/>
      <c r="T64" s="27"/>
      <c r="U64" s="1"/>
      <c r="V64" s="1"/>
      <c r="W64" s="15"/>
    </row>
    <row r="65" spans="1:23">
      <c r="A65" s="27"/>
      <c r="B65" s="26"/>
      <c r="C65" s="27"/>
      <c r="D65" s="27"/>
      <c r="E65" s="27"/>
      <c r="F65" s="31" t="b">
        <f t="shared" si="6"/>
        <v>0</v>
      </c>
      <c r="G65" s="32" t="b">
        <f t="shared" si="0"/>
        <v>0</v>
      </c>
      <c r="H65" s="27"/>
      <c r="I65" s="33" t="b">
        <f t="shared" si="1"/>
        <v>0</v>
      </c>
      <c r="J65" s="32" t="b">
        <f t="shared" si="7"/>
        <v>0</v>
      </c>
      <c r="K65" s="27"/>
      <c r="L65" s="33" t="b">
        <f t="shared" si="8"/>
        <v>0</v>
      </c>
      <c r="M65" s="40" t="e">
        <f t="shared" si="9"/>
        <v>#VALUE!</v>
      </c>
      <c r="N65" s="40" t="b">
        <f t="shared" si="10"/>
        <v>0</v>
      </c>
      <c r="O65" s="41" t="e">
        <f t="shared" si="11"/>
        <v>#VALUE!</v>
      </c>
      <c r="P65" s="41" t="b">
        <f t="shared" si="12"/>
        <v>0</v>
      </c>
      <c r="Q65" s="27"/>
      <c r="R65" s="27"/>
      <c r="S65" s="43"/>
      <c r="T65" s="27"/>
      <c r="U65" s="1"/>
      <c r="V65" s="1"/>
      <c r="W65" s="15"/>
    </row>
    <row r="66" spans="1:23">
      <c r="A66" s="27"/>
      <c r="B66" s="26"/>
      <c r="C66" s="27"/>
      <c r="D66" s="27"/>
      <c r="E66" s="27"/>
      <c r="F66" s="31" t="b">
        <f t="shared" si="6"/>
        <v>0</v>
      </c>
      <c r="G66" s="32" t="b">
        <f t="shared" si="0"/>
        <v>0</v>
      </c>
      <c r="H66" s="27"/>
      <c r="I66" s="33" t="b">
        <f t="shared" si="1"/>
        <v>0</v>
      </c>
      <c r="J66" s="32" t="b">
        <f t="shared" si="7"/>
        <v>0</v>
      </c>
      <c r="K66" s="27"/>
      <c r="L66" s="33" t="b">
        <f t="shared" si="8"/>
        <v>0</v>
      </c>
      <c r="M66" s="40" t="e">
        <f t="shared" si="9"/>
        <v>#VALUE!</v>
      </c>
      <c r="N66" s="40" t="b">
        <f t="shared" si="10"/>
        <v>0</v>
      </c>
      <c r="O66" s="41" t="e">
        <f t="shared" si="11"/>
        <v>#VALUE!</v>
      </c>
      <c r="P66" s="41" t="b">
        <f t="shared" si="12"/>
        <v>0</v>
      </c>
      <c r="Q66" s="27"/>
      <c r="R66" s="27"/>
      <c r="S66" s="43"/>
      <c r="T66" s="27"/>
      <c r="U66" s="1"/>
      <c r="V66" s="1"/>
      <c r="W66" s="15"/>
    </row>
    <row r="67" spans="1:23">
      <c r="A67" s="27"/>
      <c r="B67" s="26"/>
      <c r="C67" s="27"/>
      <c r="D67" s="27"/>
      <c r="E67" s="27"/>
      <c r="F67" s="31" t="b">
        <f t="shared" si="6"/>
        <v>0</v>
      </c>
      <c r="G67" s="32" t="b">
        <f t="shared" si="0"/>
        <v>0</v>
      </c>
      <c r="H67" s="27"/>
      <c r="I67" s="33" t="b">
        <f t="shared" si="1"/>
        <v>0</v>
      </c>
      <c r="J67" s="32" t="b">
        <f t="shared" si="7"/>
        <v>0</v>
      </c>
      <c r="K67" s="27"/>
      <c r="L67" s="33" t="b">
        <f t="shared" si="8"/>
        <v>0</v>
      </c>
      <c r="M67" s="40" t="e">
        <f t="shared" ref="M67:M101" si="13">MROUND(IF(B67="BUY",MAX(F67,I67),IF(B67="SELL",MIN(F67,I67))),1)</f>
        <v>#VALUE!</v>
      </c>
      <c r="N67" s="40" t="b">
        <f t="shared" ref="N67:N98" si="14">IF(B67="BUY",(M67*(1-0.1%)),IF(B67="SELL",(M67*(1+0.1%))))</f>
        <v>0</v>
      </c>
      <c r="O67" s="41" t="e">
        <f t="shared" ref="O67:O101" si="15">MROUND(IF(B67="BUY",MAX(F67,L67),IF(B67="SELL",MIN(F67,L67))),1)</f>
        <v>#VALUE!</v>
      </c>
      <c r="P67" s="41" t="b">
        <f t="shared" ref="P67:P98" si="16">IF(B67="BUY",(O67*(1-0.1%)),IF(B67="SELL",(O67*(1+0.1%))))</f>
        <v>0</v>
      </c>
      <c r="Q67" s="27"/>
      <c r="R67" s="27"/>
      <c r="S67" s="43"/>
      <c r="T67" s="27"/>
      <c r="U67" s="1"/>
      <c r="V67" s="1"/>
      <c r="W67" s="15"/>
    </row>
    <row r="68" spans="1:23">
      <c r="A68" s="27"/>
      <c r="B68" s="26"/>
      <c r="C68" s="27"/>
      <c r="D68" s="27"/>
      <c r="E68" s="27"/>
      <c r="F68" s="31" t="b">
        <f t="shared" ref="F68:F101" si="17">IF(B68="BUY",(C68*(1-1.5%)),IF(B68="SELL",(C68*(1+1.5%))))</f>
        <v>0</v>
      </c>
      <c r="G68" s="32" t="b">
        <f t="shared" si="0"/>
        <v>0</v>
      </c>
      <c r="H68" s="27"/>
      <c r="I68" s="33" t="b">
        <f t="shared" si="1"/>
        <v>0</v>
      </c>
      <c r="J68" s="32" t="b">
        <f t="shared" ref="J68:J101" si="18">IF(B68="BUY","4DLL",IF(B68="SELL","4DHH"))</f>
        <v>0</v>
      </c>
      <c r="K68" s="27"/>
      <c r="L68" s="33" t="b">
        <f t="shared" ref="L68:L101" si="19">IF(J68="4DHH",(K68*(1+0.12%)),IF(J68="4DLL",(K68*(1-0.12%))))</f>
        <v>0</v>
      </c>
      <c r="M68" s="40" t="e">
        <f t="shared" si="13"/>
        <v>#VALUE!</v>
      </c>
      <c r="N68" s="40" t="b">
        <f t="shared" si="14"/>
        <v>0</v>
      </c>
      <c r="O68" s="41" t="e">
        <f t="shared" si="15"/>
        <v>#VALUE!</v>
      </c>
      <c r="P68" s="41" t="b">
        <f t="shared" si="16"/>
        <v>0</v>
      </c>
      <c r="Q68" s="27"/>
      <c r="R68" s="27"/>
      <c r="S68" s="43"/>
      <c r="T68" s="27"/>
      <c r="U68" s="1"/>
      <c r="V68" s="1"/>
      <c r="W68" s="15"/>
    </row>
    <row r="69" spans="1:23">
      <c r="A69" s="27"/>
      <c r="B69" s="26"/>
      <c r="C69" s="27"/>
      <c r="D69" s="27"/>
      <c r="E69" s="27"/>
      <c r="F69" s="31" t="b">
        <f t="shared" si="17"/>
        <v>0</v>
      </c>
      <c r="G69" s="32" t="b">
        <f t="shared" si="0"/>
        <v>0</v>
      </c>
      <c r="H69" s="27"/>
      <c r="I69" s="33" t="b">
        <f t="shared" si="1"/>
        <v>0</v>
      </c>
      <c r="J69" s="32" t="b">
        <f t="shared" si="18"/>
        <v>0</v>
      </c>
      <c r="K69" s="27"/>
      <c r="L69" s="33" t="b">
        <f t="shared" si="19"/>
        <v>0</v>
      </c>
      <c r="M69" s="40" t="e">
        <f t="shared" si="13"/>
        <v>#VALUE!</v>
      </c>
      <c r="N69" s="40" t="b">
        <f t="shared" si="14"/>
        <v>0</v>
      </c>
      <c r="O69" s="41" t="e">
        <f t="shared" si="15"/>
        <v>#VALUE!</v>
      </c>
      <c r="P69" s="41" t="b">
        <f t="shared" si="16"/>
        <v>0</v>
      </c>
      <c r="Q69" s="27"/>
      <c r="R69" s="27"/>
      <c r="S69" s="43"/>
      <c r="T69" s="27"/>
      <c r="U69" s="1"/>
      <c r="V69" s="1"/>
      <c r="W69" s="15"/>
    </row>
    <row r="70" spans="1:23">
      <c r="A70" s="27"/>
      <c r="B70" s="26"/>
      <c r="C70" s="27"/>
      <c r="D70" s="27"/>
      <c r="E70" s="27"/>
      <c r="F70" s="31" t="b">
        <f t="shared" si="17"/>
        <v>0</v>
      </c>
      <c r="G70" s="32" t="b">
        <f t="shared" si="0"/>
        <v>0</v>
      </c>
      <c r="H70" s="27"/>
      <c r="I70" s="33" t="b">
        <f t="shared" si="1"/>
        <v>0</v>
      </c>
      <c r="J70" s="32" t="b">
        <f t="shared" si="18"/>
        <v>0</v>
      </c>
      <c r="K70" s="27"/>
      <c r="L70" s="33" t="b">
        <f t="shared" si="19"/>
        <v>0</v>
      </c>
      <c r="M70" s="40" t="e">
        <f t="shared" si="13"/>
        <v>#VALUE!</v>
      </c>
      <c r="N70" s="40" t="b">
        <f t="shared" si="14"/>
        <v>0</v>
      </c>
      <c r="O70" s="41" t="e">
        <f t="shared" si="15"/>
        <v>#VALUE!</v>
      </c>
      <c r="P70" s="41" t="b">
        <f t="shared" si="16"/>
        <v>0</v>
      </c>
      <c r="Q70" s="27"/>
      <c r="R70" s="27"/>
      <c r="S70" s="43"/>
      <c r="T70" s="27"/>
      <c r="U70" s="1"/>
      <c r="V70" s="1"/>
      <c r="W70" s="15"/>
    </row>
    <row r="71" spans="1:23">
      <c r="A71" s="27"/>
      <c r="B71" s="26"/>
      <c r="C71" s="27"/>
      <c r="D71" s="27"/>
      <c r="E71" s="27"/>
      <c r="F71" s="31" t="b">
        <f t="shared" si="17"/>
        <v>0</v>
      </c>
      <c r="G71" s="32" t="b">
        <f t="shared" si="0"/>
        <v>0</v>
      </c>
      <c r="H71" s="27"/>
      <c r="I71" s="33" t="b">
        <f t="shared" si="1"/>
        <v>0</v>
      </c>
      <c r="J71" s="32" t="b">
        <f t="shared" si="18"/>
        <v>0</v>
      </c>
      <c r="K71" s="27"/>
      <c r="L71" s="33" t="b">
        <f t="shared" si="19"/>
        <v>0</v>
      </c>
      <c r="M71" s="40" t="e">
        <f t="shared" si="13"/>
        <v>#VALUE!</v>
      </c>
      <c r="N71" s="40" t="b">
        <f t="shared" si="14"/>
        <v>0</v>
      </c>
      <c r="O71" s="41" t="e">
        <f t="shared" si="15"/>
        <v>#VALUE!</v>
      </c>
      <c r="P71" s="41" t="b">
        <f t="shared" si="16"/>
        <v>0</v>
      </c>
      <c r="Q71" s="27"/>
      <c r="R71" s="27"/>
      <c r="S71" s="43"/>
      <c r="T71" s="27"/>
      <c r="U71" s="1"/>
      <c r="V71" s="1"/>
      <c r="W71" s="15"/>
    </row>
    <row r="72" spans="1:23">
      <c r="A72" s="27"/>
      <c r="B72" s="26"/>
      <c r="C72" s="27"/>
      <c r="D72" s="27"/>
      <c r="E72" s="27"/>
      <c r="F72" s="31" t="b">
        <f t="shared" si="17"/>
        <v>0</v>
      </c>
      <c r="G72" s="32" t="b">
        <f t="shared" si="0"/>
        <v>0</v>
      </c>
      <c r="H72" s="27"/>
      <c r="I72" s="33" t="b">
        <f t="shared" si="1"/>
        <v>0</v>
      </c>
      <c r="J72" s="32" t="b">
        <f t="shared" si="18"/>
        <v>0</v>
      </c>
      <c r="K72" s="27"/>
      <c r="L72" s="33" t="b">
        <f t="shared" si="19"/>
        <v>0</v>
      </c>
      <c r="M72" s="40" t="e">
        <f t="shared" si="13"/>
        <v>#VALUE!</v>
      </c>
      <c r="N72" s="40" t="b">
        <f t="shared" si="14"/>
        <v>0</v>
      </c>
      <c r="O72" s="41" t="e">
        <f t="shared" si="15"/>
        <v>#VALUE!</v>
      </c>
      <c r="P72" s="41" t="b">
        <f t="shared" si="16"/>
        <v>0</v>
      </c>
      <c r="Q72" s="27"/>
      <c r="R72" s="27"/>
      <c r="S72" s="43"/>
      <c r="T72" s="27"/>
      <c r="U72" s="1"/>
      <c r="V72" s="1"/>
      <c r="W72" s="15"/>
    </row>
    <row r="73" spans="1:23">
      <c r="A73" s="27"/>
      <c r="B73" s="26"/>
      <c r="C73" s="27"/>
      <c r="D73" s="27"/>
      <c r="E73" s="27"/>
      <c r="F73" s="31" t="b">
        <f t="shared" si="17"/>
        <v>0</v>
      </c>
      <c r="G73" s="32" t="b">
        <f t="shared" si="0"/>
        <v>0</v>
      </c>
      <c r="H73" s="27"/>
      <c r="I73" s="33" t="b">
        <f t="shared" si="1"/>
        <v>0</v>
      </c>
      <c r="J73" s="32" t="b">
        <f t="shared" si="18"/>
        <v>0</v>
      </c>
      <c r="K73" s="27"/>
      <c r="L73" s="33" t="b">
        <f t="shared" si="19"/>
        <v>0</v>
      </c>
      <c r="M73" s="40" t="e">
        <f t="shared" si="13"/>
        <v>#VALUE!</v>
      </c>
      <c r="N73" s="40" t="b">
        <f t="shared" si="14"/>
        <v>0</v>
      </c>
      <c r="O73" s="41" t="e">
        <f t="shared" si="15"/>
        <v>#VALUE!</v>
      </c>
      <c r="P73" s="41" t="b">
        <f t="shared" si="16"/>
        <v>0</v>
      </c>
      <c r="Q73" s="27"/>
      <c r="R73" s="27"/>
      <c r="S73" s="43"/>
      <c r="T73" s="27"/>
      <c r="U73" s="1"/>
      <c r="V73" s="1"/>
      <c r="W73" s="15"/>
    </row>
    <row r="74" spans="1:23">
      <c r="A74" s="27"/>
      <c r="B74" s="26"/>
      <c r="C74" s="27"/>
      <c r="D74" s="27"/>
      <c r="E74" s="27"/>
      <c r="F74" s="31" t="b">
        <f t="shared" si="17"/>
        <v>0</v>
      </c>
      <c r="G74" s="32" t="b">
        <f t="shared" si="0"/>
        <v>0</v>
      </c>
      <c r="H74" s="27"/>
      <c r="I74" s="33" t="b">
        <f t="shared" si="1"/>
        <v>0</v>
      </c>
      <c r="J74" s="32" t="b">
        <f t="shared" si="18"/>
        <v>0</v>
      </c>
      <c r="K74" s="27"/>
      <c r="L74" s="33" t="b">
        <f t="shared" si="19"/>
        <v>0</v>
      </c>
      <c r="M74" s="40" t="e">
        <f t="shared" si="13"/>
        <v>#VALUE!</v>
      </c>
      <c r="N74" s="40" t="b">
        <f t="shared" si="14"/>
        <v>0</v>
      </c>
      <c r="O74" s="41" t="e">
        <f t="shared" si="15"/>
        <v>#VALUE!</v>
      </c>
      <c r="P74" s="41" t="b">
        <f t="shared" si="16"/>
        <v>0</v>
      </c>
      <c r="Q74" s="27"/>
      <c r="R74" s="27"/>
      <c r="S74" s="43"/>
      <c r="T74" s="27"/>
      <c r="U74" s="1"/>
      <c r="V74" s="1"/>
      <c r="W74" s="15"/>
    </row>
    <row r="75" spans="1:23">
      <c r="A75" s="27"/>
      <c r="B75" s="26"/>
      <c r="C75" s="27"/>
      <c r="D75" s="27"/>
      <c r="E75" s="27"/>
      <c r="F75" s="31" t="b">
        <f t="shared" si="17"/>
        <v>0</v>
      </c>
      <c r="G75" s="32" t="b">
        <f t="shared" si="0"/>
        <v>0</v>
      </c>
      <c r="H75" s="27"/>
      <c r="I75" s="33" t="b">
        <f t="shared" si="1"/>
        <v>0</v>
      </c>
      <c r="J75" s="32" t="b">
        <f t="shared" si="18"/>
        <v>0</v>
      </c>
      <c r="K75" s="27"/>
      <c r="L75" s="33" t="b">
        <f t="shared" si="19"/>
        <v>0</v>
      </c>
      <c r="M75" s="40" t="e">
        <f t="shared" si="13"/>
        <v>#VALUE!</v>
      </c>
      <c r="N75" s="40" t="b">
        <f t="shared" si="14"/>
        <v>0</v>
      </c>
      <c r="O75" s="41" t="e">
        <f t="shared" si="15"/>
        <v>#VALUE!</v>
      </c>
      <c r="P75" s="41" t="b">
        <f t="shared" si="16"/>
        <v>0</v>
      </c>
      <c r="Q75" s="27"/>
      <c r="R75" s="27"/>
      <c r="S75" s="43"/>
      <c r="T75" s="27"/>
      <c r="U75" s="1"/>
      <c r="V75" s="1"/>
      <c r="W75" s="15"/>
    </row>
    <row r="76" spans="1:23">
      <c r="A76" s="27"/>
      <c r="B76" s="26"/>
      <c r="C76" s="27"/>
      <c r="D76" s="27"/>
      <c r="E76" s="27"/>
      <c r="F76" s="31" t="b">
        <f t="shared" si="17"/>
        <v>0</v>
      </c>
      <c r="G76" s="32" t="b">
        <f t="shared" si="0"/>
        <v>0</v>
      </c>
      <c r="H76" s="27"/>
      <c r="I76" s="33" t="b">
        <f t="shared" si="1"/>
        <v>0</v>
      </c>
      <c r="J76" s="32" t="b">
        <f t="shared" si="18"/>
        <v>0</v>
      </c>
      <c r="K76" s="27"/>
      <c r="L76" s="33" t="b">
        <f t="shared" si="19"/>
        <v>0</v>
      </c>
      <c r="M76" s="40" t="e">
        <f t="shared" si="13"/>
        <v>#VALUE!</v>
      </c>
      <c r="N76" s="40" t="b">
        <f t="shared" si="14"/>
        <v>0</v>
      </c>
      <c r="O76" s="41" t="e">
        <f t="shared" si="15"/>
        <v>#VALUE!</v>
      </c>
      <c r="P76" s="41" t="b">
        <f t="shared" si="16"/>
        <v>0</v>
      </c>
      <c r="Q76" s="27"/>
      <c r="R76" s="27"/>
      <c r="S76" s="43"/>
      <c r="T76" s="27"/>
      <c r="U76" s="1"/>
      <c r="V76" s="1"/>
      <c r="W76" s="15"/>
    </row>
    <row r="77" spans="1:23">
      <c r="A77" s="27"/>
      <c r="B77" s="26"/>
      <c r="C77" s="27"/>
      <c r="D77" s="27"/>
      <c r="E77" s="27"/>
      <c r="F77" s="31" t="b">
        <f t="shared" si="17"/>
        <v>0</v>
      </c>
      <c r="G77" s="32" t="b">
        <f t="shared" si="0"/>
        <v>0</v>
      </c>
      <c r="H77" s="27"/>
      <c r="I77" s="33" t="b">
        <f t="shared" si="1"/>
        <v>0</v>
      </c>
      <c r="J77" s="32" t="b">
        <f t="shared" si="18"/>
        <v>0</v>
      </c>
      <c r="K77" s="27"/>
      <c r="L77" s="33" t="b">
        <f t="shared" si="19"/>
        <v>0</v>
      </c>
      <c r="M77" s="40" t="e">
        <f t="shared" si="13"/>
        <v>#VALUE!</v>
      </c>
      <c r="N77" s="40" t="b">
        <f t="shared" si="14"/>
        <v>0</v>
      </c>
      <c r="O77" s="41" t="e">
        <f t="shared" si="15"/>
        <v>#VALUE!</v>
      </c>
      <c r="P77" s="41" t="b">
        <f t="shared" si="16"/>
        <v>0</v>
      </c>
      <c r="Q77" s="27"/>
      <c r="R77" s="27"/>
      <c r="S77" s="43"/>
      <c r="T77" s="27"/>
      <c r="U77" s="1"/>
      <c r="V77" s="1"/>
      <c r="W77" s="15"/>
    </row>
    <row r="78" spans="1:23">
      <c r="A78" s="27"/>
      <c r="B78" s="26"/>
      <c r="C78" s="27"/>
      <c r="D78" s="27"/>
      <c r="E78" s="27"/>
      <c r="F78" s="31" t="b">
        <f t="shared" si="17"/>
        <v>0</v>
      </c>
      <c r="G78" s="32" t="b">
        <f t="shared" si="0"/>
        <v>0</v>
      </c>
      <c r="H78" s="27"/>
      <c r="I78" s="33" t="b">
        <f t="shared" si="1"/>
        <v>0</v>
      </c>
      <c r="J78" s="32" t="b">
        <f t="shared" si="18"/>
        <v>0</v>
      </c>
      <c r="K78" s="27"/>
      <c r="L78" s="33" t="b">
        <f t="shared" si="19"/>
        <v>0</v>
      </c>
      <c r="M78" s="40" t="e">
        <f t="shared" si="13"/>
        <v>#VALUE!</v>
      </c>
      <c r="N78" s="40" t="b">
        <f t="shared" si="14"/>
        <v>0</v>
      </c>
      <c r="O78" s="41" t="e">
        <f t="shared" si="15"/>
        <v>#VALUE!</v>
      </c>
      <c r="P78" s="41" t="b">
        <f t="shared" si="16"/>
        <v>0</v>
      </c>
      <c r="Q78" s="27"/>
      <c r="R78" s="27"/>
      <c r="S78" s="43"/>
      <c r="T78" s="27"/>
      <c r="U78" s="1"/>
      <c r="V78" s="1"/>
      <c r="W78" s="15"/>
    </row>
    <row r="79" spans="1:23">
      <c r="A79" s="27"/>
      <c r="B79" s="26"/>
      <c r="C79" s="27"/>
      <c r="D79" s="27"/>
      <c r="E79" s="27"/>
      <c r="F79" s="31" t="b">
        <f t="shared" si="17"/>
        <v>0</v>
      </c>
      <c r="G79" s="32" t="b">
        <f t="shared" si="0"/>
        <v>0</v>
      </c>
      <c r="H79" s="27"/>
      <c r="I79" s="33" t="b">
        <f t="shared" si="1"/>
        <v>0</v>
      </c>
      <c r="J79" s="32" t="b">
        <f t="shared" si="18"/>
        <v>0</v>
      </c>
      <c r="K79" s="27"/>
      <c r="L79" s="33" t="b">
        <f t="shared" si="19"/>
        <v>0</v>
      </c>
      <c r="M79" s="40" t="e">
        <f t="shared" si="13"/>
        <v>#VALUE!</v>
      </c>
      <c r="N79" s="40" t="b">
        <f t="shared" si="14"/>
        <v>0</v>
      </c>
      <c r="O79" s="41" t="e">
        <f t="shared" si="15"/>
        <v>#VALUE!</v>
      </c>
      <c r="P79" s="41" t="b">
        <f t="shared" si="16"/>
        <v>0</v>
      </c>
      <c r="Q79" s="27"/>
      <c r="R79" s="27"/>
      <c r="S79" s="43"/>
      <c r="T79" s="27"/>
      <c r="U79" s="1"/>
      <c r="V79" s="1"/>
      <c r="W79" s="15"/>
    </row>
    <row r="80" spans="1:23">
      <c r="A80" s="27"/>
      <c r="B80" s="26"/>
      <c r="C80" s="27"/>
      <c r="D80" s="27"/>
      <c r="E80" s="27"/>
      <c r="F80" s="31" t="b">
        <f t="shared" si="17"/>
        <v>0</v>
      </c>
      <c r="G80" s="32" t="b">
        <f t="shared" si="0"/>
        <v>0</v>
      </c>
      <c r="H80" s="27"/>
      <c r="I80" s="33" t="b">
        <f t="shared" si="1"/>
        <v>0</v>
      </c>
      <c r="J80" s="32" t="b">
        <f t="shared" si="18"/>
        <v>0</v>
      </c>
      <c r="K80" s="27"/>
      <c r="L80" s="33" t="b">
        <f t="shared" si="19"/>
        <v>0</v>
      </c>
      <c r="M80" s="40" t="e">
        <f t="shared" si="13"/>
        <v>#VALUE!</v>
      </c>
      <c r="N80" s="40" t="b">
        <f t="shared" si="14"/>
        <v>0</v>
      </c>
      <c r="O80" s="41" t="e">
        <f t="shared" si="15"/>
        <v>#VALUE!</v>
      </c>
      <c r="P80" s="41" t="b">
        <f t="shared" si="16"/>
        <v>0</v>
      </c>
      <c r="Q80" s="27"/>
      <c r="R80" s="27"/>
      <c r="S80" s="43"/>
      <c r="T80" s="27"/>
      <c r="U80" s="1"/>
      <c r="V80" s="1"/>
      <c r="W80" s="15"/>
    </row>
    <row r="81" spans="1:23">
      <c r="A81" s="27"/>
      <c r="B81" s="26"/>
      <c r="C81" s="27"/>
      <c r="D81" s="27"/>
      <c r="E81" s="27"/>
      <c r="F81" s="31" t="b">
        <f t="shared" si="17"/>
        <v>0</v>
      </c>
      <c r="G81" s="32" t="b">
        <f t="shared" si="0"/>
        <v>0</v>
      </c>
      <c r="H81" s="27"/>
      <c r="I81" s="33" t="b">
        <f t="shared" si="1"/>
        <v>0</v>
      </c>
      <c r="J81" s="32" t="b">
        <f t="shared" si="18"/>
        <v>0</v>
      </c>
      <c r="K81" s="27"/>
      <c r="L81" s="33" t="b">
        <f t="shared" si="19"/>
        <v>0</v>
      </c>
      <c r="M81" s="40" t="e">
        <f t="shared" si="13"/>
        <v>#VALUE!</v>
      </c>
      <c r="N81" s="40" t="b">
        <f t="shared" si="14"/>
        <v>0</v>
      </c>
      <c r="O81" s="41" t="e">
        <f t="shared" si="15"/>
        <v>#VALUE!</v>
      </c>
      <c r="P81" s="41" t="b">
        <f t="shared" si="16"/>
        <v>0</v>
      </c>
      <c r="Q81" s="27"/>
      <c r="R81" s="27"/>
      <c r="S81" s="43"/>
      <c r="T81" s="27"/>
      <c r="U81" s="1"/>
      <c r="V81" s="1"/>
      <c r="W81" s="15"/>
    </row>
    <row r="82" spans="1:23">
      <c r="A82" s="27"/>
      <c r="B82" s="26"/>
      <c r="C82" s="27"/>
      <c r="D82" s="27"/>
      <c r="E82" s="27"/>
      <c r="F82" s="31" t="b">
        <f t="shared" si="17"/>
        <v>0</v>
      </c>
      <c r="G82" s="32" t="b">
        <f t="shared" si="0"/>
        <v>0</v>
      </c>
      <c r="H82" s="27"/>
      <c r="I82" s="33" t="b">
        <f t="shared" si="1"/>
        <v>0</v>
      </c>
      <c r="J82" s="32" t="b">
        <f t="shared" si="18"/>
        <v>0</v>
      </c>
      <c r="K82" s="27"/>
      <c r="L82" s="33" t="b">
        <f t="shared" si="19"/>
        <v>0</v>
      </c>
      <c r="M82" s="40" t="e">
        <f t="shared" si="13"/>
        <v>#VALUE!</v>
      </c>
      <c r="N82" s="40" t="b">
        <f t="shared" si="14"/>
        <v>0</v>
      </c>
      <c r="O82" s="41" t="e">
        <f t="shared" si="15"/>
        <v>#VALUE!</v>
      </c>
      <c r="P82" s="41" t="b">
        <f t="shared" si="16"/>
        <v>0</v>
      </c>
      <c r="Q82" s="27"/>
      <c r="R82" s="27"/>
      <c r="S82" s="43"/>
      <c r="T82" s="27"/>
      <c r="U82" s="1"/>
      <c r="V82" s="1"/>
      <c r="W82" s="15"/>
    </row>
    <row r="83" spans="1:23">
      <c r="A83" s="27"/>
      <c r="B83" s="26"/>
      <c r="C83" s="27"/>
      <c r="D83" s="27"/>
      <c r="E83" s="27"/>
      <c r="F83" s="31" t="b">
        <f t="shared" si="17"/>
        <v>0</v>
      </c>
      <c r="G83" s="32" t="b">
        <f t="shared" si="0"/>
        <v>0</v>
      </c>
      <c r="H83" s="27"/>
      <c r="I83" s="33" t="b">
        <f t="shared" si="1"/>
        <v>0</v>
      </c>
      <c r="J83" s="32" t="b">
        <f t="shared" si="18"/>
        <v>0</v>
      </c>
      <c r="K83" s="27"/>
      <c r="L83" s="33" t="b">
        <f t="shared" si="19"/>
        <v>0</v>
      </c>
      <c r="M83" s="40" t="e">
        <f t="shared" si="13"/>
        <v>#VALUE!</v>
      </c>
      <c r="N83" s="40" t="b">
        <f t="shared" si="14"/>
        <v>0</v>
      </c>
      <c r="O83" s="41" t="e">
        <f t="shared" si="15"/>
        <v>#VALUE!</v>
      </c>
      <c r="P83" s="41" t="b">
        <f t="shared" si="16"/>
        <v>0</v>
      </c>
      <c r="Q83" s="27"/>
      <c r="R83" s="27"/>
      <c r="S83" s="43"/>
      <c r="T83" s="27"/>
      <c r="U83" s="1"/>
      <c r="V83" s="1"/>
      <c r="W83" s="15"/>
    </row>
    <row r="84" spans="1:23">
      <c r="A84" s="27"/>
      <c r="B84" s="26"/>
      <c r="C84" s="27"/>
      <c r="D84" s="27"/>
      <c r="E84" s="27"/>
      <c r="F84" s="31" t="b">
        <f t="shared" si="17"/>
        <v>0</v>
      </c>
      <c r="G84" s="32" t="b">
        <f t="shared" si="0"/>
        <v>0</v>
      </c>
      <c r="H84" s="27"/>
      <c r="I84" s="33" t="b">
        <f t="shared" si="1"/>
        <v>0</v>
      </c>
      <c r="J84" s="32" t="b">
        <f t="shared" si="18"/>
        <v>0</v>
      </c>
      <c r="K84" s="27"/>
      <c r="L84" s="33" t="b">
        <f t="shared" si="19"/>
        <v>0</v>
      </c>
      <c r="M84" s="40" t="e">
        <f t="shared" si="13"/>
        <v>#VALUE!</v>
      </c>
      <c r="N84" s="40" t="b">
        <f t="shared" si="14"/>
        <v>0</v>
      </c>
      <c r="O84" s="41" t="e">
        <f t="shared" si="15"/>
        <v>#VALUE!</v>
      </c>
      <c r="P84" s="41" t="b">
        <f t="shared" si="16"/>
        <v>0</v>
      </c>
      <c r="Q84" s="27"/>
      <c r="R84" s="27"/>
      <c r="S84" s="43"/>
      <c r="T84" s="27"/>
      <c r="U84" s="1"/>
      <c r="V84" s="1"/>
      <c r="W84" s="15"/>
    </row>
    <row r="85" spans="1:23">
      <c r="A85" s="27"/>
      <c r="B85" s="26"/>
      <c r="C85" s="27"/>
      <c r="D85" s="27"/>
      <c r="E85" s="27"/>
      <c r="F85" s="31" t="b">
        <f t="shared" si="17"/>
        <v>0</v>
      </c>
      <c r="G85" s="32" t="b">
        <f t="shared" si="0"/>
        <v>0</v>
      </c>
      <c r="H85" s="27"/>
      <c r="I85" s="33" t="b">
        <f t="shared" si="1"/>
        <v>0</v>
      </c>
      <c r="J85" s="32" t="b">
        <f t="shared" si="18"/>
        <v>0</v>
      </c>
      <c r="K85" s="27"/>
      <c r="L85" s="33" t="b">
        <f t="shared" si="19"/>
        <v>0</v>
      </c>
      <c r="M85" s="40" t="e">
        <f t="shared" si="13"/>
        <v>#VALUE!</v>
      </c>
      <c r="N85" s="40" t="b">
        <f t="shared" si="14"/>
        <v>0</v>
      </c>
      <c r="O85" s="41" t="e">
        <f t="shared" si="15"/>
        <v>#VALUE!</v>
      </c>
      <c r="P85" s="41" t="b">
        <f t="shared" si="16"/>
        <v>0</v>
      </c>
      <c r="Q85" s="27"/>
      <c r="R85" s="27"/>
      <c r="S85" s="43"/>
      <c r="T85" s="27"/>
      <c r="U85" s="1"/>
      <c r="V85" s="1"/>
      <c r="W85" s="15"/>
    </row>
    <row r="86" spans="1:23">
      <c r="A86" s="27"/>
      <c r="B86" s="26"/>
      <c r="C86" s="27"/>
      <c r="D86" s="27"/>
      <c r="E86" s="27"/>
      <c r="F86" s="31" t="b">
        <f t="shared" si="17"/>
        <v>0</v>
      </c>
      <c r="G86" s="32" t="b">
        <f t="shared" si="0"/>
        <v>0</v>
      </c>
      <c r="H86" s="27"/>
      <c r="I86" s="33" t="b">
        <f t="shared" si="1"/>
        <v>0</v>
      </c>
      <c r="J86" s="32" t="b">
        <f t="shared" si="18"/>
        <v>0</v>
      </c>
      <c r="K86" s="27"/>
      <c r="L86" s="33" t="b">
        <f t="shared" si="19"/>
        <v>0</v>
      </c>
      <c r="M86" s="40" t="e">
        <f t="shared" si="13"/>
        <v>#VALUE!</v>
      </c>
      <c r="N86" s="40" t="b">
        <f t="shared" si="14"/>
        <v>0</v>
      </c>
      <c r="O86" s="41" t="e">
        <f t="shared" si="15"/>
        <v>#VALUE!</v>
      </c>
      <c r="P86" s="41" t="b">
        <f t="shared" si="16"/>
        <v>0</v>
      </c>
      <c r="Q86" s="27"/>
      <c r="R86" s="27"/>
      <c r="S86" s="43"/>
      <c r="T86" s="27"/>
      <c r="U86" s="1"/>
      <c r="V86" s="1"/>
      <c r="W86" s="15"/>
    </row>
    <row r="87" spans="1:23">
      <c r="A87" s="27"/>
      <c r="B87" s="26"/>
      <c r="C87" s="27"/>
      <c r="D87" s="27"/>
      <c r="E87" s="27"/>
      <c r="F87" s="31" t="b">
        <f t="shared" si="17"/>
        <v>0</v>
      </c>
      <c r="G87" s="32" t="b">
        <f t="shared" si="0"/>
        <v>0</v>
      </c>
      <c r="H87" s="27"/>
      <c r="I87" s="33" t="b">
        <f t="shared" si="1"/>
        <v>0</v>
      </c>
      <c r="J87" s="32" t="b">
        <f t="shared" si="18"/>
        <v>0</v>
      </c>
      <c r="K87" s="27"/>
      <c r="L87" s="33" t="b">
        <f t="shared" si="19"/>
        <v>0</v>
      </c>
      <c r="M87" s="40" t="e">
        <f t="shared" si="13"/>
        <v>#VALUE!</v>
      </c>
      <c r="N87" s="40" t="b">
        <f t="shared" si="14"/>
        <v>0</v>
      </c>
      <c r="O87" s="41" t="e">
        <f t="shared" si="15"/>
        <v>#VALUE!</v>
      </c>
      <c r="P87" s="41" t="b">
        <f t="shared" si="16"/>
        <v>0</v>
      </c>
      <c r="Q87" s="27"/>
      <c r="R87" s="27"/>
      <c r="S87" s="43"/>
      <c r="T87" s="27"/>
      <c r="U87" s="1"/>
      <c r="V87" s="1"/>
      <c r="W87" s="15"/>
    </row>
    <row r="88" spans="1:23">
      <c r="A88" s="27"/>
      <c r="B88" s="26"/>
      <c r="C88" s="27"/>
      <c r="D88" s="27"/>
      <c r="E88" s="27"/>
      <c r="F88" s="31" t="b">
        <f t="shared" si="17"/>
        <v>0</v>
      </c>
      <c r="G88" s="32" t="b">
        <f t="shared" si="0"/>
        <v>0</v>
      </c>
      <c r="H88" s="27"/>
      <c r="I88" s="33" t="b">
        <f t="shared" si="1"/>
        <v>0</v>
      </c>
      <c r="J88" s="32" t="b">
        <f t="shared" si="18"/>
        <v>0</v>
      </c>
      <c r="K88" s="27"/>
      <c r="L88" s="33" t="b">
        <f t="shared" si="19"/>
        <v>0</v>
      </c>
      <c r="M88" s="40" t="e">
        <f t="shared" si="13"/>
        <v>#VALUE!</v>
      </c>
      <c r="N88" s="40" t="b">
        <f t="shared" si="14"/>
        <v>0</v>
      </c>
      <c r="O88" s="41" t="e">
        <f t="shared" si="15"/>
        <v>#VALUE!</v>
      </c>
      <c r="P88" s="41" t="b">
        <f t="shared" si="16"/>
        <v>0</v>
      </c>
      <c r="Q88" s="27"/>
      <c r="R88" s="27"/>
      <c r="S88" s="43"/>
      <c r="T88" s="27"/>
      <c r="U88" s="1"/>
      <c r="V88" s="1"/>
      <c r="W88" s="15"/>
    </row>
    <row r="89" spans="1:23">
      <c r="A89" s="27"/>
      <c r="B89" s="26"/>
      <c r="C89" s="27"/>
      <c r="D89" s="27"/>
      <c r="E89" s="27"/>
      <c r="F89" s="31" t="b">
        <f t="shared" si="17"/>
        <v>0</v>
      </c>
      <c r="G89" s="32" t="b">
        <f t="shared" si="0"/>
        <v>0</v>
      </c>
      <c r="H89" s="27"/>
      <c r="I89" s="33" t="b">
        <f t="shared" si="1"/>
        <v>0</v>
      </c>
      <c r="J89" s="32" t="b">
        <f t="shared" si="18"/>
        <v>0</v>
      </c>
      <c r="K89" s="27"/>
      <c r="L89" s="33" t="b">
        <f t="shared" si="19"/>
        <v>0</v>
      </c>
      <c r="M89" s="40" t="e">
        <f t="shared" si="13"/>
        <v>#VALUE!</v>
      </c>
      <c r="N89" s="40" t="b">
        <f t="shared" si="14"/>
        <v>0</v>
      </c>
      <c r="O89" s="41" t="e">
        <f t="shared" si="15"/>
        <v>#VALUE!</v>
      </c>
      <c r="P89" s="41" t="b">
        <f t="shared" si="16"/>
        <v>0</v>
      </c>
      <c r="Q89" s="27"/>
      <c r="R89" s="27"/>
      <c r="S89" s="43"/>
      <c r="T89" s="27"/>
      <c r="U89" s="1"/>
      <c r="V89" s="1"/>
      <c r="W89" s="15"/>
    </row>
    <row r="90" spans="1:23">
      <c r="A90" s="27"/>
      <c r="B90" s="26"/>
      <c r="C90" s="27"/>
      <c r="D90" s="27"/>
      <c r="E90" s="27"/>
      <c r="F90" s="31" t="b">
        <f t="shared" si="17"/>
        <v>0</v>
      </c>
      <c r="G90" s="32" t="b">
        <f t="shared" si="0"/>
        <v>0</v>
      </c>
      <c r="H90" s="27"/>
      <c r="I90" s="33" t="b">
        <f t="shared" si="1"/>
        <v>0</v>
      </c>
      <c r="J90" s="32" t="b">
        <f t="shared" si="18"/>
        <v>0</v>
      </c>
      <c r="K90" s="27"/>
      <c r="L90" s="33" t="b">
        <f t="shared" si="19"/>
        <v>0</v>
      </c>
      <c r="M90" s="40" t="e">
        <f t="shared" si="13"/>
        <v>#VALUE!</v>
      </c>
      <c r="N90" s="40" t="b">
        <f t="shared" si="14"/>
        <v>0</v>
      </c>
      <c r="O90" s="41" t="e">
        <f t="shared" si="15"/>
        <v>#VALUE!</v>
      </c>
      <c r="P90" s="41" t="b">
        <f t="shared" si="16"/>
        <v>0</v>
      </c>
      <c r="Q90" s="27"/>
      <c r="R90" s="27"/>
      <c r="S90" s="43"/>
      <c r="T90" s="27"/>
      <c r="U90" s="1"/>
      <c r="V90" s="1"/>
      <c r="W90" s="15"/>
    </row>
    <row r="91" spans="1:23">
      <c r="A91" s="27"/>
      <c r="B91" s="26"/>
      <c r="C91" s="27"/>
      <c r="D91" s="27"/>
      <c r="E91" s="27"/>
      <c r="F91" s="31" t="b">
        <f t="shared" si="17"/>
        <v>0</v>
      </c>
      <c r="G91" s="32" t="b">
        <f t="shared" si="0"/>
        <v>0</v>
      </c>
      <c r="H91" s="27"/>
      <c r="I91" s="33" t="b">
        <f t="shared" si="1"/>
        <v>0</v>
      </c>
      <c r="J91" s="32" t="b">
        <f t="shared" si="18"/>
        <v>0</v>
      </c>
      <c r="K91" s="27"/>
      <c r="L91" s="33" t="b">
        <f t="shared" si="19"/>
        <v>0</v>
      </c>
      <c r="M91" s="40" t="e">
        <f t="shared" si="13"/>
        <v>#VALUE!</v>
      </c>
      <c r="N91" s="40" t="b">
        <f t="shared" si="14"/>
        <v>0</v>
      </c>
      <c r="O91" s="41" t="e">
        <f t="shared" si="15"/>
        <v>#VALUE!</v>
      </c>
      <c r="P91" s="41" t="b">
        <f t="shared" si="16"/>
        <v>0</v>
      </c>
      <c r="Q91" s="27"/>
      <c r="R91" s="27"/>
      <c r="S91" s="43"/>
      <c r="T91" s="27"/>
      <c r="U91" s="1"/>
      <c r="V91" s="1"/>
      <c r="W91" s="15"/>
    </row>
    <row r="92" spans="1:23">
      <c r="A92" s="27"/>
      <c r="B92" s="26"/>
      <c r="C92" s="27"/>
      <c r="D92" s="27"/>
      <c r="E92" s="27"/>
      <c r="F92" s="31" t="b">
        <f t="shared" si="17"/>
        <v>0</v>
      </c>
      <c r="G92" s="32" t="b">
        <f t="shared" si="0"/>
        <v>0</v>
      </c>
      <c r="H92" s="27"/>
      <c r="I92" s="33" t="b">
        <f t="shared" si="1"/>
        <v>0</v>
      </c>
      <c r="J92" s="32" t="b">
        <f t="shared" si="18"/>
        <v>0</v>
      </c>
      <c r="K92" s="27"/>
      <c r="L92" s="33" t="b">
        <f t="shared" si="19"/>
        <v>0</v>
      </c>
      <c r="M92" s="40" t="e">
        <f t="shared" si="13"/>
        <v>#VALUE!</v>
      </c>
      <c r="N92" s="40" t="b">
        <f t="shared" si="14"/>
        <v>0</v>
      </c>
      <c r="O92" s="41" t="e">
        <f t="shared" si="15"/>
        <v>#VALUE!</v>
      </c>
      <c r="P92" s="41" t="b">
        <f t="shared" si="16"/>
        <v>0</v>
      </c>
      <c r="Q92" s="27"/>
      <c r="R92" s="27"/>
      <c r="S92" s="43"/>
      <c r="T92" s="27"/>
      <c r="U92" s="1"/>
      <c r="V92" s="1"/>
      <c r="W92" s="15"/>
    </row>
    <row r="93" spans="1:23">
      <c r="A93" s="27"/>
      <c r="B93" s="26"/>
      <c r="C93" s="27"/>
      <c r="D93" s="27"/>
      <c r="E93" s="27"/>
      <c r="F93" s="31" t="b">
        <f t="shared" si="17"/>
        <v>0</v>
      </c>
      <c r="G93" s="32" t="b">
        <f t="shared" si="0"/>
        <v>0</v>
      </c>
      <c r="H93" s="27"/>
      <c r="I93" s="33" t="b">
        <f t="shared" si="1"/>
        <v>0</v>
      </c>
      <c r="J93" s="32" t="b">
        <f t="shared" si="18"/>
        <v>0</v>
      </c>
      <c r="K93" s="27"/>
      <c r="L93" s="33" t="b">
        <f t="shared" si="19"/>
        <v>0</v>
      </c>
      <c r="M93" s="40" t="e">
        <f t="shared" si="13"/>
        <v>#VALUE!</v>
      </c>
      <c r="N93" s="40" t="b">
        <f t="shared" si="14"/>
        <v>0</v>
      </c>
      <c r="O93" s="41" t="e">
        <f t="shared" si="15"/>
        <v>#VALUE!</v>
      </c>
      <c r="P93" s="41" t="b">
        <f t="shared" si="16"/>
        <v>0</v>
      </c>
      <c r="Q93" s="27"/>
      <c r="R93" s="27"/>
      <c r="S93" s="43"/>
      <c r="T93" s="27"/>
      <c r="U93" s="1"/>
      <c r="V93" s="1"/>
      <c r="W93" s="15"/>
    </row>
    <row r="94" spans="1:23">
      <c r="A94" s="27"/>
      <c r="B94" s="26"/>
      <c r="C94" s="27"/>
      <c r="D94" s="27"/>
      <c r="E94" s="27"/>
      <c r="F94" s="31" t="b">
        <f t="shared" si="17"/>
        <v>0</v>
      </c>
      <c r="G94" s="32" t="b">
        <f t="shared" si="0"/>
        <v>0</v>
      </c>
      <c r="H94" s="27"/>
      <c r="I94" s="33" t="b">
        <f t="shared" si="1"/>
        <v>0</v>
      </c>
      <c r="J94" s="32" t="b">
        <f t="shared" si="18"/>
        <v>0</v>
      </c>
      <c r="K94" s="27"/>
      <c r="L94" s="33" t="b">
        <f t="shared" si="19"/>
        <v>0</v>
      </c>
      <c r="M94" s="40" t="e">
        <f t="shared" si="13"/>
        <v>#VALUE!</v>
      </c>
      <c r="N94" s="40" t="b">
        <f t="shared" si="14"/>
        <v>0</v>
      </c>
      <c r="O94" s="41" t="e">
        <f t="shared" si="15"/>
        <v>#VALUE!</v>
      </c>
      <c r="P94" s="41" t="b">
        <f t="shared" si="16"/>
        <v>0</v>
      </c>
      <c r="Q94" s="27"/>
      <c r="R94" s="27"/>
      <c r="S94" s="43"/>
      <c r="T94" s="27"/>
      <c r="U94" s="1"/>
      <c r="V94" s="1"/>
      <c r="W94" s="15"/>
    </row>
    <row r="95" spans="1:23">
      <c r="A95" s="27"/>
      <c r="B95" s="26"/>
      <c r="C95" s="27"/>
      <c r="D95" s="27"/>
      <c r="E95" s="27"/>
      <c r="F95" s="31" t="b">
        <f t="shared" si="17"/>
        <v>0</v>
      </c>
      <c r="G95" s="32" t="b">
        <f t="shared" si="0"/>
        <v>0</v>
      </c>
      <c r="H95" s="27"/>
      <c r="I95" s="33" t="b">
        <f t="shared" si="1"/>
        <v>0</v>
      </c>
      <c r="J95" s="32" t="b">
        <f t="shared" si="18"/>
        <v>0</v>
      </c>
      <c r="K95" s="27"/>
      <c r="L95" s="33" t="b">
        <f t="shared" si="19"/>
        <v>0</v>
      </c>
      <c r="M95" s="40" t="e">
        <f t="shared" si="13"/>
        <v>#VALUE!</v>
      </c>
      <c r="N95" s="40" t="b">
        <f t="shared" si="14"/>
        <v>0</v>
      </c>
      <c r="O95" s="41" t="e">
        <f t="shared" si="15"/>
        <v>#VALUE!</v>
      </c>
      <c r="P95" s="41" t="b">
        <f t="shared" si="16"/>
        <v>0</v>
      </c>
      <c r="Q95" s="27"/>
      <c r="R95" s="27"/>
      <c r="S95" s="43"/>
      <c r="T95" s="27"/>
      <c r="U95" s="1"/>
      <c r="V95" s="1"/>
      <c r="W95" s="15"/>
    </row>
    <row r="96" spans="1:23">
      <c r="A96" s="27"/>
      <c r="B96" s="26"/>
      <c r="C96" s="27"/>
      <c r="D96" s="27"/>
      <c r="E96" s="27"/>
      <c r="F96" s="31" t="b">
        <f t="shared" si="17"/>
        <v>0</v>
      </c>
      <c r="G96" s="32" t="b">
        <f t="shared" si="0"/>
        <v>0</v>
      </c>
      <c r="H96" s="27"/>
      <c r="I96" s="33" t="b">
        <f t="shared" si="1"/>
        <v>0</v>
      </c>
      <c r="J96" s="32" t="b">
        <f t="shared" si="18"/>
        <v>0</v>
      </c>
      <c r="K96" s="27"/>
      <c r="L96" s="33" t="b">
        <f t="shared" si="19"/>
        <v>0</v>
      </c>
      <c r="M96" s="40" t="e">
        <f t="shared" si="13"/>
        <v>#VALUE!</v>
      </c>
      <c r="N96" s="40" t="b">
        <f t="shared" si="14"/>
        <v>0</v>
      </c>
      <c r="O96" s="41" t="e">
        <f t="shared" si="15"/>
        <v>#VALUE!</v>
      </c>
      <c r="P96" s="41" t="b">
        <f t="shared" si="16"/>
        <v>0</v>
      </c>
      <c r="Q96" s="27"/>
      <c r="R96" s="27"/>
      <c r="S96" s="43"/>
      <c r="T96" s="27"/>
      <c r="U96" s="1"/>
      <c r="V96" s="1"/>
      <c r="W96" s="15"/>
    </row>
    <row r="97" spans="1:23">
      <c r="A97" s="27"/>
      <c r="B97" s="26"/>
      <c r="C97" s="27"/>
      <c r="D97" s="27"/>
      <c r="E97" s="27"/>
      <c r="F97" s="31" t="b">
        <f t="shared" si="17"/>
        <v>0</v>
      </c>
      <c r="G97" s="32" t="b">
        <f t="shared" si="0"/>
        <v>0</v>
      </c>
      <c r="H97" s="27"/>
      <c r="I97" s="33" t="b">
        <f t="shared" si="1"/>
        <v>0</v>
      </c>
      <c r="J97" s="32" t="b">
        <f t="shared" si="18"/>
        <v>0</v>
      </c>
      <c r="K97" s="27"/>
      <c r="L97" s="33" t="b">
        <f t="shared" si="19"/>
        <v>0</v>
      </c>
      <c r="M97" s="40" t="e">
        <f t="shared" si="13"/>
        <v>#VALUE!</v>
      </c>
      <c r="N97" s="40" t="b">
        <f t="shared" si="14"/>
        <v>0</v>
      </c>
      <c r="O97" s="41" t="e">
        <f t="shared" si="15"/>
        <v>#VALUE!</v>
      </c>
      <c r="P97" s="41" t="b">
        <f t="shared" si="16"/>
        <v>0</v>
      </c>
      <c r="Q97" s="27"/>
      <c r="R97" s="27"/>
      <c r="S97" s="43"/>
      <c r="T97" s="27"/>
      <c r="U97" s="1"/>
      <c r="V97" s="1"/>
      <c r="W97" s="15"/>
    </row>
    <row r="98" spans="1:23">
      <c r="A98" s="27"/>
      <c r="B98" s="26"/>
      <c r="C98" s="27"/>
      <c r="D98" s="27"/>
      <c r="E98" s="27"/>
      <c r="F98" s="31" t="b">
        <f t="shared" si="17"/>
        <v>0</v>
      </c>
      <c r="G98" s="32" t="b">
        <f t="shared" si="0"/>
        <v>0</v>
      </c>
      <c r="H98" s="27"/>
      <c r="I98" s="33" t="b">
        <f t="shared" si="1"/>
        <v>0</v>
      </c>
      <c r="J98" s="32" t="b">
        <f t="shared" si="18"/>
        <v>0</v>
      </c>
      <c r="K98" s="27"/>
      <c r="L98" s="33" t="b">
        <f t="shared" si="19"/>
        <v>0</v>
      </c>
      <c r="M98" s="40" t="e">
        <f t="shared" si="13"/>
        <v>#VALUE!</v>
      </c>
      <c r="N98" s="40" t="b">
        <f t="shared" si="14"/>
        <v>0</v>
      </c>
      <c r="O98" s="41" t="e">
        <f t="shared" si="15"/>
        <v>#VALUE!</v>
      </c>
      <c r="P98" s="41" t="b">
        <f t="shared" si="16"/>
        <v>0</v>
      </c>
      <c r="Q98" s="27"/>
      <c r="R98" s="27"/>
      <c r="S98" s="43"/>
      <c r="T98" s="27"/>
      <c r="U98" s="1"/>
      <c r="V98" s="1"/>
      <c r="W98" s="15"/>
    </row>
    <row r="99" spans="1:23">
      <c r="A99" s="27"/>
      <c r="B99" s="26"/>
      <c r="C99" s="27"/>
      <c r="D99" s="27"/>
      <c r="E99" s="27"/>
      <c r="F99" s="31" t="b">
        <f t="shared" si="17"/>
        <v>0</v>
      </c>
      <c r="G99" s="32" t="b">
        <f t="shared" si="0"/>
        <v>0</v>
      </c>
      <c r="H99" s="27"/>
      <c r="I99" s="33" t="b">
        <f t="shared" si="1"/>
        <v>0</v>
      </c>
      <c r="J99" s="32" t="b">
        <f t="shared" si="18"/>
        <v>0</v>
      </c>
      <c r="K99" s="27"/>
      <c r="L99" s="33" t="b">
        <f t="shared" si="19"/>
        <v>0</v>
      </c>
      <c r="M99" s="40" t="e">
        <f t="shared" si="13"/>
        <v>#VALUE!</v>
      </c>
      <c r="N99" s="40" t="b">
        <f t="shared" ref="N99:N101" si="20">IF(B99="BUY",(M99*(1-0.1%)),IF(B99="SELL",(M99*(1+0.1%))))</f>
        <v>0</v>
      </c>
      <c r="O99" s="41" t="e">
        <f t="shared" si="15"/>
        <v>#VALUE!</v>
      </c>
      <c r="P99" s="41" t="b">
        <f t="shared" ref="P99:P101" si="21">IF(B99="BUY",(O99*(1-0.1%)),IF(B99="SELL",(O99*(1+0.1%))))</f>
        <v>0</v>
      </c>
      <c r="Q99" s="27"/>
      <c r="R99" s="27"/>
      <c r="S99" s="43"/>
      <c r="T99" s="27"/>
      <c r="U99" s="1"/>
      <c r="V99" s="1"/>
      <c r="W99" s="15"/>
    </row>
    <row r="100" spans="1:23">
      <c r="A100" s="27"/>
      <c r="B100" s="26"/>
      <c r="C100" s="27"/>
      <c r="D100" s="27"/>
      <c r="E100" s="27"/>
      <c r="F100" s="31" t="b">
        <f t="shared" si="17"/>
        <v>0</v>
      </c>
      <c r="G100" s="32" t="b">
        <f t="shared" si="0"/>
        <v>0</v>
      </c>
      <c r="H100" s="27"/>
      <c r="I100" s="33" t="b">
        <f t="shared" si="1"/>
        <v>0</v>
      </c>
      <c r="J100" s="32" t="b">
        <f t="shared" si="18"/>
        <v>0</v>
      </c>
      <c r="K100" s="27"/>
      <c r="L100" s="33" t="b">
        <f t="shared" si="19"/>
        <v>0</v>
      </c>
      <c r="M100" s="40" t="e">
        <f t="shared" si="13"/>
        <v>#VALUE!</v>
      </c>
      <c r="N100" s="40" t="b">
        <f t="shared" si="20"/>
        <v>0</v>
      </c>
      <c r="O100" s="41" t="e">
        <f t="shared" si="15"/>
        <v>#VALUE!</v>
      </c>
      <c r="P100" s="41" t="b">
        <f t="shared" si="21"/>
        <v>0</v>
      </c>
      <c r="Q100" s="27"/>
      <c r="R100" s="27"/>
      <c r="S100" s="43"/>
      <c r="T100" s="27"/>
      <c r="U100" s="1"/>
      <c r="V100" s="1"/>
      <c r="W100" s="15"/>
    </row>
    <row r="101" spans="1:23">
      <c r="A101" s="27"/>
      <c r="B101" s="26"/>
      <c r="C101" s="27"/>
      <c r="D101" s="27"/>
      <c r="E101" s="27"/>
      <c r="F101" s="31" t="b">
        <f t="shared" si="17"/>
        <v>0</v>
      </c>
      <c r="G101" s="32" t="b">
        <f t="shared" si="0"/>
        <v>0</v>
      </c>
      <c r="H101" s="27"/>
      <c r="I101" s="33" t="b">
        <f t="shared" si="1"/>
        <v>0</v>
      </c>
      <c r="J101" s="32" t="b">
        <f t="shared" si="18"/>
        <v>0</v>
      </c>
      <c r="K101" s="27"/>
      <c r="L101" s="33" t="b">
        <f t="shared" si="19"/>
        <v>0</v>
      </c>
      <c r="M101" s="40" t="e">
        <f t="shared" si="13"/>
        <v>#VALUE!</v>
      </c>
      <c r="N101" s="40" t="b">
        <f t="shared" si="20"/>
        <v>0</v>
      </c>
      <c r="O101" s="41" t="e">
        <f t="shared" si="15"/>
        <v>#VALUE!</v>
      </c>
      <c r="P101" s="41" t="b">
        <f t="shared" si="21"/>
        <v>0</v>
      </c>
      <c r="Q101" s="27"/>
      <c r="R101" s="27"/>
      <c r="S101" s="43"/>
      <c r="T101" s="27"/>
      <c r="U101" s="1"/>
      <c r="V101" s="1"/>
      <c r="W101" s="15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64" t="s">
        <v>17</v>
      </c>
      <c r="R102" s="45"/>
      <c r="S102" s="65">
        <f>SUM(S3:S101)</f>
        <v>0</v>
      </c>
      <c r="T102" s="1"/>
      <c r="U102" s="1"/>
      <c r="V102" s="1"/>
      <c r="W102" s="15"/>
    </row>
    <row r="103" spans="1:2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2:23">
      <c r="B104" s="16"/>
      <c r="C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5">
      <c r="A108" s="17"/>
      <c r="B108" s="18"/>
      <c r="C108" s="18"/>
      <c r="D108" s="17"/>
      <c r="E108" s="17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XoPJ2DSa8uVkdFOAfwQ42ggmLgttpevtnULiyZSn6YzsbREaNbkhPmHGeuwU9l/k+fkzTjGDQrWG6nZDj6lOpw==" saltValue="CqREMEXypzsblyGAKwPbXQ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ErrorMessage="1" sqref="B3:B101">
      <formula1>$V$1:$V$2</formula1>
    </dataValidation>
  </dataValidation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5"/>
  <sheetViews>
    <sheetView tabSelected="1" zoomScale="120" zoomScaleNormal="120" workbookViewId="0">
      <selection activeCell="Q12" sqref="Q12"/>
    </sheetView>
  </sheetViews>
  <sheetFormatPr defaultColWidth="9" defaultRowHeight="17.6"/>
  <cols>
    <col min="1" max="1" width="13" customWidth="1"/>
    <col min="2" max="2" width="12.5" customWidth="1"/>
    <col min="3" max="3" width="12" customWidth="1"/>
    <col min="4" max="5" width="12.5" customWidth="1"/>
    <col min="6" max="6" width="12.8303571428571" hidden="1" customWidth="1"/>
    <col min="7" max="7" width="12.8303571428571" customWidth="1"/>
    <col min="8" max="8" width="12.6607142857143" customWidth="1"/>
    <col min="9" max="9" width="13.5" hidden="1" customWidth="1"/>
    <col min="10" max="10" width="12.8303571428571" customWidth="1"/>
    <col min="11" max="11" width="13.5" customWidth="1"/>
    <col min="12" max="12" width="12.5" hidden="1" customWidth="1"/>
    <col min="13" max="13" width="12.6607142857143" customWidth="1"/>
    <col min="14" max="14" width="12.8303571428571" customWidth="1"/>
    <col min="15" max="16" width="13" customWidth="1"/>
    <col min="17" max="17" width="12.5" customWidth="1"/>
    <col min="18" max="18" width="12.8303571428571" customWidth="1"/>
    <col min="19" max="19" width="12.3303571428571" customWidth="1"/>
    <col min="20" max="20" width="13" customWidth="1"/>
    <col min="22" max="22" width="9" hidden="1" customWidth="1"/>
  </cols>
  <sheetData>
    <row r="1" spans="1:24">
      <c r="A1" s="1"/>
      <c r="B1" s="1"/>
      <c r="C1" s="1"/>
      <c r="D1" s="1"/>
      <c r="E1" s="1"/>
      <c r="F1" s="1"/>
      <c r="G1" s="58" t="s">
        <v>25</v>
      </c>
      <c r="H1" s="59"/>
      <c r="I1" s="59"/>
      <c r="J1" s="28" t="s">
        <v>26</v>
      </c>
      <c r="K1" s="29"/>
      <c r="L1" s="29"/>
      <c r="M1" s="60" t="s">
        <v>0</v>
      </c>
      <c r="N1" s="60"/>
      <c r="O1" s="61" t="s">
        <v>1</v>
      </c>
      <c r="P1" s="61"/>
      <c r="Q1" s="1"/>
      <c r="R1" s="1"/>
      <c r="S1" s="1"/>
      <c r="T1" s="1"/>
      <c r="U1" s="1"/>
      <c r="V1" s="1" t="s">
        <v>19</v>
      </c>
      <c r="W1" s="15"/>
      <c r="X1" s="15"/>
    </row>
    <row r="2" spans="1:24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30" t="s">
        <v>27</v>
      </c>
      <c r="K2" s="30" t="s">
        <v>9</v>
      </c>
      <c r="L2" s="30" t="s">
        <v>10</v>
      </c>
      <c r="M2" s="62" t="s">
        <v>28</v>
      </c>
      <c r="N2" s="62" t="s">
        <v>29</v>
      </c>
      <c r="O2" s="63" t="s">
        <v>30</v>
      </c>
      <c r="P2" s="63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 t="s">
        <v>20</v>
      </c>
      <c r="W2" s="15"/>
      <c r="X2" s="15"/>
    </row>
    <row r="3" spans="1:24">
      <c r="A3" s="56">
        <v>46094</v>
      </c>
      <c r="B3" s="26" t="s">
        <v>20</v>
      </c>
      <c r="C3" s="27">
        <v>159209</v>
      </c>
      <c r="D3" s="27">
        <v>156821</v>
      </c>
      <c r="E3" s="27">
        <v>161597</v>
      </c>
      <c r="F3" s="31">
        <f>IF(B3="BUY",(C3*(1-1.5%)),IF(B3="SELL",(C3*(1+1.5%))))</f>
        <v>161597.135</v>
      </c>
      <c r="G3" s="32" t="str">
        <f t="shared" ref="G3:G101" si="0">IF(B3="BUY","2DLL",IF(B3="SELL","2DHH"))</f>
        <v>2DHH</v>
      </c>
      <c r="H3" s="27">
        <v>162463</v>
      </c>
      <c r="I3" s="33">
        <f t="shared" ref="I3:I101" si="1">IF(G3="2DHH",(H3*(1+0.12%)),IF(G3="2DLL",(H3*(1-0.12%))))</f>
        <v>162657.9556</v>
      </c>
      <c r="J3" s="32" t="str">
        <f>IF(B3="BUY","4DLL",IF(B3="SELL","4DHH"))</f>
        <v>4DHH</v>
      </c>
      <c r="K3" s="27">
        <v>145365</v>
      </c>
      <c r="L3" s="33">
        <f>IF(J3="4DHH",(K3*(1+0.12%)),IF(J3="4DLL",(K3*(1-0.12%))))</f>
        <v>145539.438</v>
      </c>
      <c r="M3" s="40">
        <f t="shared" ref="M3:M34" si="2">MROUND(IF(B3="BUY",MAX(F3,I3),IF(B3="SELL",MIN(F3,I3))),1)</f>
        <v>161597</v>
      </c>
      <c r="N3" s="40">
        <f t="shared" ref="N3:N34" si="3">IF(B3="BUY",(M3*(1-0.1%)),IF(B3="SELL",(M3*(1+0.1%))))</f>
        <v>161758.597</v>
      </c>
      <c r="O3" s="41">
        <f t="shared" ref="O3:O34" si="4">MROUND(IF(B3="BUY",MAX(F3,L3),IF(B3="SELL",MIN(F3,L3))),1)</f>
        <v>145539</v>
      </c>
      <c r="P3" s="41">
        <f t="shared" ref="P3:P34" si="5">IF(B3="BUY",(O3*(1-0.1%)),IF(B3="SELL",(O3*(1+0.1%))))</f>
        <v>145684.539</v>
      </c>
      <c r="Q3" s="27">
        <f>(C3-D3)*10</f>
        <v>23880</v>
      </c>
      <c r="R3" s="27">
        <f>(C3-O3)*10</f>
        <v>136700</v>
      </c>
      <c r="S3" s="43">
        <f>Q3+R3</f>
        <v>160580</v>
      </c>
      <c r="T3" s="27"/>
      <c r="U3" s="1"/>
      <c r="V3" s="1"/>
      <c r="W3" s="15"/>
      <c r="X3" s="15"/>
    </row>
    <row r="4" spans="1:24">
      <c r="A4" s="56"/>
      <c r="B4" s="26"/>
      <c r="C4" s="27"/>
      <c r="D4" s="27"/>
      <c r="E4" s="27"/>
      <c r="F4" s="31" t="b">
        <f t="shared" ref="F4:F67" si="6">IF(B4="BUY",(C4*(1-1.5%)),IF(B4="SELL",(C4*(1+1.5%))))</f>
        <v>0</v>
      </c>
      <c r="G4" s="32" t="b">
        <f t="shared" si="0"/>
        <v>0</v>
      </c>
      <c r="H4" s="27"/>
      <c r="I4" s="33" t="b">
        <f t="shared" si="1"/>
        <v>0</v>
      </c>
      <c r="J4" s="32" t="b">
        <f t="shared" ref="J4:J67" si="7">IF(B4="BUY","4DLL",IF(B4="SELL","4DHH"))</f>
        <v>0</v>
      </c>
      <c r="K4" s="27"/>
      <c r="L4" s="33" t="b">
        <f t="shared" ref="L4:L67" si="8">IF(J4="4DHH",(K4*(1+0.12%)),IF(J4="4DLL",(K4*(1-0.12%))))</f>
        <v>0</v>
      </c>
      <c r="M4" s="40">
        <f t="shared" si="2"/>
        <v>0</v>
      </c>
      <c r="N4" s="40" t="b">
        <f t="shared" si="3"/>
        <v>0</v>
      </c>
      <c r="O4" s="41">
        <f t="shared" si="4"/>
        <v>0</v>
      </c>
      <c r="P4" s="41" t="b">
        <f t="shared" si="5"/>
        <v>0</v>
      </c>
      <c r="Q4" s="27"/>
      <c r="R4" s="27"/>
      <c r="S4" s="43"/>
      <c r="T4" s="27"/>
      <c r="U4" s="1"/>
      <c r="V4" s="1"/>
      <c r="W4" s="15"/>
      <c r="X4" s="15"/>
    </row>
    <row r="5" spans="1:24">
      <c r="A5" s="56"/>
      <c r="B5" s="26"/>
      <c r="C5" s="27"/>
      <c r="D5" s="27"/>
      <c r="E5" s="27"/>
      <c r="F5" s="31" t="b">
        <f t="shared" si="6"/>
        <v>0</v>
      </c>
      <c r="G5" s="32" t="b">
        <f t="shared" si="0"/>
        <v>0</v>
      </c>
      <c r="H5" s="27"/>
      <c r="I5" s="33" t="b">
        <f t="shared" si="1"/>
        <v>0</v>
      </c>
      <c r="J5" s="32" t="b">
        <f t="shared" si="7"/>
        <v>0</v>
      </c>
      <c r="K5" s="27"/>
      <c r="L5" s="33" t="b">
        <f t="shared" si="8"/>
        <v>0</v>
      </c>
      <c r="M5" s="40">
        <f t="shared" si="2"/>
        <v>0</v>
      </c>
      <c r="N5" s="40" t="b">
        <f t="shared" si="3"/>
        <v>0</v>
      </c>
      <c r="O5" s="41">
        <f t="shared" si="4"/>
        <v>0</v>
      </c>
      <c r="P5" s="41" t="b">
        <f t="shared" si="5"/>
        <v>0</v>
      </c>
      <c r="Q5" s="27"/>
      <c r="R5" s="27"/>
      <c r="S5" s="43"/>
      <c r="T5" s="27"/>
      <c r="U5" s="1"/>
      <c r="V5" s="1"/>
      <c r="W5" s="15"/>
      <c r="X5" s="15"/>
    </row>
    <row r="6" spans="1:24">
      <c r="A6" s="56"/>
      <c r="B6" s="26"/>
      <c r="C6" s="27"/>
      <c r="D6" s="27"/>
      <c r="E6" s="27"/>
      <c r="F6" s="31" t="b">
        <f t="shared" si="6"/>
        <v>0</v>
      </c>
      <c r="G6" s="32" t="b">
        <f t="shared" si="0"/>
        <v>0</v>
      </c>
      <c r="H6" s="27"/>
      <c r="I6" s="33" t="b">
        <f t="shared" si="1"/>
        <v>0</v>
      </c>
      <c r="J6" s="32" t="b">
        <f t="shared" si="7"/>
        <v>0</v>
      </c>
      <c r="K6" s="27"/>
      <c r="L6" s="33" t="b">
        <f t="shared" si="8"/>
        <v>0</v>
      </c>
      <c r="M6" s="40">
        <f t="shared" si="2"/>
        <v>0</v>
      </c>
      <c r="N6" s="40" t="b">
        <f t="shared" si="3"/>
        <v>0</v>
      </c>
      <c r="O6" s="41">
        <f t="shared" si="4"/>
        <v>0</v>
      </c>
      <c r="P6" s="41" t="b">
        <f t="shared" si="5"/>
        <v>0</v>
      </c>
      <c r="Q6" s="27"/>
      <c r="R6" s="27"/>
      <c r="S6" s="43"/>
      <c r="T6" s="27"/>
      <c r="U6" s="1"/>
      <c r="V6" s="1"/>
      <c r="W6" s="15"/>
      <c r="X6" s="15"/>
    </row>
    <row r="7" spans="1:24">
      <c r="A7" s="56"/>
      <c r="B7" s="26"/>
      <c r="C7" s="27"/>
      <c r="D7" s="27"/>
      <c r="E7" s="27"/>
      <c r="F7" s="31" t="b">
        <f t="shared" si="6"/>
        <v>0</v>
      </c>
      <c r="G7" s="32" t="b">
        <f t="shared" si="0"/>
        <v>0</v>
      </c>
      <c r="H7" s="27"/>
      <c r="I7" s="33" t="b">
        <f t="shared" si="1"/>
        <v>0</v>
      </c>
      <c r="J7" s="32" t="b">
        <f t="shared" si="7"/>
        <v>0</v>
      </c>
      <c r="K7" s="27"/>
      <c r="L7" s="33" t="b">
        <f t="shared" si="8"/>
        <v>0</v>
      </c>
      <c r="M7" s="40">
        <f t="shared" si="2"/>
        <v>0</v>
      </c>
      <c r="N7" s="40" t="b">
        <f t="shared" si="3"/>
        <v>0</v>
      </c>
      <c r="O7" s="41">
        <f t="shared" si="4"/>
        <v>0</v>
      </c>
      <c r="P7" s="41" t="b">
        <f t="shared" si="5"/>
        <v>0</v>
      </c>
      <c r="Q7" s="27"/>
      <c r="R7" s="27"/>
      <c r="S7" s="43"/>
      <c r="T7" s="27"/>
      <c r="U7" s="1"/>
      <c r="V7" s="1"/>
      <c r="W7" s="15"/>
      <c r="X7" s="15"/>
    </row>
    <row r="8" spans="1:24">
      <c r="A8" s="56"/>
      <c r="B8" s="26"/>
      <c r="C8" s="27"/>
      <c r="D8" s="27"/>
      <c r="E8" s="27"/>
      <c r="F8" s="31" t="b">
        <f t="shared" si="6"/>
        <v>0</v>
      </c>
      <c r="G8" s="32" t="b">
        <f t="shared" si="0"/>
        <v>0</v>
      </c>
      <c r="H8" s="27"/>
      <c r="I8" s="33" t="b">
        <f t="shared" si="1"/>
        <v>0</v>
      </c>
      <c r="J8" s="32" t="b">
        <f t="shared" si="7"/>
        <v>0</v>
      </c>
      <c r="K8" s="27"/>
      <c r="L8" s="33" t="b">
        <f t="shared" si="8"/>
        <v>0</v>
      </c>
      <c r="M8" s="40">
        <f t="shared" si="2"/>
        <v>0</v>
      </c>
      <c r="N8" s="40" t="b">
        <f t="shared" si="3"/>
        <v>0</v>
      </c>
      <c r="O8" s="41">
        <f t="shared" si="4"/>
        <v>0</v>
      </c>
      <c r="P8" s="41" t="b">
        <f t="shared" si="5"/>
        <v>0</v>
      </c>
      <c r="Q8" s="27"/>
      <c r="R8" s="27"/>
      <c r="S8" s="43"/>
      <c r="T8" s="27"/>
      <c r="U8" s="1"/>
      <c r="V8" s="1"/>
      <c r="W8" s="15"/>
      <c r="X8" s="15"/>
    </row>
    <row r="9" spans="1:24">
      <c r="A9" s="56"/>
      <c r="B9" s="26"/>
      <c r="C9" s="27"/>
      <c r="D9" s="27"/>
      <c r="E9" s="27"/>
      <c r="F9" s="31" t="b">
        <f t="shared" si="6"/>
        <v>0</v>
      </c>
      <c r="G9" s="32" t="b">
        <f t="shared" si="0"/>
        <v>0</v>
      </c>
      <c r="H9" s="27"/>
      <c r="I9" s="33" t="b">
        <f t="shared" si="1"/>
        <v>0</v>
      </c>
      <c r="J9" s="32" t="b">
        <f t="shared" si="7"/>
        <v>0</v>
      </c>
      <c r="K9" s="27"/>
      <c r="L9" s="33" t="b">
        <f t="shared" si="8"/>
        <v>0</v>
      </c>
      <c r="M9" s="40">
        <f t="shared" si="2"/>
        <v>0</v>
      </c>
      <c r="N9" s="40" t="b">
        <f t="shared" si="3"/>
        <v>0</v>
      </c>
      <c r="O9" s="41">
        <f t="shared" si="4"/>
        <v>0</v>
      </c>
      <c r="P9" s="41" t="b">
        <f t="shared" si="5"/>
        <v>0</v>
      </c>
      <c r="Q9" s="27"/>
      <c r="R9" s="27"/>
      <c r="S9" s="43"/>
      <c r="T9" s="27"/>
      <c r="U9" s="1"/>
      <c r="V9" s="1"/>
      <c r="W9" s="15"/>
      <c r="X9" s="15"/>
    </row>
    <row r="10" spans="1:24">
      <c r="A10" s="56"/>
      <c r="B10" s="26"/>
      <c r="C10" s="27"/>
      <c r="D10" s="27"/>
      <c r="E10" s="27"/>
      <c r="F10" s="31" t="b">
        <f t="shared" si="6"/>
        <v>0</v>
      </c>
      <c r="G10" s="32" t="b">
        <f t="shared" si="0"/>
        <v>0</v>
      </c>
      <c r="H10" s="27"/>
      <c r="I10" s="33" t="b">
        <f t="shared" si="1"/>
        <v>0</v>
      </c>
      <c r="J10" s="32" t="b">
        <f t="shared" si="7"/>
        <v>0</v>
      </c>
      <c r="K10" s="27"/>
      <c r="L10" s="33" t="b">
        <f t="shared" si="8"/>
        <v>0</v>
      </c>
      <c r="M10" s="40">
        <f t="shared" si="2"/>
        <v>0</v>
      </c>
      <c r="N10" s="40" t="b">
        <f t="shared" si="3"/>
        <v>0</v>
      </c>
      <c r="O10" s="41">
        <f t="shared" si="4"/>
        <v>0</v>
      </c>
      <c r="P10" s="41" t="b">
        <f t="shared" si="5"/>
        <v>0</v>
      </c>
      <c r="Q10" s="27"/>
      <c r="R10" s="27"/>
      <c r="S10" s="43"/>
      <c r="T10" s="27"/>
      <c r="U10" s="1"/>
      <c r="V10" s="1"/>
      <c r="W10" s="15"/>
      <c r="X10" s="15"/>
    </row>
    <row r="11" spans="1:24">
      <c r="A11" s="56"/>
      <c r="B11" s="26"/>
      <c r="C11" s="27"/>
      <c r="D11" s="27"/>
      <c r="E11" s="27"/>
      <c r="F11" s="31" t="b">
        <f t="shared" si="6"/>
        <v>0</v>
      </c>
      <c r="G11" s="32" t="b">
        <f t="shared" si="0"/>
        <v>0</v>
      </c>
      <c r="H11" s="27"/>
      <c r="I11" s="33" t="b">
        <f t="shared" si="1"/>
        <v>0</v>
      </c>
      <c r="J11" s="32" t="b">
        <f t="shared" si="7"/>
        <v>0</v>
      </c>
      <c r="K11" s="27"/>
      <c r="L11" s="33" t="b">
        <f t="shared" si="8"/>
        <v>0</v>
      </c>
      <c r="M11" s="40">
        <f t="shared" si="2"/>
        <v>0</v>
      </c>
      <c r="N11" s="40" t="b">
        <f t="shared" si="3"/>
        <v>0</v>
      </c>
      <c r="O11" s="41">
        <f t="shared" si="4"/>
        <v>0</v>
      </c>
      <c r="P11" s="41" t="b">
        <f t="shared" si="5"/>
        <v>0</v>
      </c>
      <c r="Q11" s="27"/>
      <c r="R11" s="27"/>
      <c r="S11" s="43"/>
      <c r="T11" s="27"/>
      <c r="U11" s="1"/>
      <c r="V11" s="1"/>
      <c r="W11" s="15"/>
      <c r="X11" s="15"/>
    </row>
    <row r="12" spans="1:24">
      <c r="A12" s="56"/>
      <c r="B12" s="26"/>
      <c r="C12" s="27"/>
      <c r="D12" s="27"/>
      <c r="E12" s="27"/>
      <c r="F12" s="31" t="b">
        <f t="shared" si="6"/>
        <v>0</v>
      </c>
      <c r="G12" s="32" t="b">
        <f t="shared" si="0"/>
        <v>0</v>
      </c>
      <c r="H12" s="27"/>
      <c r="I12" s="33" t="b">
        <f t="shared" si="1"/>
        <v>0</v>
      </c>
      <c r="J12" s="32" t="b">
        <f t="shared" si="7"/>
        <v>0</v>
      </c>
      <c r="K12" s="27"/>
      <c r="L12" s="33" t="b">
        <f t="shared" si="8"/>
        <v>0</v>
      </c>
      <c r="M12" s="40">
        <f t="shared" si="2"/>
        <v>0</v>
      </c>
      <c r="N12" s="40" t="b">
        <f t="shared" si="3"/>
        <v>0</v>
      </c>
      <c r="O12" s="41">
        <f t="shared" si="4"/>
        <v>0</v>
      </c>
      <c r="P12" s="41" t="b">
        <f t="shared" si="5"/>
        <v>0</v>
      </c>
      <c r="Q12" s="27"/>
      <c r="R12" s="27"/>
      <c r="S12" s="43"/>
      <c r="T12" s="27"/>
      <c r="U12" s="1"/>
      <c r="V12" s="1"/>
      <c r="W12" s="15"/>
      <c r="X12" s="15"/>
    </row>
    <row r="13" spans="1:24">
      <c r="A13" s="56"/>
      <c r="B13" s="26"/>
      <c r="C13" s="27"/>
      <c r="D13" s="27"/>
      <c r="E13" s="27"/>
      <c r="F13" s="31" t="b">
        <f t="shared" si="6"/>
        <v>0</v>
      </c>
      <c r="G13" s="32" t="b">
        <f t="shared" si="0"/>
        <v>0</v>
      </c>
      <c r="H13" s="27"/>
      <c r="I13" s="33" t="b">
        <f t="shared" si="1"/>
        <v>0</v>
      </c>
      <c r="J13" s="32" t="b">
        <f t="shared" si="7"/>
        <v>0</v>
      </c>
      <c r="K13" s="27"/>
      <c r="L13" s="33" t="b">
        <f t="shared" si="8"/>
        <v>0</v>
      </c>
      <c r="M13" s="40">
        <f t="shared" si="2"/>
        <v>0</v>
      </c>
      <c r="N13" s="40" t="b">
        <f t="shared" si="3"/>
        <v>0</v>
      </c>
      <c r="O13" s="41">
        <f t="shared" si="4"/>
        <v>0</v>
      </c>
      <c r="P13" s="41" t="b">
        <f t="shared" si="5"/>
        <v>0</v>
      </c>
      <c r="Q13" s="27"/>
      <c r="R13" s="27"/>
      <c r="S13" s="43"/>
      <c r="T13" s="27"/>
      <c r="U13" s="1"/>
      <c r="V13" s="1"/>
      <c r="W13" s="15"/>
      <c r="X13" s="15"/>
    </row>
    <row r="14" spans="1:24">
      <c r="A14" s="56"/>
      <c r="B14" s="26"/>
      <c r="C14" s="27"/>
      <c r="D14" s="27"/>
      <c r="E14" s="27"/>
      <c r="F14" s="31" t="b">
        <f t="shared" si="6"/>
        <v>0</v>
      </c>
      <c r="G14" s="32" t="b">
        <f t="shared" si="0"/>
        <v>0</v>
      </c>
      <c r="H14" s="27"/>
      <c r="I14" s="33" t="b">
        <f t="shared" si="1"/>
        <v>0</v>
      </c>
      <c r="J14" s="32" t="b">
        <f t="shared" si="7"/>
        <v>0</v>
      </c>
      <c r="K14" s="27"/>
      <c r="L14" s="33" t="b">
        <f t="shared" si="8"/>
        <v>0</v>
      </c>
      <c r="M14" s="40">
        <f t="shared" si="2"/>
        <v>0</v>
      </c>
      <c r="N14" s="40" t="b">
        <f t="shared" si="3"/>
        <v>0</v>
      </c>
      <c r="O14" s="41">
        <f t="shared" si="4"/>
        <v>0</v>
      </c>
      <c r="P14" s="41" t="b">
        <f t="shared" si="5"/>
        <v>0</v>
      </c>
      <c r="Q14" s="27"/>
      <c r="R14" s="27"/>
      <c r="S14" s="43"/>
      <c r="T14" s="27"/>
      <c r="U14" s="1"/>
      <c r="V14" s="1"/>
      <c r="W14" s="15"/>
      <c r="X14" s="15"/>
    </row>
    <row r="15" spans="1:24">
      <c r="A15" s="56"/>
      <c r="B15" s="26"/>
      <c r="C15" s="27"/>
      <c r="D15" s="27"/>
      <c r="E15" s="27"/>
      <c r="F15" s="31" t="b">
        <f t="shared" si="6"/>
        <v>0</v>
      </c>
      <c r="G15" s="32" t="b">
        <f t="shared" si="0"/>
        <v>0</v>
      </c>
      <c r="H15" s="27"/>
      <c r="I15" s="33" t="b">
        <f t="shared" si="1"/>
        <v>0</v>
      </c>
      <c r="J15" s="32" t="b">
        <f t="shared" si="7"/>
        <v>0</v>
      </c>
      <c r="K15" s="27"/>
      <c r="L15" s="33" t="b">
        <f t="shared" si="8"/>
        <v>0</v>
      </c>
      <c r="M15" s="40">
        <f t="shared" si="2"/>
        <v>0</v>
      </c>
      <c r="N15" s="40" t="b">
        <f t="shared" si="3"/>
        <v>0</v>
      </c>
      <c r="O15" s="41">
        <f t="shared" si="4"/>
        <v>0</v>
      </c>
      <c r="P15" s="41" t="b">
        <f t="shared" si="5"/>
        <v>0</v>
      </c>
      <c r="Q15" s="27"/>
      <c r="R15" s="27"/>
      <c r="S15" s="43"/>
      <c r="T15" s="27"/>
      <c r="U15" s="1"/>
      <c r="V15" s="1"/>
      <c r="W15" s="15"/>
      <c r="X15" s="15"/>
    </row>
    <row r="16" spans="1:24">
      <c r="A16" s="56"/>
      <c r="B16" s="26"/>
      <c r="C16" s="27"/>
      <c r="D16" s="27"/>
      <c r="E16" s="27"/>
      <c r="F16" s="31" t="b">
        <f t="shared" si="6"/>
        <v>0</v>
      </c>
      <c r="G16" s="32" t="b">
        <f t="shared" si="0"/>
        <v>0</v>
      </c>
      <c r="H16" s="27"/>
      <c r="I16" s="33" t="b">
        <f t="shared" si="1"/>
        <v>0</v>
      </c>
      <c r="J16" s="32" t="b">
        <f t="shared" si="7"/>
        <v>0</v>
      </c>
      <c r="K16" s="27"/>
      <c r="L16" s="33" t="b">
        <f t="shared" si="8"/>
        <v>0</v>
      </c>
      <c r="M16" s="40">
        <f t="shared" si="2"/>
        <v>0</v>
      </c>
      <c r="N16" s="40" t="b">
        <f t="shared" si="3"/>
        <v>0</v>
      </c>
      <c r="O16" s="41">
        <f t="shared" si="4"/>
        <v>0</v>
      </c>
      <c r="P16" s="41" t="b">
        <f t="shared" si="5"/>
        <v>0</v>
      </c>
      <c r="Q16" s="27"/>
      <c r="R16" s="27"/>
      <c r="S16" s="43"/>
      <c r="T16" s="27"/>
      <c r="U16" s="1"/>
      <c r="V16" s="1"/>
      <c r="W16" s="15"/>
      <c r="X16" s="15"/>
    </row>
    <row r="17" spans="1:24">
      <c r="A17" s="56"/>
      <c r="B17" s="26"/>
      <c r="C17" s="27"/>
      <c r="D17" s="27"/>
      <c r="E17" s="27"/>
      <c r="F17" s="31" t="b">
        <f t="shared" si="6"/>
        <v>0</v>
      </c>
      <c r="G17" s="32" t="b">
        <f t="shared" si="0"/>
        <v>0</v>
      </c>
      <c r="H17" s="27"/>
      <c r="I17" s="33" t="b">
        <f t="shared" si="1"/>
        <v>0</v>
      </c>
      <c r="J17" s="32" t="b">
        <f t="shared" si="7"/>
        <v>0</v>
      </c>
      <c r="K17" s="27"/>
      <c r="L17" s="33" t="b">
        <f t="shared" si="8"/>
        <v>0</v>
      </c>
      <c r="M17" s="40">
        <f t="shared" si="2"/>
        <v>0</v>
      </c>
      <c r="N17" s="40" t="b">
        <f t="shared" si="3"/>
        <v>0</v>
      </c>
      <c r="O17" s="41">
        <f t="shared" si="4"/>
        <v>0</v>
      </c>
      <c r="P17" s="41" t="b">
        <f t="shared" si="5"/>
        <v>0</v>
      </c>
      <c r="Q17" s="27"/>
      <c r="R17" s="27"/>
      <c r="S17" s="43"/>
      <c r="T17" s="27"/>
      <c r="U17" s="1"/>
      <c r="V17" s="1"/>
      <c r="W17" s="15"/>
      <c r="X17" s="15"/>
    </row>
    <row r="18" spans="1:24">
      <c r="A18" s="27"/>
      <c r="B18" s="26"/>
      <c r="C18" s="27"/>
      <c r="D18" s="27"/>
      <c r="E18" s="27"/>
      <c r="F18" s="31" t="b">
        <f t="shared" si="6"/>
        <v>0</v>
      </c>
      <c r="G18" s="32" t="b">
        <f t="shared" si="0"/>
        <v>0</v>
      </c>
      <c r="H18" s="27"/>
      <c r="I18" s="33" t="b">
        <f t="shared" si="1"/>
        <v>0</v>
      </c>
      <c r="J18" s="32" t="b">
        <f t="shared" si="7"/>
        <v>0</v>
      </c>
      <c r="K18" s="27"/>
      <c r="L18" s="33" t="b">
        <f t="shared" si="8"/>
        <v>0</v>
      </c>
      <c r="M18" s="40">
        <f t="shared" si="2"/>
        <v>0</v>
      </c>
      <c r="N18" s="40" t="b">
        <f t="shared" si="3"/>
        <v>0</v>
      </c>
      <c r="O18" s="41">
        <f t="shared" si="4"/>
        <v>0</v>
      </c>
      <c r="P18" s="41" t="b">
        <f t="shared" si="5"/>
        <v>0</v>
      </c>
      <c r="Q18" s="27"/>
      <c r="R18" s="27"/>
      <c r="S18" s="43"/>
      <c r="T18" s="27"/>
      <c r="U18" s="1"/>
      <c r="V18" s="1"/>
      <c r="W18" s="15"/>
      <c r="X18" s="15"/>
    </row>
    <row r="19" spans="1:24">
      <c r="A19" s="27"/>
      <c r="B19" s="26"/>
      <c r="C19" s="27"/>
      <c r="D19" s="27"/>
      <c r="E19" s="27"/>
      <c r="F19" s="31" t="b">
        <f t="shared" si="6"/>
        <v>0</v>
      </c>
      <c r="G19" s="32" t="b">
        <f t="shared" si="0"/>
        <v>0</v>
      </c>
      <c r="H19" s="27"/>
      <c r="I19" s="33" t="b">
        <f t="shared" si="1"/>
        <v>0</v>
      </c>
      <c r="J19" s="32" t="b">
        <f t="shared" si="7"/>
        <v>0</v>
      </c>
      <c r="K19" s="27"/>
      <c r="L19" s="33" t="b">
        <f t="shared" si="8"/>
        <v>0</v>
      </c>
      <c r="M19" s="40">
        <f t="shared" si="2"/>
        <v>0</v>
      </c>
      <c r="N19" s="40" t="b">
        <f t="shared" si="3"/>
        <v>0</v>
      </c>
      <c r="O19" s="41">
        <f t="shared" si="4"/>
        <v>0</v>
      </c>
      <c r="P19" s="41" t="b">
        <f t="shared" si="5"/>
        <v>0</v>
      </c>
      <c r="Q19" s="27"/>
      <c r="R19" s="27"/>
      <c r="S19" s="43"/>
      <c r="T19" s="27"/>
      <c r="U19" s="1"/>
      <c r="V19" s="1"/>
      <c r="W19" s="15"/>
      <c r="X19" s="15"/>
    </row>
    <row r="20" spans="1:24">
      <c r="A20" s="27"/>
      <c r="B20" s="26"/>
      <c r="C20" s="27"/>
      <c r="D20" s="27"/>
      <c r="E20" s="27"/>
      <c r="F20" s="31" t="b">
        <f t="shared" si="6"/>
        <v>0</v>
      </c>
      <c r="G20" s="32" t="b">
        <f t="shared" si="0"/>
        <v>0</v>
      </c>
      <c r="H20" s="27"/>
      <c r="I20" s="33" t="b">
        <f t="shared" si="1"/>
        <v>0</v>
      </c>
      <c r="J20" s="32" t="b">
        <f t="shared" si="7"/>
        <v>0</v>
      </c>
      <c r="K20" s="27"/>
      <c r="L20" s="33" t="b">
        <f t="shared" si="8"/>
        <v>0</v>
      </c>
      <c r="M20" s="40">
        <f t="shared" si="2"/>
        <v>0</v>
      </c>
      <c r="N20" s="40" t="b">
        <f t="shared" si="3"/>
        <v>0</v>
      </c>
      <c r="O20" s="41">
        <f t="shared" si="4"/>
        <v>0</v>
      </c>
      <c r="P20" s="41" t="b">
        <f t="shared" si="5"/>
        <v>0</v>
      </c>
      <c r="Q20" s="27"/>
      <c r="R20" s="27"/>
      <c r="S20" s="43"/>
      <c r="T20" s="27"/>
      <c r="U20" s="1"/>
      <c r="V20" s="1"/>
      <c r="W20" s="15"/>
      <c r="X20" s="15"/>
    </row>
    <row r="21" spans="1:24">
      <c r="A21" s="27"/>
      <c r="B21" s="26"/>
      <c r="C21" s="27"/>
      <c r="D21" s="27"/>
      <c r="E21" s="27"/>
      <c r="F21" s="31" t="b">
        <f t="shared" si="6"/>
        <v>0</v>
      </c>
      <c r="G21" s="32" t="b">
        <f t="shared" si="0"/>
        <v>0</v>
      </c>
      <c r="H21" s="27"/>
      <c r="I21" s="33" t="b">
        <f t="shared" si="1"/>
        <v>0</v>
      </c>
      <c r="J21" s="32" t="b">
        <f t="shared" si="7"/>
        <v>0</v>
      </c>
      <c r="K21" s="27"/>
      <c r="L21" s="33" t="b">
        <f t="shared" si="8"/>
        <v>0</v>
      </c>
      <c r="M21" s="40">
        <f t="shared" si="2"/>
        <v>0</v>
      </c>
      <c r="N21" s="40" t="b">
        <f t="shared" si="3"/>
        <v>0</v>
      </c>
      <c r="O21" s="41">
        <f t="shared" si="4"/>
        <v>0</v>
      </c>
      <c r="P21" s="41" t="b">
        <f t="shared" si="5"/>
        <v>0</v>
      </c>
      <c r="Q21" s="27"/>
      <c r="R21" s="27"/>
      <c r="S21" s="43"/>
      <c r="T21" s="27"/>
      <c r="U21" s="1"/>
      <c r="V21" s="1"/>
      <c r="W21" s="15"/>
      <c r="X21" s="15"/>
    </row>
    <row r="22" spans="1:24">
      <c r="A22" s="27"/>
      <c r="B22" s="26"/>
      <c r="C22" s="27"/>
      <c r="D22" s="27"/>
      <c r="E22" s="27"/>
      <c r="F22" s="31" t="b">
        <f t="shared" si="6"/>
        <v>0</v>
      </c>
      <c r="G22" s="32" t="b">
        <f t="shared" si="0"/>
        <v>0</v>
      </c>
      <c r="H22" s="27"/>
      <c r="I22" s="33" t="b">
        <f t="shared" si="1"/>
        <v>0</v>
      </c>
      <c r="J22" s="32" t="b">
        <f t="shared" si="7"/>
        <v>0</v>
      </c>
      <c r="K22" s="27"/>
      <c r="L22" s="33" t="b">
        <f t="shared" si="8"/>
        <v>0</v>
      </c>
      <c r="M22" s="40">
        <f t="shared" si="2"/>
        <v>0</v>
      </c>
      <c r="N22" s="40" t="b">
        <f t="shared" si="3"/>
        <v>0</v>
      </c>
      <c r="O22" s="41">
        <f t="shared" si="4"/>
        <v>0</v>
      </c>
      <c r="P22" s="41" t="b">
        <f t="shared" si="5"/>
        <v>0</v>
      </c>
      <c r="Q22" s="27"/>
      <c r="R22" s="27"/>
      <c r="S22" s="43"/>
      <c r="T22" s="27"/>
      <c r="U22" s="1"/>
      <c r="V22" s="1"/>
      <c r="W22" s="15"/>
      <c r="X22" s="15"/>
    </row>
    <row r="23" spans="1:24">
      <c r="A23" s="27"/>
      <c r="B23" s="26"/>
      <c r="C23" s="27"/>
      <c r="D23" s="27"/>
      <c r="E23" s="27"/>
      <c r="F23" s="31" t="b">
        <f t="shared" si="6"/>
        <v>0</v>
      </c>
      <c r="G23" s="32" t="b">
        <f t="shared" si="0"/>
        <v>0</v>
      </c>
      <c r="H23" s="27"/>
      <c r="I23" s="33" t="b">
        <f t="shared" si="1"/>
        <v>0</v>
      </c>
      <c r="J23" s="32" t="b">
        <f t="shared" si="7"/>
        <v>0</v>
      </c>
      <c r="K23" s="27"/>
      <c r="L23" s="33" t="b">
        <f t="shared" si="8"/>
        <v>0</v>
      </c>
      <c r="M23" s="40">
        <f t="shared" si="2"/>
        <v>0</v>
      </c>
      <c r="N23" s="40" t="b">
        <f t="shared" si="3"/>
        <v>0</v>
      </c>
      <c r="O23" s="41">
        <f t="shared" si="4"/>
        <v>0</v>
      </c>
      <c r="P23" s="41" t="b">
        <f t="shared" si="5"/>
        <v>0</v>
      </c>
      <c r="Q23" s="27"/>
      <c r="R23" s="27"/>
      <c r="S23" s="43"/>
      <c r="T23" s="27"/>
      <c r="U23" s="1"/>
      <c r="V23" s="1"/>
      <c r="W23" s="15"/>
      <c r="X23" s="15"/>
    </row>
    <row r="24" spans="1:24">
      <c r="A24" s="27"/>
      <c r="B24" s="26"/>
      <c r="C24" s="27"/>
      <c r="D24" s="27"/>
      <c r="E24" s="27"/>
      <c r="F24" s="31" t="b">
        <f t="shared" si="6"/>
        <v>0</v>
      </c>
      <c r="G24" s="32" t="b">
        <f t="shared" si="0"/>
        <v>0</v>
      </c>
      <c r="H24" s="27"/>
      <c r="I24" s="33" t="b">
        <f t="shared" si="1"/>
        <v>0</v>
      </c>
      <c r="J24" s="32" t="b">
        <f t="shared" si="7"/>
        <v>0</v>
      </c>
      <c r="K24" s="27"/>
      <c r="L24" s="33" t="b">
        <f t="shared" si="8"/>
        <v>0</v>
      </c>
      <c r="M24" s="40">
        <f t="shared" si="2"/>
        <v>0</v>
      </c>
      <c r="N24" s="40" t="b">
        <f t="shared" si="3"/>
        <v>0</v>
      </c>
      <c r="O24" s="41">
        <f t="shared" si="4"/>
        <v>0</v>
      </c>
      <c r="P24" s="41" t="b">
        <f t="shared" si="5"/>
        <v>0</v>
      </c>
      <c r="Q24" s="27"/>
      <c r="R24" s="27"/>
      <c r="S24" s="43"/>
      <c r="T24" s="27"/>
      <c r="U24" s="1"/>
      <c r="V24" s="1"/>
      <c r="W24" s="15"/>
      <c r="X24" s="15"/>
    </row>
    <row r="25" spans="1:24">
      <c r="A25" s="27"/>
      <c r="B25" s="26"/>
      <c r="C25" s="27"/>
      <c r="D25" s="27"/>
      <c r="E25" s="27"/>
      <c r="F25" s="31" t="b">
        <f t="shared" si="6"/>
        <v>0</v>
      </c>
      <c r="G25" s="32" t="b">
        <f t="shared" si="0"/>
        <v>0</v>
      </c>
      <c r="H25" s="27"/>
      <c r="I25" s="33" t="b">
        <f t="shared" si="1"/>
        <v>0</v>
      </c>
      <c r="J25" s="32" t="b">
        <f t="shared" si="7"/>
        <v>0</v>
      </c>
      <c r="K25" s="27"/>
      <c r="L25" s="33" t="b">
        <f t="shared" si="8"/>
        <v>0</v>
      </c>
      <c r="M25" s="40">
        <f t="shared" si="2"/>
        <v>0</v>
      </c>
      <c r="N25" s="40" t="b">
        <f t="shared" si="3"/>
        <v>0</v>
      </c>
      <c r="O25" s="41">
        <f t="shared" si="4"/>
        <v>0</v>
      </c>
      <c r="P25" s="41" t="b">
        <f t="shared" si="5"/>
        <v>0</v>
      </c>
      <c r="Q25" s="27"/>
      <c r="R25" s="27"/>
      <c r="S25" s="43"/>
      <c r="T25" s="27"/>
      <c r="U25" s="1"/>
      <c r="V25" s="1"/>
      <c r="W25" s="15"/>
      <c r="X25" s="15"/>
    </row>
    <row r="26" spans="1:24">
      <c r="A26" s="27"/>
      <c r="B26" s="26"/>
      <c r="C26" s="27"/>
      <c r="D26" s="27"/>
      <c r="E26" s="27"/>
      <c r="F26" s="31" t="b">
        <f t="shared" si="6"/>
        <v>0</v>
      </c>
      <c r="G26" s="32" t="b">
        <f t="shared" si="0"/>
        <v>0</v>
      </c>
      <c r="H26" s="27"/>
      <c r="I26" s="33" t="b">
        <f t="shared" si="1"/>
        <v>0</v>
      </c>
      <c r="J26" s="32" t="b">
        <f t="shared" si="7"/>
        <v>0</v>
      </c>
      <c r="K26" s="27"/>
      <c r="L26" s="33" t="b">
        <f t="shared" si="8"/>
        <v>0</v>
      </c>
      <c r="M26" s="40">
        <f t="shared" si="2"/>
        <v>0</v>
      </c>
      <c r="N26" s="40" t="b">
        <f t="shared" si="3"/>
        <v>0</v>
      </c>
      <c r="O26" s="41">
        <f t="shared" si="4"/>
        <v>0</v>
      </c>
      <c r="P26" s="41" t="b">
        <f t="shared" si="5"/>
        <v>0</v>
      </c>
      <c r="Q26" s="27"/>
      <c r="R26" s="27"/>
      <c r="S26" s="43"/>
      <c r="T26" s="27"/>
      <c r="U26" s="1"/>
      <c r="V26" s="1"/>
      <c r="W26" s="15"/>
      <c r="X26" s="15"/>
    </row>
    <row r="27" spans="1:24">
      <c r="A27" s="27"/>
      <c r="B27" s="26"/>
      <c r="C27" s="27"/>
      <c r="D27" s="27"/>
      <c r="E27" s="27"/>
      <c r="F27" s="31" t="b">
        <f t="shared" si="6"/>
        <v>0</v>
      </c>
      <c r="G27" s="32" t="b">
        <f t="shared" si="0"/>
        <v>0</v>
      </c>
      <c r="H27" s="27"/>
      <c r="I27" s="33" t="b">
        <f t="shared" si="1"/>
        <v>0</v>
      </c>
      <c r="J27" s="32" t="b">
        <f t="shared" si="7"/>
        <v>0</v>
      </c>
      <c r="K27" s="27"/>
      <c r="L27" s="33" t="b">
        <f t="shared" si="8"/>
        <v>0</v>
      </c>
      <c r="M27" s="40">
        <f t="shared" si="2"/>
        <v>0</v>
      </c>
      <c r="N27" s="40" t="b">
        <f t="shared" si="3"/>
        <v>0</v>
      </c>
      <c r="O27" s="41">
        <f t="shared" si="4"/>
        <v>0</v>
      </c>
      <c r="P27" s="41" t="b">
        <f t="shared" si="5"/>
        <v>0</v>
      </c>
      <c r="Q27" s="27"/>
      <c r="R27" s="27"/>
      <c r="S27" s="43"/>
      <c r="T27" s="27"/>
      <c r="U27" s="1"/>
      <c r="V27" s="1"/>
      <c r="W27" s="15"/>
      <c r="X27" s="15"/>
    </row>
    <row r="28" spans="1:24">
      <c r="A28" s="27"/>
      <c r="B28" s="26"/>
      <c r="C28" s="27"/>
      <c r="D28" s="27"/>
      <c r="E28" s="27"/>
      <c r="F28" s="31" t="b">
        <f t="shared" si="6"/>
        <v>0</v>
      </c>
      <c r="G28" s="32" t="b">
        <f t="shared" si="0"/>
        <v>0</v>
      </c>
      <c r="H28" s="27"/>
      <c r="I28" s="33" t="b">
        <f t="shared" si="1"/>
        <v>0</v>
      </c>
      <c r="J28" s="32" t="b">
        <f t="shared" si="7"/>
        <v>0</v>
      </c>
      <c r="K28" s="27"/>
      <c r="L28" s="33" t="b">
        <f t="shared" si="8"/>
        <v>0</v>
      </c>
      <c r="M28" s="40">
        <f t="shared" si="2"/>
        <v>0</v>
      </c>
      <c r="N28" s="40" t="b">
        <f t="shared" si="3"/>
        <v>0</v>
      </c>
      <c r="O28" s="41">
        <f t="shared" si="4"/>
        <v>0</v>
      </c>
      <c r="P28" s="41" t="b">
        <f t="shared" si="5"/>
        <v>0</v>
      </c>
      <c r="Q28" s="27"/>
      <c r="R28" s="27"/>
      <c r="S28" s="43"/>
      <c r="T28" s="27"/>
      <c r="U28" s="1"/>
      <c r="V28" s="1"/>
      <c r="W28" s="15"/>
      <c r="X28" s="15"/>
    </row>
    <row r="29" spans="1:24">
      <c r="A29" s="27"/>
      <c r="B29" s="26"/>
      <c r="C29" s="27"/>
      <c r="D29" s="27"/>
      <c r="E29" s="27"/>
      <c r="F29" s="31" t="b">
        <f t="shared" si="6"/>
        <v>0</v>
      </c>
      <c r="G29" s="32" t="b">
        <f t="shared" si="0"/>
        <v>0</v>
      </c>
      <c r="H29" s="27"/>
      <c r="I29" s="33" t="b">
        <f t="shared" si="1"/>
        <v>0</v>
      </c>
      <c r="J29" s="32" t="b">
        <f t="shared" si="7"/>
        <v>0</v>
      </c>
      <c r="K29" s="27"/>
      <c r="L29" s="33" t="b">
        <f t="shared" si="8"/>
        <v>0</v>
      </c>
      <c r="M29" s="40">
        <f t="shared" si="2"/>
        <v>0</v>
      </c>
      <c r="N29" s="40" t="b">
        <f t="shared" si="3"/>
        <v>0</v>
      </c>
      <c r="O29" s="41">
        <f t="shared" si="4"/>
        <v>0</v>
      </c>
      <c r="P29" s="41" t="b">
        <f t="shared" si="5"/>
        <v>0</v>
      </c>
      <c r="Q29" s="27"/>
      <c r="R29" s="27"/>
      <c r="S29" s="43"/>
      <c r="T29" s="27"/>
      <c r="U29" s="1"/>
      <c r="V29" s="1"/>
      <c r="W29" s="15"/>
      <c r="X29" s="15"/>
    </row>
    <row r="30" spans="1:24">
      <c r="A30" s="27"/>
      <c r="B30" s="26"/>
      <c r="C30" s="27"/>
      <c r="D30" s="27"/>
      <c r="E30" s="27"/>
      <c r="F30" s="31" t="b">
        <f t="shared" si="6"/>
        <v>0</v>
      </c>
      <c r="G30" s="32" t="b">
        <f t="shared" si="0"/>
        <v>0</v>
      </c>
      <c r="H30" s="27"/>
      <c r="I30" s="33" t="b">
        <f t="shared" si="1"/>
        <v>0</v>
      </c>
      <c r="J30" s="32" t="b">
        <f t="shared" si="7"/>
        <v>0</v>
      </c>
      <c r="K30" s="27"/>
      <c r="L30" s="33" t="b">
        <f t="shared" si="8"/>
        <v>0</v>
      </c>
      <c r="M30" s="40">
        <f t="shared" si="2"/>
        <v>0</v>
      </c>
      <c r="N30" s="40" t="b">
        <f t="shared" si="3"/>
        <v>0</v>
      </c>
      <c r="O30" s="41">
        <f t="shared" si="4"/>
        <v>0</v>
      </c>
      <c r="P30" s="41" t="b">
        <f t="shared" si="5"/>
        <v>0</v>
      </c>
      <c r="Q30" s="27"/>
      <c r="R30" s="27"/>
      <c r="S30" s="43"/>
      <c r="T30" s="27"/>
      <c r="U30" s="1"/>
      <c r="V30" s="1"/>
      <c r="W30" s="15"/>
      <c r="X30" s="15"/>
    </row>
    <row r="31" spans="1:24">
      <c r="A31" s="27"/>
      <c r="B31" s="26"/>
      <c r="C31" s="27"/>
      <c r="D31" s="27"/>
      <c r="E31" s="27"/>
      <c r="F31" s="31" t="b">
        <f t="shared" si="6"/>
        <v>0</v>
      </c>
      <c r="G31" s="32" t="b">
        <f t="shared" si="0"/>
        <v>0</v>
      </c>
      <c r="H31" s="27"/>
      <c r="I31" s="33" t="b">
        <f t="shared" si="1"/>
        <v>0</v>
      </c>
      <c r="J31" s="32" t="b">
        <f t="shared" si="7"/>
        <v>0</v>
      </c>
      <c r="K31" s="27"/>
      <c r="L31" s="33" t="b">
        <f t="shared" si="8"/>
        <v>0</v>
      </c>
      <c r="M31" s="40">
        <f t="shared" si="2"/>
        <v>0</v>
      </c>
      <c r="N31" s="40" t="b">
        <f t="shared" si="3"/>
        <v>0</v>
      </c>
      <c r="O31" s="41">
        <f t="shared" si="4"/>
        <v>0</v>
      </c>
      <c r="P31" s="41" t="b">
        <f t="shared" si="5"/>
        <v>0</v>
      </c>
      <c r="Q31" s="27"/>
      <c r="R31" s="27"/>
      <c r="S31" s="43"/>
      <c r="T31" s="27"/>
      <c r="U31" s="1"/>
      <c r="V31" s="1"/>
      <c r="W31" s="15"/>
      <c r="X31" s="15"/>
    </row>
    <row r="32" spans="1:24">
      <c r="A32" s="27"/>
      <c r="B32" s="26"/>
      <c r="C32" s="27"/>
      <c r="D32" s="27"/>
      <c r="E32" s="27"/>
      <c r="F32" s="31" t="b">
        <f t="shared" si="6"/>
        <v>0</v>
      </c>
      <c r="G32" s="32" t="b">
        <f t="shared" si="0"/>
        <v>0</v>
      </c>
      <c r="H32" s="27"/>
      <c r="I32" s="33" t="b">
        <f t="shared" si="1"/>
        <v>0</v>
      </c>
      <c r="J32" s="32" t="b">
        <f t="shared" si="7"/>
        <v>0</v>
      </c>
      <c r="K32" s="27"/>
      <c r="L32" s="33" t="b">
        <f t="shared" si="8"/>
        <v>0</v>
      </c>
      <c r="M32" s="40">
        <f t="shared" si="2"/>
        <v>0</v>
      </c>
      <c r="N32" s="40" t="b">
        <f t="shared" si="3"/>
        <v>0</v>
      </c>
      <c r="O32" s="41">
        <f t="shared" si="4"/>
        <v>0</v>
      </c>
      <c r="P32" s="41" t="b">
        <f t="shared" si="5"/>
        <v>0</v>
      </c>
      <c r="Q32" s="27"/>
      <c r="R32" s="27"/>
      <c r="S32" s="43"/>
      <c r="T32" s="27"/>
      <c r="U32" s="1"/>
      <c r="V32" s="1"/>
      <c r="W32" s="15"/>
      <c r="X32" s="15"/>
    </row>
    <row r="33" spans="1:24">
      <c r="A33" s="27"/>
      <c r="B33" s="26"/>
      <c r="C33" s="27"/>
      <c r="D33" s="27"/>
      <c r="E33" s="27"/>
      <c r="F33" s="31" t="b">
        <f t="shared" si="6"/>
        <v>0</v>
      </c>
      <c r="G33" s="32" t="b">
        <f t="shared" si="0"/>
        <v>0</v>
      </c>
      <c r="H33" s="27"/>
      <c r="I33" s="33" t="b">
        <f t="shared" si="1"/>
        <v>0</v>
      </c>
      <c r="J33" s="32" t="b">
        <f t="shared" si="7"/>
        <v>0</v>
      </c>
      <c r="K33" s="27"/>
      <c r="L33" s="33" t="b">
        <f t="shared" si="8"/>
        <v>0</v>
      </c>
      <c r="M33" s="40">
        <f t="shared" si="2"/>
        <v>0</v>
      </c>
      <c r="N33" s="40" t="b">
        <f t="shared" si="3"/>
        <v>0</v>
      </c>
      <c r="O33" s="41">
        <f t="shared" si="4"/>
        <v>0</v>
      </c>
      <c r="P33" s="41" t="b">
        <f t="shared" si="5"/>
        <v>0</v>
      </c>
      <c r="Q33" s="27"/>
      <c r="R33" s="27"/>
      <c r="S33" s="43"/>
      <c r="T33" s="27"/>
      <c r="U33" s="1"/>
      <c r="V33" s="1"/>
      <c r="W33" s="15"/>
      <c r="X33" s="15"/>
    </row>
    <row r="34" spans="1:24">
      <c r="A34" s="27"/>
      <c r="B34" s="26"/>
      <c r="C34" s="27"/>
      <c r="D34" s="27"/>
      <c r="E34" s="27"/>
      <c r="F34" s="31" t="b">
        <f t="shared" si="6"/>
        <v>0</v>
      </c>
      <c r="G34" s="32" t="b">
        <f t="shared" si="0"/>
        <v>0</v>
      </c>
      <c r="H34" s="27"/>
      <c r="I34" s="33" t="b">
        <f t="shared" si="1"/>
        <v>0</v>
      </c>
      <c r="J34" s="32" t="b">
        <f t="shared" si="7"/>
        <v>0</v>
      </c>
      <c r="K34" s="27"/>
      <c r="L34" s="33" t="b">
        <f t="shared" si="8"/>
        <v>0</v>
      </c>
      <c r="M34" s="40">
        <f t="shared" si="2"/>
        <v>0</v>
      </c>
      <c r="N34" s="40" t="b">
        <f t="shared" si="3"/>
        <v>0</v>
      </c>
      <c r="O34" s="41">
        <f t="shared" si="4"/>
        <v>0</v>
      </c>
      <c r="P34" s="41" t="b">
        <f t="shared" si="5"/>
        <v>0</v>
      </c>
      <c r="Q34" s="27"/>
      <c r="R34" s="27"/>
      <c r="S34" s="43"/>
      <c r="T34" s="27"/>
      <c r="U34" s="1"/>
      <c r="V34" s="1"/>
      <c r="W34" s="15"/>
      <c r="X34" s="15"/>
    </row>
    <row r="35" spans="1:24">
      <c r="A35" s="27"/>
      <c r="B35" s="26"/>
      <c r="C35" s="27"/>
      <c r="D35" s="27"/>
      <c r="E35" s="27"/>
      <c r="F35" s="31" t="b">
        <f t="shared" si="6"/>
        <v>0</v>
      </c>
      <c r="G35" s="32" t="b">
        <f t="shared" si="0"/>
        <v>0</v>
      </c>
      <c r="H35" s="27"/>
      <c r="I35" s="33" t="b">
        <f t="shared" si="1"/>
        <v>0</v>
      </c>
      <c r="J35" s="32" t="b">
        <f t="shared" si="7"/>
        <v>0</v>
      </c>
      <c r="K35" s="27"/>
      <c r="L35" s="33" t="b">
        <f t="shared" si="8"/>
        <v>0</v>
      </c>
      <c r="M35" s="40">
        <f t="shared" ref="M35:M66" si="9">MROUND(IF(B35="BUY",MAX(F35,I35),IF(B35="SELL",MIN(F35,I35))),1)</f>
        <v>0</v>
      </c>
      <c r="N35" s="40" t="b">
        <f t="shared" ref="N35:N66" si="10">IF(B35="BUY",(M35*(1-0.1%)),IF(B35="SELL",(M35*(1+0.1%))))</f>
        <v>0</v>
      </c>
      <c r="O35" s="41" t="e">
        <f t="shared" ref="O35:O66" si="11">MROUND(IF(B35="BUY",MAX(F35,L35),IF(B35="SELL",MIN(F35,L35))),1)</f>
        <v>#VALUE!</v>
      </c>
      <c r="P35" s="41" t="b">
        <f t="shared" ref="P35:P66" si="12">IF(B35="BUY",(O35*(1-0.1%)),IF(B35="SELL",(O35*(1+0.1%))))</f>
        <v>0</v>
      </c>
      <c r="Q35" s="27"/>
      <c r="R35" s="27"/>
      <c r="S35" s="43"/>
      <c r="T35" s="27"/>
      <c r="U35" s="1"/>
      <c r="V35" s="1"/>
      <c r="W35" s="15"/>
      <c r="X35" s="15"/>
    </row>
    <row r="36" spans="1:24">
      <c r="A36" s="27"/>
      <c r="B36" s="26"/>
      <c r="C36" s="27"/>
      <c r="D36" s="27"/>
      <c r="E36" s="27"/>
      <c r="F36" s="31" t="b">
        <f t="shared" si="6"/>
        <v>0</v>
      </c>
      <c r="G36" s="32" t="b">
        <f t="shared" si="0"/>
        <v>0</v>
      </c>
      <c r="H36" s="27"/>
      <c r="I36" s="33" t="b">
        <f t="shared" si="1"/>
        <v>0</v>
      </c>
      <c r="J36" s="32" t="b">
        <f t="shared" si="7"/>
        <v>0</v>
      </c>
      <c r="K36" s="27"/>
      <c r="L36" s="33" t="b">
        <f t="shared" si="8"/>
        <v>0</v>
      </c>
      <c r="M36" s="40">
        <f t="shared" si="9"/>
        <v>0</v>
      </c>
      <c r="N36" s="40" t="b">
        <f t="shared" si="10"/>
        <v>0</v>
      </c>
      <c r="O36" s="41" t="e">
        <f t="shared" si="11"/>
        <v>#VALUE!</v>
      </c>
      <c r="P36" s="41" t="b">
        <f t="shared" si="12"/>
        <v>0</v>
      </c>
      <c r="Q36" s="27"/>
      <c r="R36" s="27"/>
      <c r="S36" s="43"/>
      <c r="T36" s="27"/>
      <c r="U36" s="1"/>
      <c r="V36" s="1"/>
      <c r="W36" s="15"/>
      <c r="X36" s="15"/>
    </row>
    <row r="37" spans="1:24">
      <c r="A37" s="27"/>
      <c r="B37" s="26"/>
      <c r="C37" s="27"/>
      <c r="D37" s="27"/>
      <c r="E37" s="27"/>
      <c r="F37" s="31" t="b">
        <f t="shared" si="6"/>
        <v>0</v>
      </c>
      <c r="G37" s="32" t="b">
        <f t="shared" si="0"/>
        <v>0</v>
      </c>
      <c r="H37" s="27"/>
      <c r="I37" s="33" t="b">
        <f t="shared" si="1"/>
        <v>0</v>
      </c>
      <c r="J37" s="32" t="b">
        <f t="shared" si="7"/>
        <v>0</v>
      </c>
      <c r="K37" s="27"/>
      <c r="L37" s="33" t="b">
        <f t="shared" si="8"/>
        <v>0</v>
      </c>
      <c r="M37" s="40">
        <f t="shared" si="9"/>
        <v>0</v>
      </c>
      <c r="N37" s="40" t="b">
        <f t="shared" si="10"/>
        <v>0</v>
      </c>
      <c r="O37" s="41" t="e">
        <f t="shared" si="11"/>
        <v>#VALUE!</v>
      </c>
      <c r="P37" s="41" t="b">
        <f t="shared" si="12"/>
        <v>0</v>
      </c>
      <c r="Q37" s="27"/>
      <c r="R37" s="27"/>
      <c r="S37" s="43"/>
      <c r="T37" s="27"/>
      <c r="U37" s="1"/>
      <c r="V37" s="1"/>
      <c r="W37" s="15"/>
      <c r="X37" s="15"/>
    </row>
    <row r="38" spans="1:24">
      <c r="A38" s="27"/>
      <c r="B38" s="26"/>
      <c r="C38" s="27"/>
      <c r="D38" s="27"/>
      <c r="E38" s="27"/>
      <c r="F38" s="31" t="b">
        <f t="shared" si="6"/>
        <v>0</v>
      </c>
      <c r="G38" s="32" t="b">
        <f t="shared" si="0"/>
        <v>0</v>
      </c>
      <c r="H38" s="27"/>
      <c r="I38" s="33" t="b">
        <f t="shared" si="1"/>
        <v>0</v>
      </c>
      <c r="J38" s="32" t="b">
        <f t="shared" si="7"/>
        <v>0</v>
      </c>
      <c r="K38" s="27"/>
      <c r="L38" s="33" t="b">
        <f t="shared" si="8"/>
        <v>0</v>
      </c>
      <c r="M38" s="40">
        <f t="shared" si="9"/>
        <v>0</v>
      </c>
      <c r="N38" s="40" t="b">
        <f t="shared" si="10"/>
        <v>0</v>
      </c>
      <c r="O38" s="41" t="e">
        <f t="shared" si="11"/>
        <v>#VALUE!</v>
      </c>
      <c r="P38" s="41" t="b">
        <f t="shared" si="12"/>
        <v>0</v>
      </c>
      <c r="Q38" s="27"/>
      <c r="R38" s="27"/>
      <c r="S38" s="43"/>
      <c r="T38" s="27"/>
      <c r="U38" s="1"/>
      <c r="V38" s="1"/>
      <c r="W38" s="15"/>
      <c r="X38" s="15"/>
    </row>
    <row r="39" spans="1:24">
      <c r="A39" s="27"/>
      <c r="B39" s="26"/>
      <c r="C39" s="27"/>
      <c r="D39" s="27"/>
      <c r="E39" s="27"/>
      <c r="F39" s="31" t="b">
        <f t="shared" si="6"/>
        <v>0</v>
      </c>
      <c r="G39" s="32" t="b">
        <f t="shared" si="0"/>
        <v>0</v>
      </c>
      <c r="H39" s="27"/>
      <c r="I39" s="33" t="b">
        <f t="shared" si="1"/>
        <v>0</v>
      </c>
      <c r="J39" s="32" t="b">
        <f t="shared" si="7"/>
        <v>0</v>
      </c>
      <c r="K39" s="27"/>
      <c r="L39" s="33" t="b">
        <f t="shared" si="8"/>
        <v>0</v>
      </c>
      <c r="M39" s="40">
        <f t="shared" si="9"/>
        <v>0</v>
      </c>
      <c r="N39" s="40" t="b">
        <f t="shared" si="10"/>
        <v>0</v>
      </c>
      <c r="O39" s="41" t="e">
        <f t="shared" si="11"/>
        <v>#VALUE!</v>
      </c>
      <c r="P39" s="41" t="b">
        <f t="shared" si="12"/>
        <v>0</v>
      </c>
      <c r="Q39" s="27"/>
      <c r="R39" s="27"/>
      <c r="S39" s="43"/>
      <c r="T39" s="27"/>
      <c r="U39" s="1"/>
      <c r="V39" s="1"/>
      <c r="W39" s="15"/>
      <c r="X39" s="15"/>
    </row>
    <row r="40" spans="1:24">
      <c r="A40" s="27"/>
      <c r="B40" s="26"/>
      <c r="C40" s="27"/>
      <c r="D40" s="27"/>
      <c r="E40" s="27"/>
      <c r="F40" s="31" t="b">
        <f t="shared" si="6"/>
        <v>0</v>
      </c>
      <c r="G40" s="32" t="b">
        <f t="shared" si="0"/>
        <v>0</v>
      </c>
      <c r="H40" s="27"/>
      <c r="I40" s="33" t="b">
        <f t="shared" si="1"/>
        <v>0</v>
      </c>
      <c r="J40" s="32" t="b">
        <f t="shared" si="7"/>
        <v>0</v>
      </c>
      <c r="K40" s="27"/>
      <c r="L40" s="33" t="b">
        <f t="shared" si="8"/>
        <v>0</v>
      </c>
      <c r="M40" s="40">
        <f t="shared" si="9"/>
        <v>0</v>
      </c>
      <c r="N40" s="40" t="b">
        <f t="shared" si="10"/>
        <v>0</v>
      </c>
      <c r="O40" s="41" t="e">
        <f t="shared" si="11"/>
        <v>#VALUE!</v>
      </c>
      <c r="P40" s="41" t="b">
        <f t="shared" si="12"/>
        <v>0</v>
      </c>
      <c r="Q40" s="27"/>
      <c r="R40" s="27"/>
      <c r="S40" s="43"/>
      <c r="T40" s="27"/>
      <c r="U40" s="1"/>
      <c r="V40" s="1"/>
      <c r="W40" s="15"/>
      <c r="X40" s="15"/>
    </row>
    <row r="41" spans="1:24">
      <c r="A41" s="27"/>
      <c r="B41" s="26"/>
      <c r="C41" s="27"/>
      <c r="D41" s="27"/>
      <c r="E41" s="27"/>
      <c r="F41" s="31" t="b">
        <f t="shared" si="6"/>
        <v>0</v>
      </c>
      <c r="G41" s="32" t="b">
        <f t="shared" si="0"/>
        <v>0</v>
      </c>
      <c r="H41" s="27"/>
      <c r="I41" s="33" t="b">
        <f t="shared" si="1"/>
        <v>0</v>
      </c>
      <c r="J41" s="32" t="b">
        <f t="shared" si="7"/>
        <v>0</v>
      </c>
      <c r="K41" s="27"/>
      <c r="L41" s="33" t="b">
        <f t="shared" si="8"/>
        <v>0</v>
      </c>
      <c r="M41" s="40">
        <f t="shared" si="9"/>
        <v>0</v>
      </c>
      <c r="N41" s="40" t="b">
        <f t="shared" si="10"/>
        <v>0</v>
      </c>
      <c r="O41" s="41" t="e">
        <f t="shared" si="11"/>
        <v>#VALUE!</v>
      </c>
      <c r="P41" s="41" t="b">
        <f t="shared" si="12"/>
        <v>0</v>
      </c>
      <c r="Q41" s="27"/>
      <c r="R41" s="27"/>
      <c r="S41" s="43"/>
      <c r="T41" s="27"/>
      <c r="U41" s="1"/>
      <c r="V41" s="1"/>
      <c r="W41" s="15"/>
      <c r="X41" s="15"/>
    </row>
    <row r="42" spans="1:24">
      <c r="A42" s="27"/>
      <c r="B42" s="26"/>
      <c r="C42" s="27"/>
      <c r="D42" s="27"/>
      <c r="E42" s="27"/>
      <c r="F42" s="31" t="b">
        <f t="shared" si="6"/>
        <v>0</v>
      </c>
      <c r="G42" s="32" t="b">
        <f t="shared" si="0"/>
        <v>0</v>
      </c>
      <c r="H42" s="27"/>
      <c r="I42" s="33" t="b">
        <f t="shared" si="1"/>
        <v>0</v>
      </c>
      <c r="J42" s="32" t="b">
        <f t="shared" si="7"/>
        <v>0</v>
      </c>
      <c r="K42" s="27"/>
      <c r="L42" s="33" t="b">
        <f t="shared" si="8"/>
        <v>0</v>
      </c>
      <c r="M42" s="40">
        <f t="shared" si="9"/>
        <v>0</v>
      </c>
      <c r="N42" s="40" t="b">
        <f t="shared" si="10"/>
        <v>0</v>
      </c>
      <c r="O42" s="41" t="e">
        <f t="shared" si="11"/>
        <v>#VALUE!</v>
      </c>
      <c r="P42" s="41" t="b">
        <f t="shared" si="12"/>
        <v>0</v>
      </c>
      <c r="Q42" s="27"/>
      <c r="R42" s="27"/>
      <c r="S42" s="43"/>
      <c r="T42" s="27"/>
      <c r="U42" s="1"/>
      <c r="V42" s="1"/>
      <c r="W42" s="15"/>
      <c r="X42" s="15"/>
    </row>
    <row r="43" spans="1:24">
      <c r="A43" s="27"/>
      <c r="B43" s="26"/>
      <c r="C43" s="27"/>
      <c r="D43" s="27"/>
      <c r="E43" s="27"/>
      <c r="F43" s="31" t="b">
        <f t="shared" si="6"/>
        <v>0</v>
      </c>
      <c r="G43" s="32" t="b">
        <f t="shared" si="0"/>
        <v>0</v>
      </c>
      <c r="H43" s="27"/>
      <c r="I43" s="33" t="b">
        <f t="shared" si="1"/>
        <v>0</v>
      </c>
      <c r="J43" s="32" t="b">
        <f t="shared" si="7"/>
        <v>0</v>
      </c>
      <c r="K43" s="27"/>
      <c r="L43" s="33" t="b">
        <f t="shared" si="8"/>
        <v>0</v>
      </c>
      <c r="M43" s="40">
        <f t="shared" si="9"/>
        <v>0</v>
      </c>
      <c r="N43" s="40" t="b">
        <f t="shared" si="10"/>
        <v>0</v>
      </c>
      <c r="O43" s="41" t="e">
        <f t="shared" si="11"/>
        <v>#VALUE!</v>
      </c>
      <c r="P43" s="41" t="b">
        <f t="shared" si="12"/>
        <v>0</v>
      </c>
      <c r="Q43" s="27"/>
      <c r="R43" s="27"/>
      <c r="S43" s="43"/>
      <c r="T43" s="27"/>
      <c r="U43" s="1"/>
      <c r="V43" s="1"/>
      <c r="W43" s="15"/>
      <c r="X43" s="15"/>
    </row>
    <row r="44" spans="1:24">
      <c r="A44" s="27"/>
      <c r="B44" s="26"/>
      <c r="C44" s="27"/>
      <c r="D44" s="27"/>
      <c r="E44" s="27"/>
      <c r="F44" s="31" t="b">
        <f t="shared" si="6"/>
        <v>0</v>
      </c>
      <c r="G44" s="32" t="b">
        <f t="shared" si="0"/>
        <v>0</v>
      </c>
      <c r="H44" s="27"/>
      <c r="I44" s="33" t="b">
        <f t="shared" si="1"/>
        <v>0</v>
      </c>
      <c r="J44" s="32" t="b">
        <f t="shared" si="7"/>
        <v>0</v>
      </c>
      <c r="K44" s="27"/>
      <c r="L44" s="33" t="b">
        <f t="shared" si="8"/>
        <v>0</v>
      </c>
      <c r="M44" s="40">
        <f t="shared" si="9"/>
        <v>0</v>
      </c>
      <c r="N44" s="40" t="b">
        <f t="shared" si="10"/>
        <v>0</v>
      </c>
      <c r="O44" s="41" t="e">
        <f t="shared" si="11"/>
        <v>#VALUE!</v>
      </c>
      <c r="P44" s="41" t="b">
        <f t="shared" si="12"/>
        <v>0</v>
      </c>
      <c r="Q44" s="27"/>
      <c r="R44" s="27"/>
      <c r="S44" s="43"/>
      <c r="T44" s="27"/>
      <c r="U44" s="1"/>
      <c r="V44" s="1"/>
      <c r="W44" s="15"/>
      <c r="X44" s="15"/>
    </row>
    <row r="45" spans="1:24">
      <c r="A45" s="27"/>
      <c r="B45" s="26"/>
      <c r="C45" s="27"/>
      <c r="D45" s="27"/>
      <c r="E45" s="27"/>
      <c r="F45" s="31" t="b">
        <f t="shared" si="6"/>
        <v>0</v>
      </c>
      <c r="G45" s="32" t="b">
        <f t="shared" si="0"/>
        <v>0</v>
      </c>
      <c r="H45" s="27"/>
      <c r="I45" s="33" t="b">
        <f t="shared" si="1"/>
        <v>0</v>
      </c>
      <c r="J45" s="32" t="b">
        <f t="shared" si="7"/>
        <v>0</v>
      </c>
      <c r="K45" s="27"/>
      <c r="L45" s="33" t="b">
        <f t="shared" si="8"/>
        <v>0</v>
      </c>
      <c r="M45" s="40">
        <f t="shared" si="9"/>
        <v>0</v>
      </c>
      <c r="N45" s="40" t="b">
        <f t="shared" si="10"/>
        <v>0</v>
      </c>
      <c r="O45" s="41" t="e">
        <f t="shared" si="11"/>
        <v>#VALUE!</v>
      </c>
      <c r="P45" s="41" t="b">
        <f t="shared" si="12"/>
        <v>0</v>
      </c>
      <c r="Q45" s="27"/>
      <c r="R45" s="27"/>
      <c r="S45" s="43"/>
      <c r="T45" s="27"/>
      <c r="U45" s="1"/>
      <c r="V45" s="1"/>
      <c r="W45" s="15"/>
      <c r="X45" s="15"/>
    </row>
    <row r="46" spans="1:24">
      <c r="A46" s="27"/>
      <c r="B46" s="26"/>
      <c r="C46" s="27"/>
      <c r="D46" s="27"/>
      <c r="E46" s="27"/>
      <c r="F46" s="31" t="b">
        <f t="shared" si="6"/>
        <v>0</v>
      </c>
      <c r="G46" s="32" t="b">
        <f t="shared" si="0"/>
        <v>0</v>
      </c>
      <c r="H46" s="27"/>
      <c r="I46" s="33" t="b">
        <f t="shared" si="1"/>
        <v>0</v>
      </c>
      <c r="J46" s="32" t="b">
        <f t="shared" si="7"/>
        <v>0</v>
      </c>
      <c r="K46" s="27"/>
      <c r="L46" s="33" t="b">
        <f t="shared" si="8"/>
        <v>0</v>
      </c>
      <c r="M46" s="40">
        <f t="shared" si="9"/>
        <v>0</v>
      </c>
      <c r="N46" s="40" t="b">
        <f t="shared" si="10"/>
        <v>0</v>
      </c>
      <c r="O46" s="41" t="e">
        <f t="shared" si="11"/>
        <v>#VALUE!</v>
      </c>
      <c r="P46" s="41" t="b">
        <f t="shared" si="12"/>
        <v>0</v>
      </c>
      <c r="Q46" s="27"/>
      <c r="R46" s="27"/>
      <c r="S46" s="43"/>
      <c r="T46" s="27"/>
      <c r="U46" s="1"/>
      <c r="V46" s="1"/>
      <c r="W46" s="15"/>
      <c r="X46" s="15"/>
    </row>
    <row r="47" spans="1:24">
      <c r="A47" s="27"/>
      <c r="B47" s="26"/>
      <c r="C47" s="27"/>
      <c r="D47" s="27"/>
      <c r="E47" s="27"/>
      <c r="F47" s="31" t="b">
        <f t="shared" si="6"/>
        <v>0</v>
      </c>
      <c r="G47" s="32" t="b">
        <f t="shared" si="0"/>
        <v>0</v>
      </c>
      <c r="H47" s="27"/>
      <c r="I47" s="33" t="b">
        <f t="shared" si="1"/>
        <v>0</v>
      </c>
      <c r="J47" s="32" t="b">
        <f t="shared" si="7"/>
        <v>0</v>
      </c>
      <c r="K47" s="27"/>
      <c r="L47" s="33" t="b">
        <f t="shared" si="8"/>
        <v>0</v>
      </c>
      <c r="M47" s="40">
        <f t="shared" si="9"/>
        <v>0</v>
      </c>
      <c r="N47" s="40" t="b">
        <f t="shared" si="10"/>
        <v>0</v>
      </c>
      <c r="O47" s="41" t="e">
        <f t="shared" si="11"/>
        <v>#VALUE!</v>
      </c>
      <c r="P47" s="41" t="b">
        <f t="shared" si="12"/>
        <v>0</v>
      </c>
      <c r="Q47" s="27"/>
      <c r="R47" s="27"/>
      <c r="S47" s="43"/>
      <c r="T47" s="27"/>
      <c r="U47" s="1"/>
      <c r="V47" s="1"/>
      <c r="W47" s="15"/>
      <c r="X47" s="15"/>
    </row>
    <row r="48" spans="1:24">
      <c r="A48" s="27"/>
      <c r="B48" s="26"/>
      <c r="C48" s="27"/>
      <c r="D48" s="27"/>
      <c r="E48" s="27"/>
      <c r="F48" s="31" t="b">
        <f t="shared" si="6"/>
        <v>0</v>
      </c>
      <c r="G48" s="32" t="b">
        <f t="shared" si="0"/>
        <v>0</v>
      </c>
      <c r="H48" s="27"/>
      <c r="I48" s="33" t="b">
        <f t="shared" si="1"/>
        <v>0</v>
      </c>
      <c r="J48" s="32" t="b">
        <f t="shared" si="7"/>
        <v>0</v>
      </c>
      <c r="K48" s="27"/>
      <c r="L48" s="33" t="b">
        <f t="shared" si="8"/>
        <v>0</v>
      </c>
      <c r="M48" s="40">
        <f t="shared" si="9"/>
        <v>0</v>
      </c>
      <c r="N48" s="40" t="b">
        <f t="shared" si="10"/>
        <v>0</v>
      </c>
      <c r="O48" s="41" t="e">
        <f t="shared" si="11"/>
        <v>#VALUE!</v>
      </c>
      <c r="P48" s="41" t="b">
        <f t="shared" si="12"/>
        <v>0</v>
      </c>
      <c r="Q48" s="27"/>
      <c r="R48" s="27"/>
      <c r="S48" s="43"/>
      <c r="T48" s="27"/>
      <c r="U48" s="1"/>
      <c r="V48" s="1"/>
      <c r="W48" s="15"/>
      <c r="X48" s="15"/>
    </row>
    <row r="49" spans="1:24">
      <c r="A49" s="27"/>
      <c r="B49" s="26"/>
      <c r="C49" s="27"/>
      <c r="D49" s="27"/>
      <c r="E49" s="27"/>
      <c r="F49" s="31" t="b">
        <f t="shared" si="6"/>
        <v>0</v>
      </c>
      <c r="G49" s="32" t="b">
        <f t="shared" si="0"/>
        <v>0</v>
      </c>
      <c r="H49" s="27"/>
      <c r="I49" s="33" t="b">
        <f t="shared" si="1"/>
        <v>0</v>
      </c>
      <c r="J49" s="32" t="b">
        <f t="shared" si="7"/>
        <v>0</v>
      </c>
      <c r="K49" s="27"/>
      <c r="L49" s="33" t="b">
        <f t="shared" si="8"/>
        <v>0</v>
      </c>
      <c r="M49" s="40">
        <f t="shared" si="9"/>
        <v>0</v>
      </c>
      <c r="N49" s="40" t="b">
        <f t="shared" si="10"/>
        <v>0</v>
      </c>
      <c r="O49" s="41" t="e">
        <f t="shared" si="11"/>
        <v>#VALUE!</v>
      </c>
      <c r="P49" s="41" t="b">
        <f t="shared" si="12"/>
        <v>0</v>
      </c>
      <c r="Q49" s="27"/>
      <c r="R49" s="27"/>
      <c r="S49" s="43"/>
      <c r="T49" s="27"/>
      <c r="U49" s="1"/>
      <c r="V49" s="1"/>
      <c r="W49" s="15"/>
      <c r="X49" s="15"/>
    </row>
    <row r="50" spans="1:24">
      <c r="A50" s="27"/>
      <c r="B50" s="26"/>
      <c r="C50" s="27"/>
      <c r="D50" s="27"/>
      <c r="E50" s="27"/>
      <c r="F50" s="31" t="b">
        <f t="shared" si="6"/>
        <v>0</v>
      </c>
      <c r="G50" s="32" t="b">
        <f t="shared" si="0"/>
        <v>0</v>
      </c>
      <c r="H50" s="27"/>
      <c r="I50" s="33" t="b">
        <f t="shared" si="1"/>
        <v>0</v>
      </c>
      <c r="J50" s="32" t="b">
        <f t="shared" si="7"/>
        <v>0</v>
      </c>
      <c r="K50" s="27"/>
      <c r="L50" s="33" t="b">
        <f t="shared" si="8"/>
        <v>0</v>
      </c>
      <c r="M50" s="40">
        <f t="shared" si="9"/>
        <v>0</v>
      </c>
      <c r="N50" s="40" t="b">
        <f t="shared" si="10"/>
        <v>0</v>
      </c>
      <c r="O50" s="41" t="e">
        <f t="shared" si="11"/>
        <v>#VALUE!</v>
      </c>
      <c r="P50" s="41" t="b">
        <f t="shared" si="12"/>
        <v>0</v>
      </c>
      <c r="Q50" s="27"/>
      <c r="R50" s="27"/>
      <c r="S50" s="43"/>
      <c r="T50" s="27"/>
      <c r="U50" s="1"/>
      <c r="V50" s="1"/>
      <c r="W50" s="15"/>
      <c r="X50" s="15"/>
    </row>
    <row r="51" spans="1:24">
      <c r="A51" s="27"/>
      <c r="B51" s="26"/>
      <c r="C51" s="27"/>
      <c r="D51" s="27"/>
      <c r="E51" s="27"/>
      <c r="F51" s="31" t="b">
        <f t="shared" si="6"/>
        <v>0</v>
      </c>
      <c r="G51" s="32" t="b">
        <f t="shared" si="0"/>
        <v>0</v>
      </c>
      <c r="H51" s="27"/>
      <c r="I51" s="33" t="b">
        <f t="shared" si="1"/>
        <v>0</v>
      </c>
      <c r="J51" s="32" t="b">
        <f t="shared" si="7"/>
        <v>0</v>
      </c>
      <c r="K51" s="27"/>
      <c r="L51" s="33" t="b">
        <f t="shared" si="8"/>
        <v>0</v>
      </c>
      <c r="M51" s="40">
        <f t="shared" si="9"/>
        <v>0</v>
      </c>
      <c r="N51" s="40" t="b">
        <f t="shared" si="10"/>
        <v>0</v>
      </c>
      <c r="O51" s="41" t="e">
        <f t="shared" si="11"/>
        <v>#VALUE!</v>
      </c>
      <c r="P51" s="41" t="b">
        <f t="shared" si="12"/>
        <v>0</v>
      </c>
      <c r="Q51" s="27"/>
      <c r="R51" s="27"/>
      <c r="S51" s="43"/>
      <c r="T51" s="27"/>
      <c r="U51" s="1"/>
      <c r="V51" s="1"/>
      <c r="W51" s="15"/>
      <c r="X51" s="15"/>
    </row>
    <row r="52" spans="1:24">
      <c r="A52" s="27"/>
      <c r="B52" s="26"/>
      <c r="C52" s="27"/>
      <c r="D52" s="27"/>
      <c r="E52" s="27"/>
      <c r="F52" s="31" t="b">
        <f t="shared" si="6"/>
        <v>0</v>
      </c>
      <c r="G52" s="32" t="b">
        <f t="shared" si="0"/>
        <v>0</v>
      </c>
      <c r="H52" s="27"/>
      <c r="I52" s="33" t="b">
        <f t="shared" si="1"/>
        <v>0</v>
      </c>
      <c r="J52" s="32" t="b">
        <f t="shared" si="7"/>
        <v>0</v>
      </c>
      <c r="K52" s="27"/>
      <c r="L52" s="33" t="b">
        <f t="shared" si="8"/>
        <v>0</v>
      </c>
      <c r="M52" s="40">
        <f t="shared" si="9"/>
        <v>0</v>
      </c>
      <c r="N52" s="40" t="b">
        <f t="shared" si="10"/>
        <v>0</v>
      </c>
      <c r="O52" s="41" t="e">
        <f t="shared" si="11"/>
        <v>#VALUE!</v>
      </c>
      <c r="P52" s="41" t="b">
        <f t="shared" si="12"/>
        <v>0</v>
      </c>
      <c r="Q52" s="27"/>
      <c r="R52" s="27"/>
      <c r="S52" s="43"/>
      <c r="T52" s="27"/>
      <c r="U52" s="1"/>
      <c r="V52" s="1"/>
      <c r="W52" s="15"/>
      <c r="X52" s="15"/>
    </row>
    <row r="53" spans="1:24">
      <c r="A53" s="27"/>
      <c r="B53" s="26"/>
      <c r="C53" s="27"/>
      <c r="D53" s="27"/>
      <c r="E53" s="27"/>
      <c r="F53" s="31" t="b">
        <f t="shared" si="6"/>
        <v>0</v>
      </c>
      <c r="G53" s="32" t="b">
        <f t="shared" si="0"/>
        <v>0</v>
      </c>
      <c r="H53" s="27"/>
      <c r="I53" s="33" t="b">
        <f t="shared" si="1"/>
        <v>0</v>
      </c>
      <c r="J53" s="32" t="b">
        <f t="shared" si="7"/>
        <v>0</v>
      </c>
      <c r="K53" s="27"/>
      <c r="L53" s="33" t="b">
        <f t="shared" si="8"/>
        <v>0</v>
      </c>
      <c r="M53" s="40">
        <f t="shared" si="9"/>
        <v>0</v>
      </c>
      <c r="N53" s="40" t="b">
        <f t="shared" si="10"/>
        <v>0</v>
      </c>
      <c r="O53" s="41" t="e">
        <f t="shared" si="11"/>
        <v>#VALUE!</v>
      </c>
      <c r="P53" s="41" t="b">
        <f t="shared" si="12"/>
        <v>0</v>
      </c>
      <c r="Q53" s="27"/>
      <c r="R53" s="27"/>
      <c r="S53" s="43"/>
      <c r="T53" s="27"/>
      <c r="U53" s="1"/>
      <c r="V53" s="1"/>
      <c r="W53" s="15"/>
      <c r="X53" s="15"/>
    </row>
    <row r="54" spans="1:24">
      <c r="A54" s="27"/>
      <c r="B54" s="26"/>
      <c r="C54" s="27"/>
      <c r="D54" s="27"/>
      <c r="E54" s="27"/>
      <c r="F54" s="31" t="b">
        <f t="shared" si="6"/>
        <v>0</v>
      </c>
      <c r="G54" s="32" t="b">
        <f t="shared" si="0"/>
        <v>0</v>
      </c>
      <c r="H54" s="27"/>
      <c r="I54" s="33" t="b">
        <f t="shared" si="1"/>
        <v>0</v>
      </c>
      <c r="J54" s="32" t="b">
        <f t="shared" si="7"/>
        <v>0</v>
      </c>
      <c r="K54" s="27"/>
      <c r="L54" s="33" t="b">
        <f t="shared" si="8"/>
        <v>0</v>
      </c>
      <c r="M54" s="40">
        <f t="shared" si="9"/>
        <v>0</v>
      </c>
      <c r="N54" s="40" t="b">
        <f t="shared" si="10"/>
        <v>0</v>
      </c>
      <c r="O54" s="41" t="e">
        <f t="shared" si="11"/>
        <v>#VALUE!</v>
      </c>
      <c r="P54" s="41" t="b">
        <f t="shared" si="12"/>
        <v>0</v>
      </c>
      <c r="Q54" s="27"/>
      <c r="R54" s="27"/>
      <c r="S54" s="43"/>
      <c r="T54" s="27"/>
      <c r="U54" s="1"/>
      <c r="V54" s="1"/>
      <c r="W54" s="15"/>
      <c r="X54" s="15"/>
    </row>
    <row r="55" spans="1:24">
      <c r="A55" s="27"/>
      <c r="B55" s="26"/>
      <c r="C55" s="27"/>
      <c r="D55" s="27"/>
      <c r="E55" s="27"/>
      <c r="F55" s="31" t="b">
        <f t="shared" si="6"/>
        <v>0</v>
      </c>
      <c r="G55" s="32" t="b">
        <f t="shared" si="0"/>
        <v>0</v>
      </c>
      <c r="H55" s="27"/>
      <c r="I55" s="33" t="b">
        <f t="shared" si="1"/>
        <v>0</v>
      </c>
      <c r="J55" s="32" t="b">
        <f t="shared" si="7"/>
        <v>0</v>
      </c>
      <c r="K55" s="27"/>
      <c r="L55" s="33" t="b">
        <f t="shared" si="8"/>
        <v>0</v>
      </c>
      <c r="M55" s="40">
        <f t="shared" si="9"/>
        <v>0</v>
      </c>
      <c r="N55" s="40" t="b">
        <f t="shared" si="10"/>
        <v>0</v>
      </c>
      <c r="O55" s="41" t="e">
        <f t="shared" si="11"/>
        <v>#VALUE!</v>
      </c>
      <c r="P55" s="41" t="b">
        <f t="shared" si="12"/>
        <v>0</v>
      </c>
      <c r="Q55" s="27"/>
      <c r="R55" s="27"/>
      <c r="S55" s="43"/>
      <c r="T55" s="27"/>
      <c r="U55" s="1"/>
      <c r="V55" s="1"/>
      <c r="W55" s="15"/>
      <c r="X55" s="15"/>
    </row>
    <row r="56" spans="1:24">
      <c r="A56" s="27"/>
      <c r="B56" s="26"/>
      <c r="C56" s="27"/>
      <c r="D56" s="27"/>
      <c r="E56" s="27"/>
      <c r="F56" s="31" t="b">
        <f t="shared" si="6"/>
        <v>0</v>
      </c>
      <c r="G56" s="32" t="b">
        <f t="shared" si="0"/>
        <v>0</v>
      </c>
      <c r="H56" s="27"/>
      <c r="I56" s="33" t="b">
        <f t="shared" si="1"/>
        <v>0</v>
      </c>
      <c r="J56" s="32" t="b">
        <f t="shared" si="7"/>
        <v>0</v>
      </c>
      <c r="K56" s="27"/>
      <c r="L56" s="33" t="b">
        <f t="shared" si="8"/>
        <v>0</v>
      </c>
      <c r="M56" s="40">
        <f t="shared" si="9"/>
        <v>0</v>
      </c>
      <c r="N56" s="40" t="b">
        <f t="shared" si="10"/>
        <v>0</v>
      </c>
      <c r="O56" s="41" t="e">
        <f t="shared" si="11"/>
        <v>#VALUE!</v>
      </c>
      <c r="P56" s="41" t="b">
        <f t="shared" si="12"/>
        <v>0</v>
      </c>
      <c r="Q56" s="27"/>
      <c r="R56" s="27"/>
      <c r="S56" s="43"/>
      <c r="T56" s="27"/>
      <c r="U56" s="1"/>
      <c r="V56" s="1"/>
      <c r="W56" s="15"/>
      <c r="X56" s="15"/>
    </row>
    <row r="57" spans="1:24">
      <c r="A57" s="27"/>
      <c r="B57" s="26"/>
      <c r="C57" s="27"/>
      <c r="D57" s="27"/>
      <c r="E57" s="27"/>
      <c r="F57" s="31" t="b">
        <f t="shared" si="6"/>
        <v>0</v>
      </c>
      <c r="G57" s="32" t="b">
        <f t="shared" si="0"/>
        <v>0</v>
      </c>
      <c r="H57" s="27"/>
      <c r="I57" s="33" t="b">
        <f t="shared" si="1"/>
        <v>0</v>
      </c>
      <c r="J57" s="32" t="b">
        <f t="shared" si="7"/>
        <v>0</v>
      </c>
      <c r="K57" s="27"/>
      <c r="L57" s="33" t="b">
        <f t="shared" si="8"/>
        <v>0</v>
      </c>
      <c r="M57" s="40">
        <f t="shared" si="9"/>
        <v>0</v>
      </c>
      <c r="N57" s="40" t="b">
        <f t="shared" si="10"/>
        <v>0</v>
      </c>
      <c r="O57" s="41" t="e">
        <f t="shared" si="11"/>
        <v>#VALUE!</v>
      </c>
      <c r="P57" s="41" t="b">
        <f t="shared" si="12"/>
        <v>0</v>
      </c>
      <c r="Q57" s="27"/>
      <c r="R57" s="27"/>
      <c r="S57" s="43"/>
      <c r="T57" s="27"/>
      <c r="U57" s="1"/>
      <c r="V57" s="1"/>
      <c r="W57" s="15"/>
      <c r="X57" s="15"/>
    </row>
    <row r="58" spans="1:24">
      <c r="A58" s="27"/>
      <c r="B58" s="26"/>
      <c r="C58" s="27"/>
      <c r="D58" s="27"/>
      <c r="E58" s="27"/>
      <c r="F58" s="31" t="b">
        <f t="shared" si="6"/>
        <v>0</v>
      </c>
      <c r="G58" s="32" t="b">
        <f t="shared" si="0"/>
        <v>0</v>
      </c>
      <c r="H58" s="27"/>
      <c r="I58" s="33" t="b">
        <f t="shared" si="1"/>
        <v>0</v>
      </c>
      <c r="J58" s="32" t="b">
        <f t="shared" si="7"/>
        <v>0</v>
      </c>
      <c r="K58" s="27"/>
      <c r="L58" s="33" t="b">
        <f t="shared" si="8"/>
        <v>0</v>
      </c>
      <c r="M58" s="40">
        <f t="shared" si="9"/>
        <v>0</v>
      </c>
      <c r="N58" s="40" t="b">
        <f t="shared" si="10"/>
        <v>0</v>
      </c>
      <c r="O58" s="41" t="e">
        <f t="shared" si="11"/>
        <v>#VALUE!</v>
      </c>
      <c r="P58" s="41" t="b">
        <f t="shared" si="12"/>
        <v>0</v>
      </c>
      <c r="Q58" s="27"/>
      <c r="R58" s="27"/>
      <c r="S58" s="43"/>
      <c r="T58" s="27"/>
      <c r="U58" s="1"/>
      <c r="V58" s="1"/>
      <c r="W58" s="15"/>
      <c r="X58" s="15"/>
    </row>
    <row r="59" spans="1:24">
      <c r="A59" s="27"/>
      <c r="B59" s="26"/>
      <c r="C59" s="27"/>
      <c r="D59" s="27"/>
      <c r="E59" s="27"/>
      <c r="F59" s="31" t="b">
        <f t="shared" si="6"/>
        <v>0</v>
      </c>
      <c r="G59" s="32" t="b">
        <f t="shared" si="0"/>
        <v>0</v>
      </c>
      <c r="H59" s="27"/>
      <c r="I59" s="33" t="b">
        <f t="shared" si="1"/>
        <v>0</v>
      </c>
      <c r="J59" s="32" t="b">
        <f t="shared" si="7"/>
        <v>0</v>
      </c>
      <c r="K59" s="27"/>
      <c r="L59" s="33" t="b">
        <f t="shared" si="8"/>
        <v>0</v>
      </c>
      <c r="M59" s="40">
        <f t="shared" si="9"/>
        <v>0</v>
      </c>
      <c r="N59" s="40" t="b">
        <f t="shared" si="10"/>
        <v>0</v>
      </c>
      <c r="O59" s="41" t="e">
        <f t="shared" si="11"/>
        <v>#VALUE!</v>
      </c>
      <c r="P59" s="41" t="b">
        <f t="shared" si="12"/>
        <v>0</v>
      </c>
      <c r="Q59" s="27"/>
      <c r="R59" s="27"/>
      <c r="S59" s="43"/>
      <c r="T59" s="27"/>
      <c r="U59" s="1"/>
      <c r="V59" s="1"/>
      <c r="W59" s="15"/>
      <c r="X59" s="15"/>
    </row>
    <row r="60" spans="1:24">
      <c r="A60" s="27"/>
      <c r="B60" s="26"/>
      <c r="C60" s="27"/>
      <c r="D60" s="27"/>
      <c r="E60" s="27"/>
      <c r="F60" s="31" t="b">
        <f t="shared" si="6"/>
        <v>0</v>
      </c>
      <c r="G60" s="32" t="b">
        <f t="shared" si="0"/>
        <v>0</v>
      </c>
      <c r="H60" s="27"/>
      <c r="I60" s="33" t="b">
        <f t="shared" si="1"/>
        <v>0</v>
      </c>
      <c r="J60" s="32" t="b">
        <f t="shared" si="7"/>
        <v>0</v>
      </c>
      <c r="K60" s="27"/>
      <c r="L60" s="33" t="b">
        <f t="shared" si="8"/>
        <v>0</v>
      </c>
      <c r="M60" s="40">
        <f t="shared" si="9"/>
        <v>0</v>
      </c>
      <c r="N60" s="40" t="b">
        <f t="shared" si="10"/>
        <v>0</v>
      </c>
      <c r="O60" s="41" t="e">
        <f t="shared" si="11"/>
        <v>#VALUE!</v>
      </c>
      <c r="P60" s="41" t="b">
        <f t="shared" si="12"/>
        <v>0</v>
      </c>
      <c r="Q60" s="27"/>
      <c r="R60" s="27"/>
      <c r="S60" s="43"/>
      <c r="T60" s="27"/>
      <c r="U60" s="1"/>
      <c r="V60" s="1"/>
      <c r="W60" s="15"/>
      <c r="X60" s="15"/>
    </row>
    <row r="61" spans="1:24">
      <c r="A61" s="27"/>
      <c r="B61" s="26"/>
      <c r="C61" s="27"/>
      <c r="D61" s="27"/>
      <c r="E61" s="27"/>
      <c r="F61" s="31" t="b">
        <f t="shared" si="6"/>
        <v>0</v>
      </c>
      <c r="G61" s="32" t="b">
        <f t="shared" si="0"/>
        <v>0</v>
      </c>
      <c r="H61" s="27"/>
      <c r="I61" s="33" t="b">
        <f t="shared" si="1"/>
        <v>0</v>
      </c>
      <c r="J61" s="32" t="b">
        <f t="shared" si="7"/>
        <v>0</v>
      </c>
      <c r="K61" s="27"/>
      <c r="L61" s="33" t="b">
        <f t="shared" si="8"/>
        <v>0</v>
      </c>
      <c r="M61" s="40">
        <f t="shared" si="9"/>
        <v>0</v>
      </c>
      <c r="N61" s="40" t="b">
        <f t="shared" si="10"/>
        <v>0</v>
      </c>
      <c r="O61" s="41" t="e">
        <f t="shared" si="11"/>
        <v>#VALUE!</v>
      </c>
      <c r="P61" s="41" t="b">
        <f t="shared" si="12"/>
        <v>0</v>
      </c>
      <c r="Q61" s="27"/>
      <c r="R61" s="27"/>
      <c r="S61" s="43"/>
      <c r="T61" s="27"/>
      <c r="U61" s="1"/>
      <c r="V61" s="1"/>
      <c r="W61" s="15"/>
      <c r="X61" s="15"/>
    </row>
    <row r="62" spans="1:24">
      <c r="A62" s="27"/>
      <c r="B62" s="26"/>
      <c r="C62" s="27"/>
      <c r="D62" s="27"/>
      <c r="E62" s="27"/>
      <c r="F62" s="31" t="b">
        <f t="shared" si="6"/>
        <v>0</v>
      </c>
      <c r="G62" s="32" t="b">
        <f t="shared" si="0"/>
        <v>0</v>
      </c>
      <c r="H62" s="27"/>
      <c r="I62" s="33" t="b">
        <f t="shared" si="1"/>
        <v>0</v>
      </c>
      <c r="J62" s="32" t="b">
        <f t="shared" si="7"/>
        <v>0</v>
      </c>
      <c r="K62" s="27"/>
      <c r="L62" s="33" t="b">
        <f t="shared" si="8"/>
        <v>0</v>
      </c>
      <c r="M62" s="40">
        <f t="shared" si="9"/>
        <v>0</v>
      </c>
      <c r="N62" s="40" t="b">
        <f t="shared" si="10"/>
        <v>0</v>
      </c>
      <c r="O62" s="41" t="e">
        <f t="shared" si="11"/>
        <v>#VALUE!</v>
      </c>
      <c r="P62" s="41" t="b">
        <f t="shared" si="12"/>
        <v>0</v>
      </c>
      <c r="Q62" s="27"/>
      <c r="R62" s="27"/>
      <c r="S62" s="43"/>
      <c r="T62" s="27"/>
      <c r="U62" s="1"/>
      <c r="V62" s="1"/>
      <c r="W62" s="15"/>
      <c r="X62" s="15"/>
    </row>
    <row r="63" spans="1:24">
      <c r="A63" s="27"/>
      <c r="B63" s="26"/>
      <c r="C63" s="27"/>
      <c r="D63" s="27"/>
      <c r="E63" s="27"/>
      <c r="F63" s="31" t="b">
        <f t="shared" si="6"/>
        <v>0</v>
      </c>
      <c r="G63" s="32" t="b">
        <f t="shared" si="0"/>
        <v>0</v>
      </c>
      <c r="H63" s="27"/>
      <c r="I63" s="33" t="b">
        <f t="shared" si="1"/>
        <v>0</v>
      </c>
      <c r="J63" s="32" t="b">
        <f t="shared" si="7"/>
        <v>0</v>
      </c>
      <c r="K63" s="27"/>
      <c r="L63" s="33" t="b">
        <f t="shared" si="8"/>
        <v>0</v>
      </c>
      <c r="M63" s="40">
        <f t="shared" si="9"/>
        <v>0</v>
      </c>
      <c r="N63" s="40" t="b">
        <f t="shared" si="10"/>
        <v>0</v>
      </c>
      <c r="O63" s="41" t="e">
        <f t="shared" si="11"/>
        <v>#VALUE!</v>
      </c>
      <c r="P63" s="41" t="b">
        <f t="shared" si="12"/>
        <v>0</v>
      </c>
      <c r="Q63" s="27"/>
      <c r="R63" s="27"/>
      <c r="S63" s="43"/>
      <c r="T63" s="27"/>
      <c r="U63" s="1"/>
      <c r="V63" s="1"/>
      <c r="W63" s="15"/>
      <c r="X63" s="15"/>
    </row>
    <row r="64" spans="1:24">
      <c r="A64" s="27"/>
      <c r="B64" s="26"/>
      <c r="C64" s="27"/>
      <c r="D64" s="27"/>
      <c r="E64" s="27"/>
      <c r="F64" s="31" t="b">
        <f t="shared" si="6"/>
        <v>0</v>
      </c>
      <c r="G64" s="32" t="b">
        <f t="shared" si="0"/>
        <v>0</v>
      </c>
      <c r="H64" s="27"/>
      <c r="I64" s="33" t="b">
        <f t="shared" si="1"/>
        <v>0</v>
      </c>
      <c r="J64" s="32" t="b">
        <f t="shared" si="7"/>
        <v>0</v>
      </c>
      <c r="K64" s="27"/>
      <c r="L64" s="33" t="b">
        <f t="shared" si="8"/>
        <v>0</v>
      </c>
      <c r="M64" s="40">
        <f t="shared" si="9"/>
        <v>0</v>
      </c>
      <c r="N64" s="40" t="b">
        <f t="shared" si="10"/>
        <v>0</v>
      </c>
      <c r="O64" s="41" t="e">
        <f t="shared" si="11"/>
        <v>#VALUE!</v>
      </c>
      <c r="P64" s="41" t="b">
        <f t="shared" si="12"/>
        <v>0</v>
      </c>
      <c r="Q64" s="27"/>
      <c r="R64" s="27"/>
      <c r="S64" s="43"/>
      <c r="T64" s="27"/>
      <c r="U64" s="1"/>
      <c r="V64" s="1"/>
      <c r="W64" s="15"/>
      <c r="X64" s="15"/>
    </row>
    <row r="65" spans="1:24">
      <c r="A65" s="27"/>
      <c r="B65" s="26"/>
      <c r="C65" s="27"/>
      <c r="D65" s="27"/>
      <c r="E65" s="27"/>
      <c r="F65" s="31" t="b">
        <f t="shared" si="6"/>
        <v>0</v>
      </c>
      <c r="G65" s="32" t="b">
        <f t="shared" si="0"/>
        <v>0</v>
      </c>
      <c r="H65" s="27"/>
      <c r="I65" s="33" t="b">
        <f t="shared" si="1"/>
        <v>0</v>
      </c>
      <c r="J65" s="32" t="b">
        <f t="shared" si="7"/>
        <v>0</v>
      </c>
      <c r="K65" s="27"/>
      <c r="L65" s="33" t="b">
        <f t="shared" si="8"/>
        <v>0</v>
      </c>
      <c r="M65" s="40">
        <f t="shared" si="9"/>
        <v>0</v>
      </c>
      <c r="N65" s="40" t="b">
        <f t="shared" si="10"/>
        <v>0</v>
      </c>
      <c r="O65" s="41" t="e">
        <f t="shared" si="11"/>
        <v>#VALUE!</v>
      </c>
      <c r="P65" s="41" t="b">
        <f t="shared" si="12"/>
        <v>0</v>
      </c>
      <c r="Q65" s="27"/>
      <c r="R65" s="27"/>
      <c r="S65" s="43"/>
      <c r="T65" s="27"/>
      <c r="U65" s="1"/>
      <c r="V65" s="1"/>
      <c r="W65" s="15"/>
      <c r="X65" s="15"/>
    </row>
    <row r="66" spans="1:24">
      <c r="A66" s="27"/>
      <c r="B66" s="26"/>
      <c r="C66" s="27"/>
      <c r="D66" s="27"/>
      <c r="E66" s="27"/>
      <c r="F66" s="31" t="b">
        <f t="shared" si="6"/>
        <v>0</v>
      </c>
      <c r="G66" s="32" t="b">
        <f t="shared" si="0"/>
        <v>0</v>
      </c>
      <c r="H66" s="27"/>
      <c r="I66" s="33" t="b">
        <f t="shared" si="1"/>
        <v>0</v>
      </c>
      <c r="J66" s="32" t="b">
        <f t="shared" si="7"/>
        <v>0</v>
      </c>
      <c r="K66" s="27"/>
      <c r="L66" s="33" t="b">
        <f t="shared" si="8"/>
        <v>0</v>
      </c>
      <c r="M66" s="40">
        <f t="shared" si="9"/>
        <v>0</v>
      </c>
      <c r="N66" s="40" t="b">
        <f t="shared" si="10"/>
        <v>0</v>
      </c>
      <c r="O66" s="41" t="e">
        <f t="shared" si="11"/>
        <v>#VALUE!</v>
      </c>
      <c r="P66" s="41" t="b">
        <f t="shared" si="12"/>
        <v>0</v>
      </c>
      <c r="Q66" s="27"/>
      <c r="R66" s="27"/>
      <c r="S66" s="43"/>
      <c r="T66" s="27"/>
      <c r="U66" s="1"/>
      <c r="V66" s="1"/>
      <c r="W66" s="15"/>
      <c r="X66" s="15"/>
    </row>
    <row r="67" spans="1:24">
      <c r="A67" s="27"/>
      <c r="B67" s="26"/>
      <c r="C67" s="27"/>
      <c r="D67" s="27"/>
      <c r="E67" s="27"/>
      <c r="F67" s="31" t="b">
        <f t="shared" si="6"/>
        <v>0</v>
      </c>
      <c r="G67" s="32" t="b">
        <f t="shared" si="0"/>
        <v>0</v>
      </c>
      <c r="H67" s="27"/>
      <c r="I67" s="33" t="b">
        <f t="shared" si="1"/>
        <v>0</v>
      </c>
      <c r="J67" s="32" t="b">
        <f t="shared" si="7"/>
        <v>0</v>
      </c>
      <c r="K67" s="27"/>
      <c r="L67" s="33" t="b">
        <f t="shared" si="8"/>
        <v>0</v>
      </c>
      <c r="M67" s="40">
        <f t="shared" ref="M67:M101" si="13">MROUND(IF(B67="BUY",MAX(F67,I67),IF(B67="SELL",MIN(F67,I67))),1)</f>
        <v>0</v>
      </c>
      <c r="N67" s="40" t="b">
        <f t="shared" ref="N67:N98" si="14">IF(B67="BUY",(M67*(1-0.1%)),IF(B67="SELL",(M67*(1+0.1%))))</f>
        <v>0</v>
      </c>
      <c r="O67" s="41" t="e">
        <f t="shared" ref="O67:O101" si="15">MROUND(IF(B67="BUY",MAX(F67,L67),IF(B67="SELL",MIN(F67,L67))),1)</f>
        <v>#VALUE!</v>
      </c>
      <c r="P67" s="41" t="b">
        <f t="shared" ref="P67:P98" si="16">IF(B67="BUY",(O67*(1-0.1%)),IF(B67="SELL",(O67*(1+0.1%))))</f>
        <v>0</v>
      </c>
      <c r="Q67" s="27"/>
      <c r="R67" s="27"/>
      <c r="S67" s="43"/>
      <c r="T67" s="27"/>
      <c r="U67" s="1"/>
      <c r="V67" s="1"/>
      <c r="W67" s="15"/>
      <c r="X67" s="15"/>
    </row>
    <row r="68" spans="1:24">
      <c r="A68" s="27"/>
      <c r="B68" s="26"/>
      <c r="C68" s="27"/>
      <c r="D68" s="27"/>
      <c r="E68" s="27"/>
      <c r="F68" s="31" t="b">
        <f t="shared" ref="F68:F101" si="17">IF(B68="BUY",(C68*(1-1.5%)),IF(B68="SELL",(C68*(1+1.5%))))</f>
        <v>0</v>
      </c>
      <c r="G68" s="32" t="b">
        <f t="shared" si="0"/>
        <v>0</v>
      </c>
      <c r="H68" s="27"/>
      <c r="I68" s="33" t="b">
        <f t="shared" si="1"/>
        <v>0</v>
      </c>
      <c r="J68" s="32" t="b">
        <f t="shared" ref="J68:J101" si="18">IF(B68="BUY","4DLL",IF(B68="SELL","4DHH"))</f>
        <v>0</v>
      </c>
      <c r="K68" s="27"/>
      <c r="L68" s="33" t="b">
        <f t="shared" ref="L68:L101" si="19">IF(J68="4DHH",(K68*(1+0.12%)),IF(J68="4DLL",(K68*(1-0.12%))))</f>
        <v>0</v>
      </c>
      <c r="M68" s="40">
        <f t="shared" si="13"/>
        <v>0</v>
      </c>
      <c r="N68" s="40" t="b">
        <f t="shared" si="14"/>
        <v>0</v>
      </c>
      <c r="O68" s="41" t="e">
        <f t="shared" si="15"/>
        <v>#VALUE!</v>
      </c>
      <c r="P68" s="41" t="b">
        <f t="shared" si="16"/>
        <v>0</v>
      </c>
      <c r="Q68" s="27"/>
      <c r="R68" s="27"/>
      <c r="S68" s="43"/>
      <c r="T68" s="27"/>
      <c r="U68" s="1"/>
      <c r="V68" s="1"/>
      <c r="W68" s="15"/>
      <c r="X68" s="15"/>
    </row>
    <row r="69" spans="1:24">
      <c r="A69" s="27"/>
      <c r="B69" s="26"/>
      <c r="C69" s="27"/>
      <c r="D69" s="27"/>
      <c r="E69" s="27"/>
      <c r="F69" s="31" t="b">
        <f t="shared" si="17"/>
        <v>0</v>
      </c>
      <c r="G69" s="32" t="b">
        <f t="shared" si="0"/>
        <v>0</v>
      </c>
      <c r="H69" s="27"/>
      <c r="I69" s="33" t="b">
        <f t="shared" si="1"/>
        <v>0</v>
      </c>
      <c r="J69" s="32" t="b">
        <f t="shared" si="18"/>
        <v>0</v>
      </c>
      <c r="K69" s="27"/>
      <c r="L69" s="33" t="b">
        <f t="shared" si="19"/>
        <v>0</v>
      </c>
      <c r="M69" s="40">
        <f t="shared" si="13"/>
        <v>0</v>
      </c>
      <c r="N69" s="40" t="b">
        <f t="shared" si="14"/>
        <v>0</v>
      </c>
      <c r="O69" s="41" t="e">
        <f t="shared" si="15"/>
        <v>#VALUE!</v>
      </c>
      <c r="P69" s="41" t="b">
        <f t="shared" si="16"/>
        <v>0</v>
      </c>
      <c r="Q69" s="27"/>
      <c r="R69" s="27"/>
      <c r="S69" s="43"/>
      <c r="T69" s="27"/>
      <c r="U69" s="1"/>
      <c r="V69" s="1"/>
      <c r="W69" s="15"/>
      <c r="X69" s="15"/>
    </row>
    <row r="70" spans="1:24">
      <c r="A70" s="27"/>
      <c r="B70" s="26"/>
      <c r="C70" s="27"/>
      <c r="D70" s="27"/>
      <c r="E70" s="27"/>
      <c r="F70" s="31" t="b">
        <f t="shared" si="17"/>
        <v>0</v>
      </c>
      <c r="G70" s="32" t="b">
        <f t="shared" si="0"/>
        <v>0</v>
      </c>
      <c r="H70" s="27"/>
      <c r="I70" s="33" t="b">
        <f t="shared" si="1"/>
        <v>0</v>
      </c>
      <c r="J70" s="32" t="b">
        <f t="shared" si="18"/>
        <v>0</v>
      </c>
      <c r="K70" s="27"/>
      <c r="L70" s="33" t="b">
        <f t="shared" si="19"/>
        <v>0</v>
      </c>
      <c r="M70" s="40">
        <f t="shared" si="13"/>
        <v>0</v>
      </c>
      <c r="N70" s="40" t="b">
        <f t="shared" si="14"/>
        <v>0</v>
      </c>
      <c r="O70" s="41" t="e">
        <f t="shared" si="15"/>
        <v>#VALUE!</v>
      </c>
      <c r="P70" s="41" t="b">
        <f t="shared" si="16"/>
        <v>0</v>
      </c>
      <c r="Q70" s="27"/>
      <c r="R70" s="27"/>
      <c r="S70" s="43"/>
      <c r="T70" s="27"/>
      <c r="U70" s="1"/>
      <c r="V70" s="1"/>
      <c r="W70" s="15"/>
      <c r="X70" s="15"/>
    </row>
    <row r="71" spans="1:24">
      <c r="A71" s="27"/>
      <c r="B71" s="26"/>
      <c r="C71" s="27"/>
      <c r="D71" s="27"/>
      <c r="E71" s="27"/>
      <c r="F71" s="31" t="b">
        <f t="shared" si="17"/>
        <v>0</v>
      </c>
      <c r="G71" s="32" t="b">
        <f t="shared" si="0"/>
        <v>0</v>
      </c>
      <c r="H71" s="27"/>
      <c r="I71" s="33" t="b">
        <f t="shared" si="1"/>
        <v>0</v>
      </c>
      <c r="J71" s="32" t="b">
        <f t="shared" si="18"/>
        <v>0</v>
      </c>
      <c r="K71" s="27"/>
      <c r="L71" s="33" t="b">
        <f t="shared" si="19"/>
        <v>0</v>
      </c>
      <c r="M71" s="40">
        <f t="shared" si="13"/>
        <v>0</v>
      </c>
      <c r="N71" s="40" t="b">
        <f t="shared" si="14"/>
        <v>0</v>
      </c>
      <c r="O71" s="41" t="e">
        <f t="shared" si="15"/>
        <v>#VALUE!</v>
      </c>
      <c r="P71" s="41" t="b">
        <f t="shared" si="16"/>
        <v>0</v>
      </c>
      <c r="Q71" s="27"/>
      <c r="R71" s="27"/>
      <c r="S71" s="43"/>
      <c r="T71" s="27"/>
      <c r="U71" s="1"/>
      <c r="V71" s="1"/>
      <c r="W71" s="15"/>
      <c r="X71" s="15"/>
    </row>
    <row r="72" spans="1:24">
      <c r="A72" s="27"/>
      <c r="B72" s="26"/>
      <c r="C72" s="27"/>
      <c r="D72" s="27"/>
      <c r="E72" s="27"/>
      <c r="F72" s="31" t="b">
        <f t="shared" si="17"/>
        <v>0</v>
      </c>
      <c r="G72" s="32" t="b">
        <f t="shared" si="0"/>
        <v>0</v>
      </c>
      <c r="H72" s="27"/>
      <c r="I72" s="33" t="b">
        <f t="shared" si="1"/>
        <v>0</v>
      </c>
      <c r="J72" s="32" t="b">
        <f t="shared" si="18"/>
        <v>0</v>
      </c>
      <c r="K72" s="27"/>
      <c r="L72" s="33" t="b">
        <f t="shared" si="19"/>
        <v>0</v>
      </c>
      <c r="M72" s="40">
        <f t="shared" si="13"/>
        <v>0</v>
      </c>
      <c r="N72" s="40" t="b">
        <f t="shared" si="14"/>
        <v>0</v>
      </c>
      <c r="O72" s="41" t="e">
        <f t="shared" si="15"/>
        <v>#VALUE!</v>
      </c>
      <c r="P72" s="41" t="b">
        <f t="shared" si="16"/>
        <v>0</v>
      </c>
      <c r="Q72" s="27"/>
      <c r="R72" s="27"/>
      <c r="S72" s="43"/>
      <c r="T72" s="27"/>
      <c r="U72" s="1"/>
      <c r="V72" s="1"/>
      <c r="W72" s="15"/>
      <c r="X72" s="15"/>
    </row>
    <row r="73" spans="1:24">
      <c r="A73" s="27"/>
      <c r="B73" s="26"/>
      <c r="C73" s="27"/>
      <c r="D73" s="27"/>
      <c r="E73" s="27"/>
      <c r="F73" s="31" t="b">
        <f t="shared" si="17"/>
        <v>0</v>
      </c>
      <c r="G73" s="32" t="b">
        <f t="shared" si="0"/>
        <v>0</v>
      </c>
      <c r="H73" s="27"/>
      <c r="I73" s="33" t="b">
        <f t="shared" si="1"/>
        <v>0</v>
      </c>
      <c r="J73" s="32" t="b">
        <f t="shared" si="18"/>
        <v>0</v>
      </c>
      <c r="K73" s="27"/>
      <c r="L73" s="33" t="b">
        <f t="shared" si="19"/>
        <v>0</v>
      </c>
      <c r="M73" s="40">
        <f t="shared" si="13"/>
        <v>0</v>
      </c>
      <c r="N73" s="40" t="b">
        <f t="shared" si="14"/>
        <v>0</v>
      </c>
      <c r="O73" s="41" t="e">
        <f t="shared" si="15"/>
        <v>#VALUE!</v>
      </c>
      <c r="P73" s="41" t="b">
        <f t="shared" si="16"/>
        <v>0</v>
      </c>
      <c r="Q73" s="27"/>
      <c r="R73" s="27"/>
      <c r="S73" s="43"/>
      <c r="T73" s="27"/>
      <c r="U73" s="1"/>
      <c r="V73" s="1"/>
      <c r="W73" s="15"/>
      <c r="X73" s="15"/>
    </row>
    <row r="74" spans="1:24">
      <c r="A74" s="27"/>
      <c r="B74" s="26"/>
      <c r="C74" s="27"/>
      <c r="D74" s="27"/>
      <c r="E74" s="27"/>
      <c r="F74" s="31" t="b">
        <f t="shared" si="17"/>
        <v>0</v>
      </c>
      <c r="G74" s="32" t="b">
        <f t="shared" si="0"/>
        <v>0</v>
      </c>
      <c r="H74" s="27"/>
      <c r="I74" s="33" t="b">
        <f t="shared" si="1"/>
        <v>0</v>
      </c>
      <c r="J74" s="32" t="b">
        <f t="shared" si="18"/>
        <v>0</v>
      </c>
      <c r="K74" s="27"/>
      <c r="L74" s="33" t="b">
        <f t="shared" si="19"/>
        <v>0</v>
      </c>
      <c r="M74" s="40">
        <f t="shared" si="13"/>
        <v>0</v>
      </c>
      <c r="N74" s="40" t="b">
        <f t="shared" si="14"/>
        <v>0</v>
      </c>
      <c r="O74" s="41" t="e">
        <f t="shared" si="15"/>
        <v>#VALUE!</v>
      </c>
      <c r="P74" s="41" t="b">
        <f t="shared" si="16"/>
        <v>0</v>
      </c>
      <c r="Q74" s="27"/>
      <c r="R74" s="27"/>
      <c r="S74" s="43"/>
      <c r="T74" s="27"/>
      <c r="U74" s="1"/>
      <c r="V74" s="1"/>
      <c r="W74" s="15"/>
      <c r="X74" s="15"/>
    </row>
    <row r="75" spans="1:24">
      <c r="A75" s="27"/>
      <c r="B75" s="26"/>
      <c r="C75" s="27"/>
      <c r="D75" s="27"/>
      <c r="E75" s="27"/>
      <c r="F75" s="31" t="b">
        <f t="shared" si="17"/>
        <v>0</v>
      </c>
      <c r="G75" s="32" t="b">
        <f t="shared" si="0"/>
        <v>0</v>
      </c>
      <c r="H75" s="27"/>
      <c r="I75" s="33" t="b">
        <f t="shared" si="1"/>
        <v>0</v>
      </c>
      <c r="J75" s="32" t="b">
        <f t="shared" si="18"/>
        <v>0</v>
      </c>
      <c r="K75" s="27"/>
      <c r="L75" s="33" t="b">
        <f t="shared" si="19"/>
        <v>0</v>
      </c>
      <c r="M75" s="40">
        <f t="shared" si="13"/>
        <v>0</v>
      </c>
      <c r="N75" s="40" t="b">
        <f t="shared" si="14"/>
        <v>0</v>
      </c>
      <c r="O75" s="41" t="e">
        <f t="shared" si="15"/>
        <v>#VALUE!</v>
      </c>
      <c r="P75" s="41" t="b">
        <f t="shared" si="16"/>
        <v>0</v>
      </c>
      <c r="Q75" s="27"/>
      <c r="R75" s="27"/>
      <c r="S75" s="43"/>
      <c r="T75" s="27"/>
      <c r="U75" s="1"/>
      <c r="V75" s="1"/>
      <c r="W75" s="15"/>
      <c r="X75" s="15"/>
    </row>
    <row r="76" spans="1:24">
      <c r="A76" s="27"/>
      <c r="B76" s="26"/>
      <c r="C76" s="27"/>
      <c r="D76" s="27"/>
      <c r="E76" s="27"/>
      <c r="F76" s="31" t="b">
        <f t="shared" si="17"/>
        <v>0</v>
      </c>
      <c r="G76" s="32" t="b">
        <f t="shared" si="0"/>
        <v>0</v>
      </c>
      <c r="H76" s="27"/>
      <c r="I76" s="33" t="b">
        <f t="shared" si="1"/>
        <v>0</v>
      </c>
      <c r="J76" s="32" t="b">
        <f t="shared" si="18"/>
        <v>0</v>
      </c>
      <c r="K76" s="27"/>
      <c r="L76" s="33" t="b">
        <f t="shared" si="19"/>
        <v>0</v>
      </c>
      <c r="M76" s="40">
        <f t="shared" si="13"/>
        <v>0</v>
      </c>
      <c r="N76" s="40" t="b">
        <f t="shared" si="14"/>
        <v>0</v>
      </c>
      <c r="O76" s="41" t="e">
        <f t="shared" si="15"/>
        <v>#VALUE!</v>
      </c>
      <c r="P76" s="41" t="b">
        <f t="shared" si="16"/>
        <v>0</v>
      </c>
      <c r="Q76" s="27"/>
      <c r="R76" s="27"/>
      <c r="S76" s="43"/>
      <c r="T76" s="27"/>
      <c r="U76" s="1"/>
      <c r="V76" s="1"/>
      <c r="W76" s="15"/>
      <c r="X76" s="15"/>
    </row>
    <row r="77" spans="1:24">
      <c r="A77" s="27"/>
      <c r="B77" s="26"/>
      <c r="C77" s="27"/>
      <c r="D77" s="27"/>
      <c r="E77" s="27"/>
      <c r="F77" s="31" t="b">
        <f t="shared" si="17"/>
        <v>0</v>
      </c>
      <c r="G77" s="32" t="b">
        <f t="shared" si="0"/>
        <v>0</v>
      </c>
      <c r="H77" s="27"/>
      <c r="I77" s="33" t="b">
        <f t="shared" si="1"/>
        <v>0</v>
      </c>
      <c r="J77" s="32" t="b">
        <f t="shared" si="18"/>
        <v>0</v>
      </c>
      <c r="K77" s="27"/>
      <c r="L77" s="33" t="b">
        <f t="shared" si="19"/>
        <v>0</v>
      </c>
      <c r="M77" s="40">
        <f t="shared" si="13"/>
        <v>0</v>
      </c>
      <c r="N77" s="40" t="b">
        <f t="shared" si="14"/>
        <v>0</v>
      </c>
      <c r="O77" s="41" t="e">
        <f t="shared" si="15"/>
        <v>#VALUE!</v>
      </c>
      <c r="P77" s="41" t="b">
        <f t="shared" si="16"/>
        <v>0</v>
      </c>
      <c r="Q77" s="27"/>
      <c r="R77" s="27"/>
      <c r="S77" s="43"/>
      <c r="T77" s="27"/>
      <c r="U77" s="1"/>
      <c r="V77" s="1"/>
      <c r="W77" s="15"/>
      <c r="X77" s="15"/>
    </row>
    <row r="78" spans="1:24">
      <c r="A78" s="27"/>
      <c r="B78" s="26"/>
      <c r="C78" s="27"/>
      <c r="D78" s="27"/>
      <c r="E78" s="27"/>
      <c r="F78" s="31" t="b">
        <f t="shared" si="17"/>
        <v>0</v>
      </c>
      <c r="G78" s="32" t="b">
        <f t="shared" si="0"/>
        <v>0</v>
      </c>
      <c r="H78" s="27"/>
      <c r="I78" s="33" t="b">
        <f t="shared" si="1"/>
        <v>0</v>
      </c>
      <c r="J78" s="32" t="b">
        <f t="shared" si="18"/>
        <v>0</v>
      </c>
      <c r="K78" s="27"/>
      <c r="L78" s="33" t="b">
        <f t="shared" si="19"/>
        <v>0</v>
      </c>
      <c r="M78" s="40">
        <f t="shared" si="13"/>
        <v>0</v>
      </c>
      <c r="N78" s="40" t="b">
        <f t="shared" si="14"/>
        <v>0</v>
      </c>
      <c r="O78" s="41" t="e">
        <f t="shared" si="15"/>
        <v>#VALUE!</v>
      </c>
      <c r="P78" s="41" t="b">
        <f t="shared" si="16"/>
        <v>0</v>
      </c>
      <c r="Q78" s="27"/>
      <c r="R78" s="27"/>
      <c r="S78" s="43"/>
      <c r="T78" s="27"/>
      <c r="U78" s="1"/>
      <c r="V78" s="1"/>
      <c r="W78" s="15"/>
      <c r="X78" s="15"/>
    </row>
    <row r="79" spans="1:24">
      <c r="A79" s="27"/>
      <c r="B79" s="26"/>
      <c r="C79" s="27"/>
      <c r="D79" s="27"/>
      <c r="E79" s="27"/>
      <c r="F79" s="31" t="b">
        <f t="shared" si="17"/>
        <v>0</v>
      </c>
      <c r="G79" s="32" t="b">
        <f t="shared" si="0"/>
        <v>0</v>
      </c>
      <c r="H79" s="27"/>
      <c r="I79" s="33" t="b">
        <f t="shared" si="1"/>
        <v>0</v>
      </c>
      <c r="J79" s="32" t="b">
        <f t="shared" si="18"/>
        <v>0</v>
      </c>
      <c r="K79" s="27"/>
      <c r="L79" s="33" t="b">
        <f t="shared" si="19"/>
        <v>0</v>
      </c>
      <c r="M79" s="40">
        <f t="shared" si="13"/>
        <v>0</v>
      </c>
      <c r="N79" s="40" t="b">
        <f t="shared" si="14"/>
        <v>0</v>
      </c>
      <c r="O79" s="41" t="e">
        <f t="shared" si="15"/>
        <v>#VALUE!</v>
      </c>
      <c r="P79" s="41" t="b">
        <f t="shared" si="16"/>
        <v>0</v>
      </c>
      <c r="Q79" s="27"/>
      <c r="R79" s="27"/>
      <c r="S79" s="43"/>
      <c r="T79" s="27"/>
      <c r="U79" s="1"/>
      <c r="V79" s="1"/>
      <c r="W79" s="15"/>
      <c r="X79" s="15"/>
    </row>
    <row r="80" spans="1:24">
      <c r="A80" s="27"/>
      <c r="B80" s="26"/>
      <c r="C80" s="27"/>
      <c r="D80" s="27"/>
      <c r="E80" s="27"/>
      <c r="F80" s="31" t="b">
        <f t="shared" si="17"/>
        <v>0</v>
      </c>
      <c r="G80" s="32" t="b">
        <f t="shared" si="0"/>
        <v>0</v>
      </c>
      <c r="H80" s="27"/>
      <c r="I80" s="33" t="b">
        <f t="shared" si="1"/>
        <v>0</v>
      </c>
      <c r="J80" s="32" t="b">
        <f t="shared" si="18"/>
        <v>0</v>
      </c>
      <c r="K80" s="27"/>
      <c r="L80" s="33" t="b">
        <f t="shared" si="19"/>
        <v>0</v>
      </c>
      <c r="M80" s="40">
        <f t="shared" si="13"/>
        <v>0</v>
      </c>
      <c r="N80" s="40" t="b">
        <f t="shared" si="14"/>
        <v>0</v>
      </c>
      <c r="O80" s="41" t="e">
        <f t="shared" si="15"/>
        <v>#VALUE!</v>
      </c>
      <c r="P80" s="41" t="b">
        <f t="shared" si="16"/>
        <v>0</v>
      </c>
      <c r="Q80" s="27"/>
      <c r="R80" s="27"/>
      <c r="S80" s="43"/>
      <c r="T80" s="27"/>
      <c r="U80" s="1"/>
      <c r="V80" s="1"/>
      <c r="W80" s="15"/>
      <c r="X80" s="15"/>
    </row>
    <row r="81" spans="1:24">
      <c r="A81" s="27"/>
      <c r="B81" s="26"/>
      <c r="C81" s="27"/>
      <c r="D81" s="27"/>
      <c r="E81" s="27"/>
      <c r="F81" s="31" t="b">
        <f t="shared" si="17"/>
        <v>0</v>
      </c>
      <c r="G81" s="32" t="b">
        <f t="shared" si="0"/>
        <v>0</v>
      </c>
      <c r="H81" s="27"/>
      <c r="I81" s="33" t="b">
        <f t="shared" si="1"/>
        <v>0</v>
      </c>
      <c r="J81" s="32" t="b">
        <f t="shared" si="18"/>
        <v>0</v>
      </c>
      <c r="K81" s="27"/>
      <c r="L81" s="33" t="b">
        <f t="shared" si="19"/>
        <v>0</v>
      </c>
      <c r="M81" s="40">
        <f t="shared" si="13"/>
        <v>0</v>
      </c>
      <c r="N81" s="40" t="b">
        <f t="shared" si="14"/>
        <v>0</v>
      </c>
      <c r="O81" s="41" t="e">
        <f t="shared" si="15"/>
        <v>#VALUE!</v>
      </c>
      <c r="P81" s="41" t="b">
        <f t="shared" si="16"/>
        <v>0</v>
      </c>
      <c r="Q81" s="27"/>
      <c r="R81" s="27"/>
      <c r="S81" s="43"/>
      <c r="T81" s="27"/>
      <c r="U81" s="1"/>
      <c r="V81" s="1"/>
      <c r="W81" s="15"/>
      <c r="X81" s="15"/>
    </row>
    <row r="82" spans="1:24">
      <c r="A82" s="27"/>
      <c r="B82" s="26"/>
      <c r="C82" s="27"/>
      <c r="D82" s="27"/>
      <c r="E82" s="27"/>
      <c r="F82" s="31" t="b">
        <f t="shared" si="17"/>
        <v>0</v>
      </c>
      <c r="G82" s="32" t="b">
        <f t="shared" si="0"/>
        <v>0</v>
      </c>
      <c r="H82" s="27"/>
      <c r="I82" s="33" t="b">
        <f t="shared" si="1"/>
        <v>0</v>
      </c>
      <c r="J82" s="32" t="b">
        <f t="shared" si="18"/>
        <v>0</v>
      </c>
      <c r="K82" s="27"/>
      <c r="L82" s="33" t="b">
        <f t="shared" si="19"/>
        <v>0</v>
      </c>
      <c r="M82" s="40">
        <f t="shared" si="13"/>
        <v>0</v>
      </c>
      <c r="N82" s="40" t="b">
        <f t="shared" si="14"/>
        <v>0</v>
      </c>
      <c r="O82" s="41" t="e">
        <f t="shared" si="15"/>
        <v>#VALUE!</v>
      </c>
      <c r="P82" s="41" t="b">
        <f t="shared" si="16"/>
        <v>0</v>
      </c>
      <c r="Q82" s="27"/>
      <c r="R82" s="27"/>
      <c r="S82" s="43"/>
      <c r="T82" s="27"/>
      <c r="U82" s="1"/>
      <c r="V82" s="1"/>
      <c r="W82" s="15"/>
      <c r="X82" s="15"/>
    </row>
    <row r="83" spans="1:24">
      <c r="A83" s="27"/>
      <c r="B83" s="26"/>
      <c r="C83" s="27"/>
      <c r="D83" s="27"/>
      <c r="E83" s="27"/>
      <c r="F83" s="31" t="b">
        <f t="shared" si="17"/>
        <v>0</v>
      </c>
      <c r="G83" s="32" t="b">
        <f t="shared" si="0"/>
        <v>0</v>
      </c>
      <c r="H83" s="27"/>
      <c r="I83" s="33" t="b">
        <f t="shared" si="1"/>
        <v>0</v>
      </c>
      <c r="J83" s="32" t="b">
        <f t="shared" si="18"/>
        <v>0</v>
      </c>
      <c r="K83" s="27"/>
      <c r="L83" s="33" t="b">
        <f t="shared" si="19"/>
        <v>0</v>
      </c>
      <c r="M83" s="40">
        <f t="shared" si="13"/>
        <v>0</v>
      </c>
      <c r="N83" s="40" t="b">
        <f t="shared" si="14"/>
        <v>0</v>
      </c>
      <c r="O83" s="41" t="e">
        <f t="shared" si="15"/>
        <v>#VALUE!</v>
      </c>
      <c r="P83" s="41" t="b">
        <f t="shared" si="16"/>
        <v>0</v>
      </c>
      <c r="Q83" s="27"/>
      <c r="R83" s="27"/>
      <c r="S83" s="43"/>
      <c r="T83" s="27"/>
      <c r="U83" s="1"/>
      <c r="V83" s="1"/>
      <c r="W83" s="15"/>
      <c r="X83" s="15"/>
    </row>
    <row r="84" spans="1:24">
      <c r="A84" s="27"/>
      <c r="B84" s="26"/>
      <c r="C84" s="27"/>
      <c r="D84" s="27"/>
      <c r="E84" s="27"/>
      <c r="F84" s="31" t="b">
        <f t="shared" si="17"/>
        <v>0</v>
      </c>
      <c r="G84" s="32" t="b">
        <f t="shared" si="0"/>
        <v>0</v>
      </c>
      <c r="H84" s="27"/>
      <c r="I84" s="33" t="b">
        <f t="shared" si="1"/>
        <v>0</v>
      </c>
      <c r="J84" s="32" t="b">
        <f t="shared" si="18"/>
        <v>0</v>
      </c>
      <c r="K84" s="27"/>
      <c r="L84" s="33" t="b">
        <f t="shared" si="19"/>
        <v>0</v>
      </c>
      <c r="M84" s="40">
        <f t="shared" si="13"/>
        <v>0</v>
      </c>
      <c r="N84" s="40" t="b">
        <f t="shared" si="14"/>
        <v>0</v>
      </c>
      <c r="O84" s="41" t="e">
        <f t="shared" si="15"/>
        <v>#VALUE!</v>
      </c>
      <c r="P84" s="41" t="b">
        <f t="shared" si="16"/>
        <v>0</v>
      </c>
      <c r="Q84" s="27"/>
      <c r="R84" s="27"/>
      <c r="S84" s="43"/>
      <c r="T84" s="27"/>
      <c r="U84" s="1"/>
      <c r="V84" s="1"/>
      <c r="W84" s="15"/>
      <c r="X84" s="15"/>
    </row>
    <row r="85" spans="1:24">
      <c r="A85" s="27"/>
      <c r="B85" s="26"/>
      <c r="C85" s="27"/>
      <c r="D85" s="27"/>
      <c r="E85" s="27"/>
      <c r="F85" s="31" t="b">
        <f t="shared" si="17"/>
        <v>0</v>
      </c>
      <c r="G85" s="32" t="b">
        <f t="shared" si="0"/>
        <v>0</v>
      </c>
      <c r="H85" s="27"/>
      <c r="I85" s="33" t="b">
        <f t="shared" si="1"/>
        <v>0</v>
      </c>
      <c r="J85" s="32" t="b">
        <f t="shared" si="18"/>
        <v>0</v>
      </c>
      <c r="K85" s="27"/>
      <c r="L85" s="33" t="b">
        <f t="shared" si="19"/>
        <v>0</v>
      </c>
      <c r="M85" s="40">
        <f t="shared" si="13"/>
        <v>0</v>
      </c>
      <c r="N85" s="40" t="b">
        <f t="shared" si="14"/>
        <v>0</v>
      </c>
      <c r="O85" s="41" t="e">
        <f t="shared" si="15"/>
        <v>#VALUE!</v>
      </c>
      <c r="P85" s="41" t="b">
        <f t="shared" si="16"/>
        <v>0</v>
      </c>
      <c r="Q85" s="27"/>
      <c r="R85" s="27"/>
      <c r="S85" s="43"/>
      <c r="T85" s="27"/>
      <c r="U85" s="1"/>
      <c r="V85" s="1"/>
      <c r="W85" s="15"/>
      <c r="X85" s="15"/>
    </row>
    <row r="86" spans="1:24">
      <c r="A86" s="27"/>
      <c r="B86" s="26"/>
      <c r="C86" s="27"/>
      <c r="D86" s="27"/>
      <c r="E86" s="27"/>
      <c r="F86" s="31" t="b">
        <f t="shared" si="17"/>
        <v>0</v>
      </c>
      <c r="G86" s="32" t="b">
        <f t="shared" si="0"/>
        <v>0</v>
      </c>
      <c r="H86" s="27"/>
      <c r="I86" s="33" t="b">
        <f t="shared" si="1"/>
        <v>0</v>
      </c>
      <c r="J86" s="32" t="b">
        <f t="shared" si="18"/>
        <v>0</v>
      </c>
      <c r="K86" s="27"/>
      <c r="L86" s="33" t="b">
        <f t="shared" si="19"/>
        <v>0</v>
      </c>
      <c r="M86" s="40">
        <f t="shared" si="13"/>
        <v>0</v>
      </c>
      <c r="N86" s="40" t="b">
        <f t="shared" si="14"/>
        <v>0</v>
      </c>
      <c r="O86" s="41" t="e">
        <f t="shared" si="15"/>
        <v>#VALUE!</v>
      </c>
      <c r="P86" s="41" t="b">
        <f t="shared" si="16"/>
        <v>0</v>
      </c>
      <c r="Q86" s="27"/>
      <c r="R86" s="27"/>
      <c r="S86" s="43"/>
      <c r="T86" s="27"/>
      <c r="U86" s="1"/>
      <c r="V86" s="1"/>
      <c r="W86" s="15"/>
      <c r="X86" s="15"/>
    </row>
    <row r="87" spans="1:24">
      <c r="A87" s="27"/>
      <c r="B87" s="26"/>
      <c r="C87" s="27"/>
      <c r="D87" s="27"/>
      <c r="E87" s="27"/>
      <c r="F87" s="31" t="b">
        <f t="shared" si="17"/>
        <v>0</v>
      </c>
      <c r="G87" s="32" t="b">
        <f t="shared" si="0"/>
        <v>0</v>
      </c>
      <c r="H87" s="27"/>
      <c r="I87" s="33" t="b">
        <f t="shared" si="1"/>
        <v>0</v>
      </c>
      <c r="J87" s="32" t="b">
        <f t="shared" si="18"/>
        <v>0</v>
      </c>
      <c r="K87" s="27"/>
      <c r="L87" s="33" t="b">
        <f t="shared" si="19"/>
        <v>0</v>
      </c>
      <c r="M87" s="40">
        <f t="shared" si="13"/>
        <v>0</v>
      </c>
      <c r="N87" s="40" t="b">
        <f t="shared" si="14"/>
        <v>0</v>
      </c>
      <c r="O87" s="41" t="e">
        <f t="shared" si="15"/>
        <v>#VALUE!</v>
      </c>
      <c r="P87" s="41" t="b">
        <f t="shared" si="16"/>
        <v>0</v>
      </c>
      <c r="Q87" s="27"/>
      <c r="R87" s="27"/>
      <c r="S87" s="43"/>
      <c r="T87" s="27"/>
      <c r="U87" s="1"/>
      <c r="V87" s="1"/>
      <c r="W87" s="15"/>
      <c r="X87" s="15"/>
    </row>
    <row r="88" spans="1:24">
      <c r="A88" s="27"/>
      <c r="B88" s="26"/>
      <c r="C88" s="27"/>
      <c r="D88" s="27"/>
      <c r="E88" s="27"/>
      <c r="F88" s="31" t="b">
        <f t="shared" si="17"/>
        <v>0</v>
      </c>
      <c r="G88" s="32" t="b">
        <f t="shared" si="0"/>
        <v>0</v>
      </c>
      <c r="H88" s="27"/>
      <c r="I88" s="33" t="b">
        <f t="shared" si="1"/>
        <v>0</v>
      </c>
      <c r="J88" s="32" t="b">
        <f t="shared" si="18"/>
        <v>0</v>
      </c>
      <c r="K88" s="27"/>
      <c r="L88" s="33" t="b">
        <f t="shared" si="19"/>
        <v>0</v>
      </c>
      <c r="M88" s="40">
        <f t="shared" si="13"/>
        <v>0</v>
      </c>
      <c r="N88" s="40" t="b">
        <f t="shared" si="14"/>
        <v>0</v>
      </c>
      <c r="O88" s="41" t="e">
        <f t="shared" si="15"/>
        <v>#VALUE!</v>
      </c>
      <c r="P88" s="41" t="b">
        <f t="shared" si="16"/>
        <v>0</v>
      </c>
      <c r="Q88" s="27"/>
      <c r="R88" s="27"/>
      <c r="S88" s="43"/>
      <c r="T88" s="27"/>
      <c r="U88" s="1"/>
      <c r="V88" s="1"/>
      <c r="W88" s="15"/>
      <c r="X88" s="15"/>
    </row>
    <row r="89" spans="1:24">
      <c r="A89" s="27"/>
      <c r="B89" s="26"/>
      <c r="C89" s="27"/>
      <c r="D89" s="27"/>
      <c r="E89" s="27"/>
      <c r="F89" s="31" t="b">
        <f t="shared" si="17"/>
        <v>0</v>
      </c>
      <c r="G89" s="32" t="b">
        <f t="shared" si="0"/>
        <v>0</v>
      </c>
      <c r="H89" s="27"/>
      <c r="I89" s="33" t="b">
        <f t="shared" si="1"/>
        <v>0</v>
      </c>
      <c r="J89" s="32" t="b">
        <f t="shared" si="18"/>
        <v>0</v>
      </c>
      <c r="K89" s="27"/>
      <c r="L89" s="33" t="b">
        <f t="shared" si="19"/>
        <v>0</v>
      </c>
      <c r="M89" s="40">
        <f t="shared" si="13"/>
        <v>0</v>
      </c>
      <c r="N89" s="40" t="b">
        <f t="shared" si="14"/>
        <v>0</v>
      </c>
      <c r="O89" s="41" t="e">
        <f t="shared" si="15"/>
        <v>#VALUE!</v>
      </c>
      <c r="P89" s="41" t="b">
        <f t="shared" si="16"/>
        <v>0</v>
      </c>
      <c r="Q89" s="27"/>
      <c r="R89" s="27"/>
      <c r="S89" s="43"/>
      <c r="T89" s="27"/>
      <c r="U89" s="1"/>
      <c r="V89" s="1"/>
      <c r="W89" s="15"/>
      <c r="X89" s="15"/>
    </row>
    <row r="90" spans="1:24">
      <c r="A90" s="27"/>
      <c r="B90" s="26"/>
      <c r="C90" s="27"/>
      <c r="D90" s="27"/>
      <c r="E90" s="27"/>
      <c r="F90" s="31" t="b">
        <f t="shared" si="17"/>
        <v>0</v>
      </c>
      <c r="G90" s="32" t="b">
        <f t="shared" si="0"/>
        <v>0</v>
      </c>
      <c r="H90" s="27"/>
      <c r="I90" s="33" t="b">
        <f t="shared" si="1"/>
        <v>0</v>
      </c>
      <c r="J90" s="32" t="b">
        <f t="shared" si="18"/>
        <v>0</v>
      </c>
      <c r="K90" s="27"/>
      <c r="L90" s="33" t="b">
        <f t="shared" si="19"/>
        <v>0</v>
      </c>
      <c r="M90" s="40">
        <f t="shared" si="13"/>
        <v>0</v>
      </c>
      <c r="N90" s="40" t="b">
        <f t="shared" si="14"/>
        <v>0</v>
      </c>
      <c r="O90" s="41" t="e">
        <f t="shared" si="15"/>
        <v>#VALUE!</v>
      </c>
      <c r="P90" s="41" t="b">
        <f t="shared" si="16"/>
        <v>0</v>
      </c>
      <c r="Q90" s="27"/>
      <c r="R90" s="27"/>
      <c r="S90" s="43"/>
      <c r="T90" s="27"/>
      <c r="U90" s="1"/>
      <c r="V90" s="1"/>
      <c r="W90" s="15"/>
      <c r="X90" s="15"/>
    </row>
    <row r="91" spans="1:24">
      <c r="A91" s="27"/>
      <c r="B91" s="26"/>
      <c r="C91" s="27"/>
      <c r="D91" s="27"/>
      <c r="E91" s="27"/>
      <c r="F91" s="31" t="b">
        <f t="shared" si="17"/>
        <v>0</v>
      </c>
      <c r="G91" s="32" t="b">
        <f t="shared" si="0"/>
        <v>0</v>
      </c>
      <c r="H91" s="27"/>
      <c r="I91" s="33" t="b">
        <f t="shared" si="1"/>
        <v>0</v>
      </c>
      <c r="J91" s="32" t="b">
        <f t="shared" si="18"/>
        <v>0</v>
      </c>
      <c r="K91" s="27"/>
      <c r="L91" s="33" t="b">
        <f t="shared" si="19"/>
        <v>0</v>
      </c>
      <c r="M91" s="40">
        <f t="shared" si="13"/>
        <v>0</v>
      </c>
      <c r="N91" s="40" t="b">
        <f t="shared" si="14"/>
        <v>0</v>
      </c>
      <c r="O91" s="41" t="e">
        <f t="shared" si="15"/>
        <v>#VALUE!</v>
      </c>
      <c r="P91" s="41" t="b">
        <f t="shared" si="16"/>
        <v>0</v>
      </c>
      <c r="Q91" s="27"/>
      <c r="R91" s="27"/>
      <c r="S91" s="43"/>
      <c r="T91" s="27"/>
      <c r="U91" s="1"/>
      <c r="V91" s="1"/>
      <c r="W91" s="15"/>
      <c r="X91" s="15"/>
    </row>
    <row r="92" spans="1:24">
      <c r="A92" s="27"/>
      <c r="B92" s="26"/>
      <c r="C92" s="27"/>
      <c r="D92" s="27"/>
      <c r="E92" s="27"/>
      <c r="F92" s="31" t="b">
        <f t="shared" si="17"/>
        <v>0</v>
      </c>
      <c r="G92" s="32" t="b">
        <f t="shared" si="0"/>
        <v>0</v>
      </c>
      <c r="H92" s="27"/>
      <c r="I92" s="33" t="b">
        <f t="shared" si="1"/>
        <v>0</v>
      </c>
      <c r="J92" s="32" t="b">
        <f t="shared" si="18"/>
        <v>0</v>
      </c>
      <c r="K92" s="27"/>
      <c r="L92" s="33" t="b">
        <f t="shared" si="19"/>
        <v>0</v>
      </c>
      <c r="M92" s="40">
        <f t="shared" si="13"/>
        <v>0</v>
      </c>
      <c r="N92" s="40" t="b">
        <f t="shared" si="14"/>
        <v>0</v>
      </c>
      <c r="O92" s="41" t="e">
        <f t="shared" si="15"/>
        <v>#VALUE!</v>
      </c>
      <c r="P92" s="41" t="b">
        <f t="shared" si="16"/>
        <v>0</v>
      </c>
      <c r="Q92" s="27"/>
      <c r="R92" s="27"/>
      <c r="S92" s="43"/>
      <c r="T92" s="27"/>
      <c r="U92" s="1"/>
      <c r="V92" s="1"/>
      <c r="W92" s="15"/>
      <c r="X92" s="15"/>
    </row>
    <row r="93" spans="1:24">
      <c r="A93" s="27"/>
      <c r="B93" s="26"/>
      <c r="C93" s="27"/>
      <c r="D93" s="27"/>
      <c r="E93" s="27"/>
      <c r="F93" s="31" t="b">
        <f t="shared" si="17"/>
        <v>0</v>
      </c>
      <c r="G93" s="32" t="b">
        <f t="shared" si="0"/>
        <v>0</v>
      </c>
      <c r="H93" s="27"/>
      <c r="I93" s="33" t="b">
        <f t="shared" si="1"/>
        <v>0</v>
      </c>
      <c r="J93" s="32" t="b">
        <f t="shared" si="18"/>
        <v>0</v>
      </c>
      <c r="K93" s="27"/>
      <c r="L93" s="33" t="b">
        <f t="shared" si="19"/>
        <v>0</v>
      </c>
      <c r="M93" s="40">
        <f t="shared" si="13"/>
        <v>0</v>
      </c>
      <c r="N93" s="40" t="b">
        <f t="shared" si="14"/>
        <v>0</v>
      </c>
      <c r="O93" s="41" t="e">
        <f t="shared" si="15"/>
        <v>#VALUE!</v>
      </c>
      <c r="P93" s="41" t="b">
        <f t="shared" si="16"/>
        <v>0</v>
      </c>
      <c r="Q93" s="27"/>
      <c r="R93" s="27"/>
      <c r="S93" s="43"/>
      <c r="T93" s="27"/>
      <c r="U93" s="1"/>
      <c r="V93" s="1"/>
      <c r="W93" s="15"/>
      <c r="X93" s="15"/>
    </row>
    <row r="94" spans="1:24">
      <c r="A94" s="27"/>
      <c r="B94" s="26"/>
      <c r="C94" s="27"/>
      <c r="D94" s="27"/>
      <c r="E94" s="27"/>
      <c r="F94" s="31" t="b">
        <f t="shared" si="17"/>
        <v>0</v>
      </c>
      <c r="G94" s="32" t="b">
        <f t="shared" si="0"/>
        <v>0</v>
      </c>
      <c r="H94" s="27"/>
      <c r="I94" s="33" t="b">
        <f t="shared" si="1"/>
        <v>0</v>
      </c>
      <c r="J94" s="32" t="b">
        <f t="shared" si="18"/>
        <v>0</v>
      </c>
      <c r="K94" s="27"/>
      <c r="L94" s="33" t="b">
        <f t="shared" si="19"/>
        <v>0</v>
      </c>
      <c r="M94" s="40">
        <f t="shared" si="13"/>
        <v>0</v>
      </c>
      <c r="N94" s="40" t="b">
        <f t="shared" si="14"/>
        <v>0</v>
      </c>
      <c r="O94" s="41" t="e">
        <f t="shared" si="15"/>
        <v>#VALUE!</v>
      </c>
      <c r="P94" s="41" t="b">
        <f t="shared" si="16"/>
        <v>0</v>
      </c>
      <c r="Q94" s="27"/>
      <c r="R94" s="27"/>
      <c r="S94" s="43"/>
      <c r="T94" s="27"/>
      <c r="U94" s="1"/>
      <c r="V94" s="1"/>
      <c r="W94" s="15"/>
      <c r="X94" s="15"/>
    </row>
    <row r="95" spans="1:24">
      <c r="A95" s="27"/>
      <c r="B95" s="26"/>
      <c r="C95" s="27"/>
      <c r="D95" s="27"/>
      <c r="E95" s="27"/>
      <c r="F95" s="31" t="b">
        <f t="shared" si="17"/>
        <v>0</v>
      </c>
      <c r="G95" s="32" t="b">
        <f t="shared" si="0"/>
        <v>0</v>
      </c>
      <c r="H95" s="27"/>
      <c r="I95" s="33" t="b">
        <f t="shared" si="1"/>
        <v>0</v>
      </c>
      <c r="J95" s="32" t="b">
        <f t="shared" si="18"/>
        <v>0</v>
      </c>
      <c r="K95" s="27"/>
      <c r="L95" s="33" t="b">
        <f t="shared" si="19"/>
        <v>0</v>
      </c>
      <c r="M95" s="40">
        <f t="shared" si="13"/>
        <v>0</v>
      </c>
      <c r="N95" s="40" t="b">
        <f t="shared" si="14"/>
        <v>0</v>
      </c>
      <c r="O95" s="41" t="e">
        <f t="shared" si="15"/>
        <v>#VALUE!</v>
      </c>
      <c r="P95" s="41" t="b">
        <f t="shared" si="16"/>
        <v>0</v>
      </c>
      <c r="Q95" s="27"/>
      <c r="R95" s="27"/>
      <c r="S95" s="43"/>
      <c r="T95" s="27"/>
      <c r="U95" s="1"/>
      <c r="V95" s="1"/>
      <c r="W95" s="15"/>
      <c r="X95" s="15"/>
    </row>
    <row r="96" spans="1:24">
      <c r="A96" s="27"/>
      <c r="B96" s="26"/>
      <c r="C96" s="27"/>
      <c r="D96" s="27"/>
      <c r="E96" s="27"/>
      <c r="F96" s="31" t="b">
        <f t="shared" si="17"/>
        <v>0</v>
      </c>
      <c r="G96" s="32" t="b">
        <f t="shared" si="0"/>
        <v>0</v>
      </c>
      <c r="H96" s="27"/>
      <c r="I96" s="33" t="b">
        <f t="shared" si="1"/>
        <v>0</v>
      </c>
      <c r="J96" s="32" t="b">
        <f t="shared" si="18"/>
        <v>0</v>
      </c>
      <c r="K96" s="27"/>
      <c r="L96" s="33" t="b">
        <f t="shared" si="19"/>
        <v>0</v>
      </c>
      <c r="M96" s="40">
        <f t="shared" si="13"/>
        <v>0</v>
      </c>
      <c r="N96" s="40" t="b">
        <f t="shared" si="14"/>
        <v>0</v>
      </c>
      <c r="O96" s="41" t="e">
        <f t="shared" si="15"/>
        <v>#VALUE!</v>
      </c>
      <c r="P96" s="41" t="b">
        <f t="shared" si="16"/>
        <v>0</v>
      </c>
      <c r="Q96" s="27"/>
      <c r="R96" s="27"/>
      <c r="S96" s="43"/>
      <c r="T96" s="27"/>
      <c r="U96" s="1"/>
      <c r="V96" s="1"/>
      <c r="W96" s="15"/>
      <c r="X96" s="15"/>
    </row>
    <row r="97" spans="1:24">
      <c r="A97" s="27"/>
      <c r="B97" s="26"/>
      <c r="C97" s="27"/>
      <c r="D97" s="27"/>
      <c r="E97" s="27"/>
      <c r="F97" s="31" t="b">
        <f t="shared" si="17"/>
        <v>0</v>
      </c>
      <c r="G97" s="32" t="b">
        <f t="shared" si="0"/>
        <v>0</v>
      </c>
      <c r="H97" s="27"/>
      <c r="I97" s="33" t="b">
        <f t="shared" si="1"/>
        <v>0</v>
      </c>
      <c r="J97" s="32" t="b">
        <f t="shared" si="18"/>
        <v>0</v>
      </c>
      <c r="K97" s="27"/>
      <c r="L97" s="33" t="b">
        <f t="shared" si="19"/>
        <v>0</v>
      </c>
      <c r="M97" s="40">
        <f t="shared" si="13"/>
        <v>0</v>
      </c>
      <c r="N97" s="40" t="b">
        <f t="shared" si="14"/>
        <v>0</v>
      </c>
      <c r="O97" s="41" t="e">
        <f t="shared" si="15"/>
        <v>#VALUE!</v>
      </c>
      <c r="P97" s="41" t="b">
        <f t="shared" si="16"/>
        <v>0</v>
      </c>
      <c r="Q97" s="27"/>
      <c r="R97" s="27"/>
      <c r="S97" s="43"/>
      <c r="T97" s="27"/>
      <c r="U97" s="1"/>
      <c r="V97" s="1"/>
      <c r="W97" s="15"/>
      <c r="X97" s="15"/>
    </row>
    <row r="98" spans="1:24">
      <c r="A98" s="27"/>
      <c r="B98" s="26"/>
      <c r="C98" s="27"/>
      <c r="D98" s="27"/>
      <c r="E98" s="27"/>
      <c r="F98" s="31" t="b">
        <f t="shared" si="17"/>
        <v>0</v>
      </c>
      <c r="G98" s="32" t="b">
        <f t="shared" si="0"/>
        <v>0</v>
      </c>
      <c r="H98" s="27"/>
      <c r="I98" s="33" t="b">
        <f t="shared" si="1"/>
        <v>0</v>
      </c>
      <c r="J98" s="32" t="b">
        <f t="shared" si="18"/>
        <v>0</v>
      </c>
      <c r="K98" s="27"/>
      <c r="L98" s="33" t="b">
        <f t="shared" si="19"/>
        <v>0</v>
      </c>
      <c r="M98" s="40">
        <f t="shared" si="13"/>
        <v>0</v>
      </c>
      <c r="N98" s="40" t="b">
        <f t="shared" si="14"/>
        <v>0</v>
      </c>
      <c r="O98" s="41" t="e">
        <f t="shared" si="15"/>
        <v>#VALUE!</v>
      </c>
      <c r="P98" s="41" t="b">
        <f t="shared" si="16"/>
        <v>0</v>
      </c>
      <c r="Q98" s="27"/>
      <c r="R98" s="27"/>
      <c r="S98" s="43"/>
      <c r="T98" s="27"/>
      <c r="U98" s="1"/>
      <c r="V98" s="1"/>
      <c r="W98" s="15"/>
      <c r="X98" s="15"/>
    </row>
    <row r="99" spans="1:24">
      <c r="A99" s="27"/>
      <c r="B99" s="26"/>
      <c r="C99" s="27"/>
      <c r="D99" s="27"/>
      <c r="E99" s="27"/>
      <c r="F99" s="31" t="b">
        <f t="shared" si="17"/>
        <v>0</v>
      </c>
      <c r="G99" s="32" t="b">
        <f t="shared" si="0"/>
        <v>0</v>
      </c>
      <c r="H99" s="27"/>
      <c r="I99" s="33" t="b">
        <f t="shared" si="1"/>
        <v>0</v>
      </c>
      <c r="J99" s="32" t="b">
        <f t="shared" si="18"/>
        <v>0</v>
      </c>
      <c r="K99" s="27"/>
      <c r="L99" s="33" t="b">
        <f t="shared" si="19"/>
        <v>0</v>
      </c>
      <c r="M99" s="40">
        <f t="shared" si="13"/>
        <v>0</v>
      </c>
      <c r="N99" s="40" t="b">
        <f t="shared" ref="N99:N101" si="20">IF(B99="BUY",(M99*(1-0.1%)),IF(B99="SELL",(M99*(1+0.1%))))</f>
        <v>0</v>
      </c>
      <c r="O99" s="41" t="e">
        <f t="shared" si="15"/>
        <v>#VALUE!</v>
      </c>
      <c r="P99" s="41" t="b">
        <f t="shared" ref="P99:P101" si="21">IF(B99="BUY",(O99*(1-0.1%)),IF(B99="SELL",(O99*(1+0.1%))))</f>
        <v>0</v>
      </c>
      <c r="Q99" s="27"/>
      <c r="R99" s="27"/>
      <c r="S99" s="43"/>
      <c r="T99" s="27"/>
      <c r="U99" s="1"/>
      <c r="V99" s="1"/>
      <c r="W99" s="15"/>
      <c r="X99" s="15"/>
    </row>
    <row r="100" spans="1:24">
      <c r="A100" s="27"/>
      <c r="B100" s="26"/>
      <c r="C100" s="27"/>
      <c r="D100" s="27"/>
      <c r="E100" s="27"/>
      <c r="F100" s="31" t="b">
        <f t="shared" si="17"/>
        <v>0</v>
      </c>
      <c r="G100" s="32" t="b">
        <f t="shared" si="0"/>
        <v>0</v>
      </c>
      <c r="H100" s="27"/>
      <c r="I100" s="33" t="b">
        <f t="shared" si="1"/>
        <v>0</v>
      </c>
      <c r="J100" s="32" t="b">
        <f t="shared" si="18"/>
        <v>0</v>
      </c>
      <c r="K100" s="27"/>
      <c r="L100" s="33" t="b">
        <f t="shared" si="19"/>
        <v>0</v>
      </c>
      <c r="M100" s="40">
        <f t="shared" si="13"/>
        <v>0</v>
      </c>
      <c r="N100" s="40" t="b">
        <f t="shared" si="20"/>
        <v>0</v>
      </c>
      <c r="O100" s="41" t="e">
        <f t="shared" si="15"/>
        <v>#VALUE!</v>
      </c>
      <c r="P100" s="41" t="b">
        <f t="shared" si="21"/>
        <v>0</v>
      </c>
      <c r="Q100" s="27"/>
      <c r="R100" s="27"/>
      <c r="S100" s="43"/>
      <c r="T100" s="27"/>
      <c r="U100" s="1"/>
      <c r="V100" s="1"/>
      <c r="W100" s="15"/>
      <c r="X100" s="15"/>
    </row>
    <row r="101" spans="1:24">
      <c r="A101" s="27"/>
      <c r="B101" s="26"/>
      <c r="C101" s="27"/>
      <c r="D101" s="27"/>
      <c r="E101" s="27"/>
      <c r="F101" s="31" t="b">
        <f t="shared" si="17"/>
        <v>0</v>
      </c>
      <c r="G101" s="32" t="b">
        <f t="shared" si="0"/>
        <v>0</v>
      </c>
      <c r="H101" s="27"/>
      <c r="I101" s="33" t="b">
        <f t="shared" si="1"/>
        <v>0</v>
      </c>
      <c r="J101" s="32" t="b">
        <f t="shared" si="18"/>
        <v>0</v>
      </c>
      <c r="K101" s="27"/>
      <c r="L101" s="33" t="b">
        <f t="shared" si="19"/>
        <v>0</v>
      </c>
      <c r="M101" s="40">
        <f t="shared" si="13"/>
        <v>0</v>
      </c>
      <c r="N101" s="40" t="b">
        <f t="shared" si="20"/>
        <v>0</v>
      </c>
      <c r="O101" s="41" t="e">
        <f t="shared" si="15"/>
        <v>#VALUE!</v>
      </c>
      <c r="P101" s="41" t="b">
        <f t="shared" si="21"/>
        <v>0</v>
      </c>
      <c r="Q101" s="27"/>
      <c r="R101" s="27"/>
      <c r="S101" s="43"/>
      <c r="T101" s="27"/>
      <c r="U101" s="1"/>
      <c r="V101" s="1"/>
      <c r="W101" s="15"/>
      <c r="X101" s="15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64" t="s">
        <v>17</v>
      </c>
      <c r="R102" s="45"/>
      <c r="S102" s="65">
        <f>SUM(S3:S101)</f>
        <v>160580</v>
      </c>
      <c r="T102" s="1"/>
      <c r="U102" s="1"/>
      <c r="V102" s="1"/>
      <c r="W102" s="15"/>
      <c r="X102" s="15"/>
    </row>
    <row r="104" spans="2:3">
      <c r="B104" s="16"/>
      <c r="C104" s="16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5">
      <c r="A108" s="17"/>
      <c r="B108" s="18"/>
      <c r="C108" s="18"/>
      <c r="D108" s="17"/>
      <c r="E108" s="17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g9hStxWs4Em5C8WkuvGX6ID+LAu/D0vHjsuyrmLDr5HGpL2FmsH/QXidRsQz0WQZLD5SiOuZS6Ueexh8NTuHuQ==" saltValue="eAUZxRjRE3fkdIoDfXcG0g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ErrorMessage="1" sqref="B3:B101">
      <formula1>$V$1:$V$2</formula1>
    </dataValidation>
  </dataValidations>
  <pageMargins left="0.699305555555556" right="0.699305555555556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5"/>
  <sheetViews>
    <sheetView workbookViewId="0">
      <selection activeCell="K4" sqref="K4"/>
    </sheetView>
  </sheetViews>
  <sheetFormatPr defaultColWidth="9" defaultRowHeight="17.6"/>
  <cols>
    <col min="1" max="1" width="13" customWidth="1"/>
    <col min="2" max="2" width="12.5" customWidth="1"/>
    <col min="3" max="3" width="12" customWidth="1"/>
    <col min="4" max="5" width="12.5" customWidth="1"/>
    <col min="6" max="6" width="12.8303571428571" hidden="1" customWidth="1"/>
    <col min="7" max="7" width="12.8303571428571" customWidth="1"/>
    <col min="8" max="8" width="12.6607142857143" customWidth="1"/>
    <col min="9" max="9" width="13.5" hidden="1" customWidth="1"/>
    <col min="10" max="10" width="12.8303571428571" customWidth="1"/>
    <col min="11" max="11" width="13.5" customWidth="1"/>
    <col min="12" max="12" width="12.5" hidden="1" customWidth="1"/>
    <col min="13" max="13" width="12.6607142857143" customWidth="1"/>
    <col min="14" max="14" width="12.8303571428571" customWidth="1"/>
    <col min="15" max="16" width="13" customWidth="1"/>
    <col min="17" max="17" width="12.5" customWidth="1"/>
    <col min="18" max="18" width="12.8303571428571" customWidth="1"/>
    <col min="19" max="19" width="12.3303571428571" customWidth="1"/>
    <col min="20" max="20" width="13" customWidth="1"/>
    <col min="22" max="22" width="9" hidden="1" customWidth="1"/>
  </cols>
  <sheetData>
    <row r="1" spans="1:24">
      <c r="A1" s="1"/>
      <c r="B1" s="1"/>
      <c r="C1" s="1"/>
      <c r="D1" s="1"/>
      <c r="E1" s="1"/>
      <c r="F1" s="1"/>
      <c r="G1" s="58" t="s">
        <v>25</v>
      </c>
      <c r="H1" s="59"/>
      <c r="I1" s="59"/>
      <c r="J1" s="28" t="s">
        <v>26</v>
      </c>
      <c r="K1" s="29"/>
      <c r="L1" s="29"/>
      <c r="M1" s="60" t="s">
        <v>0</v>
      </c>
      <c r="N1" s="60"/>
      <c r="O1" s="61" t="s">
        <v>1</v>
      </c>
      <c r="P1" s="61"/>
      <c r="Q1" s="1"/>
      <c r="R1" s="1"/>
      <c r="S1" s="1"/>
      <c r="T1" s="1"/>
      <c r="U1" s="1"/>
      <c r="V1" s="1" t="s">
        <v>19</v>
      </c>
      <c r="W1" s="15"/>
      <c r="X1" s="15"/>
    </row>
    <row r="2" spans="1:24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30" t="s">
        <v>27</v>
      </c>
      <c r="K2" s="30" t="s">
        <v>9</v>
      </c>
      <c r="L2" s="30" t="s">
        <v>10</v>
      </c>
      <c r="M2" s="62" t="s">
        <v>28</v>
      </c>
      <c r="N2" s="62" t="s">
        <v>29</v>
      </c>
      <c r="O2" s="63" t="s">
        <v>30</v>
      </c>
      <c r="P2" s="63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 t="s">
        <v>20</v>
      </c>
      <c r="W2" s="15"/>
      <c r="X2" s="15"/>
    </row>
    <row r="3" spans="1:24">
      <c r="A3" s="56">
        <v>45957</v>
      </c>
      <c r="B3" s="26" t="s">
        <v>19</v>
      </c>
      <c r="C3" s="27">
        <v>130232</v>
      </c>
      <c r="D3" s="27">
        <v>132185</v>
      </c>
      <c r="E3" s="27">
        <v>128279</v>
      </c>
      <c r="F3" s="31">
        <f>IF(B3="BUY",(C3*(1-1.5%)),IF(B3="SELL",(C3*(1+1.5%))))</f>
        <v>128278.52</v>
      </c>
      <c r="G3" s="32" t="str">
        <f t="shared" ref="G3:G101" si="0">IF(B3="BUY","2DLL",IF(B3="SELL","2DHH"))</f>
        <v>2DLL</v>
      </c>
      <c r="H3" s="27">
        <v>129566</v>
      </c>
      <c r="I3" s="33">
        <f t="shared" ref="I3:I101" si="1">IF(G3="2DHH",(H3*(1+0.12%)),IF(G3="2DLL",(H3*(1-0.12%))))</f>
        <v>129410.5208</v>
      </c>
      <c r="J3" s="32" t="str">
        <f>IF(B3="BUY","4DLL",IF(B3="SELL","4DHH"))</f>
        <v>4DLL</v>
      </c>
      <c r="K3" s="27">
        <v>128266</v>
      </c>
      <c r="L3" s="33">
        <f>IF(J3="4DHH",(K3*(1+0.12%)),IF(J3="4DLL",(K3*(1-0.12%))))</f>
        <v>128112.0808</v>
      </c>
      <c r="M3" s="40">
        <f t="shared" ref="M3:M66" si="2">MROUND(IF(B3="BUY",MAX(F3,I3),IF(B3="SELL",MIN(F3,I3))),1)</f>
        <v>129411</v>
      </c>
      <c r="N3" s="40">
        <f t="shared" ref="N3:N66" si="3">IF(B3="BUY",(M3*(1-0.1%)),IF(B3="SELL",(M3*(1+0.1%))))</f>
        <v>129281.589</v>
      </c>
      <c r="O3" s="41">
        <f t="shared" ref="O3:O66" si="4">MROUND(IF(B3="BUY",MAX(F3,L3),IF(B3="SELL",MIN(F3,L3))),1)</f>
        <v>128279</v>
      </c>
      <c r="P3" s="41">
        <f t="shared" ref="P3:P66" si="5">IF(B3="BUY",(O3*(1-0.1%)),IF(B3="SELL",(O3*(1+0.1%))))</f>
        <v>128150.721</v>
      </c>
      <c r="Q3" s="27">
        <f>D3-C3</f>
        <v>1953</v>
      </c>
      <c r="R3" s="27"/>
      <c r="S3" s="43"/>
      <c r="T3" s="27"/>
      <c r="U3" s="1"/>
      <c r="V3" s="1"/>
      <c r="W3" s="15"/>
      <c r="X3" s="15"/>
    </row>
    <row r="4" spans="1:24">
      <c r="A4" s="56"/>
      <c r="B4" s="26"/>
      <c r="C4" s="27"/>
      <c r="D4" s="27"/>
      <c r="E4" s="27"/>
      <c r="F4" s="31" t="b">
        <f t="shared" ref="F4:F67" si="6">IF(B4="BUY",(C4*(1-1.5%)),IF(B4="SELL",(C4*(1+1.5%))))</f>
        <v>0</v>
      </c>
      <c r="G4" s="32" t="b">
        <f t="shared" si="0"/>
        <v>0</v>
      </c>
      <c r="H4" s="27"/>
      <c r="I4" s="33" t="b">
        <f t="shared" si="1"/>
        <v>0</v>
      </c>
      <c r="J4" s="32" t="b">
        <f t="shared" ref="J4:J67" si="7">IF(B4="BUY","4DLL",IF(B4="SELL","4DHH"))</f>
        <v>0</v>
      </c>
      <c r="K4" s="27"/>
      <c r="L4" s="33" t="b">
        <f t="shared" ref="L4:L67" si="8">IF(J4="4DHH",(K4*(1+0.12%)),IF(J4="4DLL",(K4*(1-0.12%))))</f>
        <v>0</v>
      </c>
      <c r="M4" s="40" t="e">
        <f t="shared" si="2"/>
        <v>#VALUE!</v>
      </c>
      <c r="N4" s="40" t="b">
        <f t="shared" si="3"/>
        <v>0</v>
      </c>
      <c r="O4" s="41" t="e">
        <f t="shared" si="4"/>
        <v>#VALUE!</v>
      </c>
      <c r="P4" s="41" t="b">
        <f t="shared" si="5"/>
        <v>0</v>
      </c>
      <c r="Q4" s="27"/>
      <c r="R4" s="27"/>
      <c r="S4" s="43"/>
      <c r="T4" s="27"/>
      <c r="U4" s="1"/>
      <c r="V4" s="1"/>
      <c r="W4" s="15"/>
      <c r="X4" s="15"/>
    </row>
    <row r="5" spans="1:24">
      <c r="A5" s="56"/>
      <c r="B5" s="26"/>
      <c r="C5" s="27"/>
      <c r="D5" s="27"/>
      <c r="E5" s="27"/>
      <c r="F5" s="31" t="b">
        <f t="shared" si="6"/>
        <v>0</v>
      </c>
      <c r="G5" s="32" t="b">
        <f t="shared" si="0"/>
        <v>0</v>
      </c>
      <c r="H5" s="27"/>
      <c r="I5" s="33" t="b">
        <f t="shared" si="1"/>
        <v>0</v>
      </c>
      <c r="J5" s="32" t="b">
        <f t="shared" si="7"/>
        <v>0</v>
      </c>
      <c r="K5" s="27"/>
      <c r="L5" s="33" t="b">
        <f t="shared" si="8"/>
        <v>0</v>
      </c>
      <c r="M5" s="40" t="e">
        <f t="shared" si="2"/>
        <v>#VALUE!</v>
      </c>
      <c r="N5" s="40" t="b">
        <f t="shared" si="3"/>
        <v>0</v>
      </c>
      <c r="O5" s="41" t="e">
        <f t="shared" si="4"/>
        <v>#VALUE!</v>
      </c>
      <c r="P5" s="41" t="b">
        <f t="shared" si="5"/>
        <v>0</v>
      </c>
      <c r="Q5" s="27"/>
      <c r="R5" s="27"/>
      <c r="S5" s="43"/>
      <c r="T5" s="27"/>
      <c r="U5" s="1"/>
      <c r="V5" s="1"/>
      <c r="W5" s="15"/>
      <c r="X5" s="15"/>
    </row>
    <row r="6" spans="1:24">
      <c r="A6" s="56"/>
      <c r="B6" s="26"/>
      <c r="C6" s="27"/>
      <c r="D6" s="27"/>
      <c r="E6" s="27"/>
      <c r="F6" s="31" t="b">
        <f t="shared" si="6"/>
        <v>0</v>
      </c>
      <c r="G6" s="32" t="b">
        <f t="shared" si="0"/>
        <v>0</v>
      </c>
      <c r="H6" s="27"/>
      <c r="I6" s="33" t="b">
        <f t="shared" si="1"/>
        <v>0</v>
      </c>
      <c r="J6" s="32" t="b">
        <f t="shared" si="7"/>
        <v>0</v>
      </c>
      <c r="K6" s="27"/>
      <c r="L6" s="33" t="b">
        <f t="shared" si="8"/>
        <v>0</v>
      </c>
      <c r="M6" s="40" t="e">
        <f t="shared" si="2"/>
        <v>#VALUE!</v>
      </c>
      <c r="N6" s="40" t="b">
        <f t="shared" si="3"/>
        <v>0</v>
      </c>
      <c r="O6" s="41" t="e">
        <f t="shared" si="4"/>
        <v>#VALUE!</v>
      </c>
      <c r="P6" s="41" t="b">
        <f t="shared" si="5"/>
        <v>0</v>
      </c>
      <c r="Q6" s="27"/>
      <c r="R6" s="27"/>
      <c r="S6" s="43"/>
      <c r="T6" s="27"/>
      <c r="U6" s="1"/>
      <c r="V6" s="1"/>
      <c r="W6" s="15"/>
      <c r="X6" s="15"/>
    </row>
    <row r="7" spans="1:24">
      <c r="A7" s="56"/>
      <c r="B7" s="26"/>
      <c r="C7" s="27"/>
      <c r="D7" s="27"/>
      <c r="E7" s="27"/>
      <c r="F7" s="31" t="b">
        <f t="shared" si="6"/>
        <v>0</v>
      </c>
      <c r="G7" s="32" t="b">
        <f t="shared" si="0"/>
        <v>0</v>
      </c>
      <c r="H7" s="27"/>
      <c r="I7" s="33" t="b">
        <f t="shared" si="1"/>
        <v>0</v>
      </c>
      <c r="J7" s="32" t="b">
        <f t="shared" si="7"/>
        <v>0</v>
      </c>
      <c r="K7" s="27"/>
      <c r="L7" s="33" t="b">
        <f t="shared" si="8"/>
        <v>0</v>
      </c>
      <c r="M7" s="40" t="e">
        <f t="shared" si="2"/>
        <v>#VALUE!</v>
      </c>
      <c r="N7" s="40" t="b">
        <f t="shared" si="3"/>
        <v>0</v>
      </c>
      <c r="O7" s="41" t="e">
        <f t="shared" si="4"/>
        <v>#VALUE!</v>
      </c>
      <c r="P7" s="41" t="b">
        <f t="shared" si="5"/>
        <v>0</v>
      </c>
      <c r="Q7" s="27"/>
      <c r="R7" s="27"/>
      <c r="S7" s="43"/>
      <c r="T7" s="27"/>
      <c r="U7" s="1"/>
      <c r="V7" s="1"/>
      <c r="W7" s="15"/>
      <c r="X7" s="15"/>
    </row>
    <row r="8" spans="1:24">
      <c r="A8" s="56"/>
      <c r="B8" s="26"/>
      <c r="C8" s="27"/>
      <c r="D8" s="27"/>
      <c r="E8" s="27"/>
      <c r="F8" s="31" t="b">
        <f t="shared" si="6"/>
        <v>0</v>
      </c>
      <c r="G8" s="32" t="b">
        <f t="shared" si="0"/>
        <v>0</v>
      </c>
      <c r="H8" s="27"/>
      <c r="I8" s="33" t="b">
        <f t="shared" si="1"/>
        <v>0</v>
      </c>
      <c r="J8" s="32" t="b">
        <f t="shared" si="7"/>
        <v>0</v>
      </c>
      <c r="K8" s="27"/>
      <c r="L8" s="33" t="b">
        <f t="shared" si="8"/>
        <v>0</v>
      </c>
      <c r="M8" s="40" t="e">
        <f t="shared" si="2"/>
        <v>#VALUE!</v>
      </c>
      <c r="N8" s="40" t="b">
        <f t="shared" si="3"/>
        <v>0</v>
      </c>
      <c r="O8" s="41" t="e">
        <f t="shared" si="4"/>
        <v>#VALUE!</v>
      </c>
      <c r="P8" s="41" t="b">
        <f t="shared" si="5"/>
        <v>0</v>
      </c>
      <c r="Q8" s="27"/>
      <c r="R8" s="27"/>
      <c r="S8" s="43"/>
      <c r="T8" s="27"/>
      <c r="U8" s="1"/>
      <c r="V8" s="1"/>
      <c r="W8" s="15"/>
      <c r="X8" s="15"/>
    </row>
    <row r="9" spans="1:24">
      <c r="A9" s="56"/>
      <c r="B9" s="26"/>
      <c r="C9" s="27"/>
      <c r="D9" s="27"/>
      <c r="E9" s="27"/>
      <c r="F9" s="31" t="b">
        <f t="shared" si="6"/>
        <v>0</v>
      </c>
      <c r="G9" s="32" t="b">
        <f t="shared" si="0"/>
        <v>0</v>
      </c>
      <c r="H9" s="27"/>
      <c r="I9" s="33" t="b">
        <f t="shared" si="1"/>
        <v>0</v>
      </c>
      <c r="J9" s="32" t="b">
        <f t="shared" si="7"/>
        <v>0</v>
      </c>
      <c r="K9" s="27"/>
      <c r="L9" s="33" t="b">
        <f t="shared" si="8"/>
        <v>0</v>
      </c>
      <c r="M9" s="40" t="e">
        <f t="shared" si="2"/>
        <v>#VALUE!</v>
      </c>
      <c r="N9" s="40" t="b">
        <f t="shared" si="3"/>
        <v>0</v>
      </c>
      <c r="O9" s="41" t="e">
        <f t="shared" si="4"/>
        <v>#VALUE!</v>
      </c>
      <c r="P9" s="41" t="b">
        <f t="shared" si="5"/>
        <v>0</v>
      </c>
      <c r="Q9" s="27"/>
      <c r="R9" s="27"/>
      <c r="S9" s="43"/>
      <c r="T9" s="27"/>
      <c r="U9" s="1"/>
      <c r="V9" s="1"/>
      <c r="W9" s="15"/>
      <c r="X9" s="15"/>
    </row>
    <row r="10" spans="1:24">
      <c r="A10" s="56"/>
      <c r="B10" s="26"/>
      <c r="C10" s="27"/>
      <c r="D10" s="27"/>
      <c r="E10" s="27"/>
      <c r="F10" s="31" t="b">
        <f t="shared" si="6"/>
        <v>0</v>
      </c>
      <c r="G10" s="32" t="b">
        <f t="shared" si="0"/>
        <v>0</v>
      </c>
      <c r="H10" s="27"/>
      <c r="I10" s="33" t="b">
        <f t="shared" si="1"/>
        <v>0</v>
      </c>
      <c r="J10" s="32" t="b">
        <f t="shared" si="7"/>
        <v>0</v>
      </c>
      <c r="K10" s="27"/>
      <c r="L10" s="33" t="b">
        <f t="shared" si="8"/>
        <v>0</v>
      </c>
      <c r="M10" s="40" t="e">
        <f t="shared" si="2"/>
        <v>#VALUE!</v>
      </c>
      <c r="N10" s="40" t="b">
        <f t="shared" si="3"/>
        <v>0</v>
      </c>
      <c r="O10" s="41" t="e">
        <f t="shared" si="4"/>
        <v>#VALUE!</v>
      </c>
      <c r="P10" s="41" t="b">
        <f t="shared" si="5"/>
        <v>0</v>
      </c>
      <c r="Q10" s="27"/>
      <c r="R10" s="27"/>
      <c r="S10" s="43"/>
      <c r="T10" s="27"/>
      <c r="U10" s="1"/>
      <c r="V10" s="1"/>
      <c r="W10" s="15"/>
      <c r="X10" s="15"/>
    </row>
    <row r="11" spans="1:24">
      <c r="A11" s="56"/>
      <c r="B11" s="26"/>
      <c r="C11" s="27"/>
      <c r="D11" s="27"/>
      <c r="E11" s="27"/>
      <c r="F11" s="31" t="b">
        <f t="shared" si="6"/>
        <v>0</v>
      </c>
      <c r="G11" s="32" t="b">
        <f t="shared" si="0"/>
        <v>0</v>
      </c>
      <c r="H11" s="27"/>
      <c r="I11" s="33" t="b">
        <f t="shared" si="1"/>
        <v>0</v>
      </c>
      <c r="J11" s="32" t="b">
        <f t="shared" si="7"/>
        <v>0</v>
      </c>
      <c r="K11" s="27"/>
      <c r="L11" s="33" t="b">
        <f t="shared" si="8"/>
        <v>0</v>
      </c>
      <c r="M11" s="40" t="e">
        <f t="shared" si="2"/>
        <v>#VALUE!</v>
      </c>
      <c r="N11" s="40" t="b">
        <f t="shared" si="3"/>
        <v>0</v>
      </c>
      <c r="O11" s="41" t="e">
        <f t="shared" si="4"/>
        <v>#VALUE!</v>
      </c>
      <c r="P11" s="41" t="b">
        <f t="shared" si="5"/>
        <v>0</v>
      </c>
      <c r="Q11" s="27"/>
      <c r="R11" s="27"/>
      <c r="S11" s="43"/>
      <c r="T11" s="27"/>
      <c r="U11" s="1"/>
      <c r="V11" s="1"/>
      <c r="W11" s="15"/>
      <c r="X11" s="15"/>
    </row>
    <row r="12" spans="1:24">
      <c r="A12" s="56"/>
      <c r="B12" s="26"/>
      <c r="C12" s="27"/>
      <c r="D12" s="27"/>
      <c r="E12" s="27"/>
      <c r="F12" s="31" t="b">
        <f t="shared" si="6"/>
        <v>0</v>
      </c>
      <c r="G12" s="32" t="b">
        <f t="shared" si="0"/>
        <v>0</v>
      </c>
      <c r="H12" s="27"/>
      <c r="I12" s="33" t="b">
        <f t="shared" si="1"/>
        <v>0</v>
      </c>
      <c r="J12" s="32" t="b">
        <f t="shared" si="7"/>
        <v>0</v>
      </c>
      <c r="K12" s="27"/>
      <c r="L12" s="33" t="b">
        <f t="shared" si="8"/>
        <v>0</v>
      </c>
      <c r="M12" s="40" t="e">
        <f t="shared" si="2"/>
        <v>#VALUE!</v>
      </c>
      <c r="N12" s="40" t="b">
        <f t="shared" si="3"/>
        <v>0</v>
      </c>
      <c r="O12" s="41" t="e">
        <f t="shared" si="4"/>
        <v>#VALUE!</v>
      </c>
      <c r="P12" s="41" t="b">
        <f t="shared" si="5"/>
        <v>0</v>
      </c>
      <c r="Q12" s="27"/>
      <c r="R12" s="27"/>
      <c r="S12" s="43"/>
      <c r="T12" s="27"/>
      <c r="U12" s="1"/>
      <c r="V12" s="1"/>
      <c r="W12" s="15"/>
      <c r="X12" s="15"/>
    </row>
    <row r="13" spans="1:24">
      <c r="A13" s="56"/>
      <c r="B13" s="26"/>
      <c r="C13" s="27"/>
      <c r="D13" s="27"/>
      <c r="E13" s="27"/>
      <c r="F13" s="31" t="b">
        <f t="shared" si="6"/>
        <v>0</v>
      </c>
      <c r="G13" s="32" t="b">
        <f t="shared" si="0"/>
        <v>0</v>
      </c>
      <c r="H13" s="27"/>
      <c r="I13" s="33" t="b">
        <f t="shared" si="1"/>
        <v>0</v>
      </c>
      <c r="J13" s="32" t="b">
        <f t="shared" si="7"/>
        <v>0</v>
      </c>
      <c r="K13" s="27"/>
      <c r="L13" s="33" t="b">
        <f t="shared" si="8"/>
        <v>0</v>
      </c>
      <c r="M13" s="40" t="e">
        <f t="shared" si="2"/>
        <v>#VALUE!</v>
      </c>
      <c r="N13" s="40" t="b">
        <f t="shared" si="3"/>
        <v>0</v>
      </c>
      <c r="O13" s="41" t="e">
        <f t="shared" si="4"/>
        <v>#VALUE!</v>
      </c>
      <c r="P13" s="41" t="b">
        <f t="shared" si="5"/>
        <v>0</v>
      </c>
      <c r="Q13" s="27"/>
      <c r="R13" s="27"/>
      <c r="S13" s="43"/>
      <c r="T13" s="27"/>
      <c r="U13" s="1"/>
      <c r="V13" s="1"/>
      <c r="W13" s="15"/>
      <c r="X13" s="15"/>
    </row>
    <row r="14" spans="1:24">
      <c r="A14" s="56"/>
      <c r="B14" s="26"/>
      <c r="C14" s="27"/>
      <c r="D14" s="27"/>
      <c r="E14" s="27"/>
      <c r="F14" s="31" t="b">
        <f t="shared" si="6"/>
        <v>0</v>
      </c>
      <c r="G14" s="32" t="b">
        <f t="shared" si="0"/>
        <v>0</v>
      </c>
      <c r="H14" s="27"/>
      <c r="I14" s="33" t="b">
        <f t="shared" si="1"/>
        <v>0</v>
      </c>
      <c r="J14" s="32" t="b">
        <f t="shared" si="7"/>
        <v>0</v>
      </c>
      <c r="K14" s="27"/>
      <c r="L14" s="33" t="b">
        <f t="shared" si="8"/>
        <v>0</v>
      </c>
      <c r="M14" s="40" t="e">
        <f t="shared" si="2"/>
        <v>#VALUE!</v>
      </c>
      <c r="N14" s="40" t="b">
        <f t="shared" si="3"/>
        <v>0</v>
      </c>
      <c r="O14" s="41" t="e">
        <f t="shared" si="4"/>
        <v>#VALUE!</v>
      </c>
      <c r="P14" s="41" t="b">
        <f t="shared" si="5"/>
        <v>0</v>
      </c>
      <c r="Q14" s="27"/>
      <c r="R14" s="27"/>
      <c r="S14" s="43"/>
      <c r="T14" s="27"/>
      <c r="U14" s="1"/>
      <c r="V14" s="1"/>
      <c r="W14" s="15"/>
      <c r="X14" s="15"/>
    </row>
    <row r="15" spans="1:24">
      <c r="A15" s="56"/>
      <c r="B15" s="26"/>
      <c r="C15" s="27"/>
      <c r="D15" s="27"/>
      <c r="E15" s="27"/>
      <c r="F15" s="31" t="b">
        <f t="shared" si="6"/>
        <v>0</v>
      </c>
      <c r="G15" s="32" t="b">
        <f t="shared" si="0"/>
        <v>0</v>
      </c>
      <c r="H15" s="27"/>
      <c r="I15" s="33" t="b">
        <f t="shared" si="1"/>
        <v>0</v>
      </c>
      <c r="J15" s="32" t="b">
        <f t="shared" si="7"/>
        <v>0</v>
      </c>
      <c r="K15" s="27"/>
      <c r="L15" s="33" t="b">
        <f t="shared" si="8"/>
        <v>0</v>
      </c>
      <c r="M15" s="40" t="e">
        <f t="shared" si="2"/>
        <v>#VALUE!</v>
      </c>
      <c r="N15" s="40" t="b">
        <f t="shared" si="3"/>
        <v>0</v>
      </c>
      <c r="O15" s="41" t="e">
        <f t="shared" si="4"/>
        <v>#VALUE!</v>
      </c>
      <c r="P15" s="41" t="b">
        <f t="shared" si="5"/>
        <v>0</v>
      </c>
      <c r="Q15" s="27"/>
      <c r="R15" s="27"/>
      <c r="S15" s="43"/>
      <c r="T15" s="27"/>
      <c r="U15" s="1"/>
      <c r="V15" s="1"/>
      <c r="W15" s="15"/>
      <c r="X15" s="15"/>
    </row>
    <row r="16" spans="1:24">
      <c r="A16" s="56"/>
      <c r="B16" s="26"/>
      <c r="C16" s="27"/>
      <c r="D16" s="27"/>
      <c r="E16" s="27"/>
      <c r="F16" s="31" t="b">
        <f t="shared" si="6"/>
        <v>0</v>
      </c>
      <c r="G16" s="32" t="b">
        <f t="shared" si="0"/>
        <v>0</v>
      </c>
      <c r="H16" s="27"/>
      <c r="I16" s="33" t="b">
        <f t="shared" si="1"/>
        <v>0</v>
      </c>
      <c r="J16" s="32" t="b">
        <f t="shared" si="7"/>
        <v>0</v>
      </c>
      <c r="K16" s="27"/>
      <c r="L16" s="33" t="b">
        <f t="shared" si="8"/>
        <v>0</v>
      </c>
      <c r="M16" s="40" t="e">
        <f t="shared" si="2"/>
        <v>#VALUE!</v>
      </c>
      <c r="N16" s="40" t="b">
        <f t="shared" si="3"/>
        <v>0</v>
      </c>
      <c r="O16" s="41" t="e">
        <f t="shared" si="4"/>
        <v>#VALUE!</v>
      </c>
      <c r="P16" s="41" t="b">
        <f t="shared" si="5"/>
        <v>0</v>
      </c>
      <c r="Q16" s="27"/>
      <c r="R16" s="27"/>
      <c r="S16" s="43"/>
      <c r="T16" s="27"/>
      <c r="U16" s="1"/>
      <c r="V16" s="1"/>
      <c r="W16" s="15"/>
      <c r="X16" s="15"/>
    </row>
    <row r="17" spans="1:24">
      <c r="A17" s="56"/>
      <c r="B17" s="26"/>
      <c r="C17" s="27"/>
      <c r="D17" s="27"/>
      <c r="E17" s="27"/>
      <c r="F17" s="31" t="b">
        <f t="shared" si="6"/>
        <v>0</v>
      </c>
      <c r="G17" s="32" t="b">
        <f t="shared" si="0"/>
        <v>0</v>
      </c>
      <c r="H17" s="27"/>
      <c r="I17" s="33" t="b">
        <f t="shared" si="1"/>
        <v>0</v>
      </c>
      <c r="J17" s="32" t="b">
        <f t="shared" si="7"/>
        <v>0</v>
      </c>
      <c r="K17" s="27"/>
      <c r="L17" s="33" t="b">
        <f t="shared" si="8"/>
        <v>0</v>
      </c>
      <c r="M17" s="40" t="e">
        <f t="shared" si="2"/>
        <v>#VALUE!</v>
      </c>
      <c r="N17" s="40" t="b">
        <f t="shared" si="3"/>
        <v>0</v>
      </c>
      <c r="O17" s="41" t="e">
        <f t="shared" si="4"/>
        <v>#VALUE!</v>
      </c>
      <c r="P17" s="41" t="b">
        <f t="shared" si="5"/>
        <v>0</v>
      </c>
      <c r="Q17" s="27"/>
      <c r="R17" s="27"/>
      <c r="S17" s="43"/>
      <c r="T17" s="27"/>
      <c r="U17" s="1"/>
      <c r="V17" s="1"/>
      <c r="W17" s="15"/>
      <c r="X17" s="15"/>
    </row>
    <row r="18" spans="1:24">
      <c r="A18" s="27"/>
      <c r="B18" s="26"/>
      <c r="C18" s="27"/>
      <c r="D18" s="27"/>
      <c r="E18" s="27"/>
      <c r="F18" s="31" t="b">
        <f t="shared" si="6"/>
        <v>0</v>
      </c>
      <c r="G18" s="32" t="b">
        <f t="shared" si="0"/>
        <v>0</v>
      </c>
      <c r="H18" s="27"/>
      <c r="I18" s="33" t="b">
        <f t="shared" si="1"/>
        <v>0</v>
      </c>
      <c r="J18" s="32" t="b">
        <f t="shared" si="7"/>
        <v>0</v>
      </c>
      <c r="K18" s="27"/>
      <c r="L18" s="33" t="b">
        <f t="shared" si="8"/>
        <v>0</v>
      </c>
      <c r="M18" s="40" t="e">
        <f t="shared" si="2"/>
        <v>#VALUE!</v>
      </c>
      <c r="N18" s="40" t="b">
        <f t="shared" si="3"/>
        <v>0</v>
      </c>
      <c r="O18" s="41" t="e">
        <f t="shared" si="4"/>
        <v>#VALUE!</v>
      </c>
      <c r="P18" s="41" t="b">
        <f t="shared" si="5"/>
        <v>0</v>
      </c>
      <c r="Q18" s="27"/>
      <c r="R18" s="27"/>
      <c r="S18" s="43"/>
      <c r="T18" s="27"/>
      <c r="U18" s="1"/>
      <c r="V18" s="1"/>
      <c r="W18" s="15"/>
      <c r="X18" s="15"/>
    </row>
    <row r="19" spans="1:24">
      <c r="A19" s="27"/>
      <c r="B19" s="26"/>
      <c r="C19" s="27"/>
      <c r="D19" s="27"/>
      <c r="E19" s="27"/>
      <c r="F19" s="31" t="b">
        <f t="shared" si="6"/>
        <v>0</v>
      </c>
      <c r="G19" s="32" t="b">
        <f t="shared" si="0"/>
        <v>0</v>
      </c>
      <c r="H19" s="27"/>
      <c r="I19" s="33" t="b">
        <f t="shared" si="1"/>
        <v>0</v>
      </c>
      <c r="J19" s="32" t="b">
        <f t="shared" si="7"/>
        <v>0</v>
      </c>
      <c r="K19" s="27"/>
      <c r="L19" s="33" t="b">
        <f t="shared" si="8"/>
        <v>0</v>
      </c>
      <c r="M19" s="40" t="e">
        <f t="shared" si="2"/>
        <v>#VALUE!</v>
      </c>
      <c r="N19" s="40" t="b">
        <f t="shared" si="3"/>
        <v>0</v>
      </c>
      <c r="O19" s="41" t="e">
        <f t="shared" si="4"/>
        <v>#VALUE!</v>
      </c>
      <c r="P19" s="41" t="b">
        <f t="shared" si="5"/>
        <v>0</v>
      </c>
      <c r="Q19" s="27"/>
      <c r="R19" s="27"/>
      <c r="S19" s="43"/>
      <c r="T19" s="27"/>
      <c r="U19" s="1"/>
      <c r="V19" s="1"/>
      <c r="W19" s="15"/>
      <c r="X19" s="15"/>
    </row>
    <row r="20" spans="1:24">
      <c r="A20" s="27"/>
      <c r="B20" s="26"/>
      <c r="C20" s="27"/>
      <c r="D20" s="27"/>
      <c r="E20" s="27"/>
      <c r="F20" s="31" t="b">
        <f t="shared" si="6"/>
        <v>0</v>
      </c>
      <c r="G20" s="32" t="b">
        <f t="shared" si="0"/>
        <v>0</v>
      </c>
      <c r="H20" s="27"/>
      <c r="I20" s="33" t="b">
        <f t="shared" si="1"/>
        <v>0</v>
      </c>
      <c r="J20" s="32" t="b">
        <f t="shared" si="7"/>
        <v>0</v>
      </c>
      <c r="K20" s="27"/>
      <c r="L20" s="33" t="b">
        <f t="shared" si="8"/>
        <v>0</v>
      </c>
      <c r="M20" s="40" t="e">
        <f t="shared" si="2"/>
        <v>#VALUE!</v>
      </c>
      <c r="N20" s="40" t="b">
        <f t="shared" si="3"/>
        <v>0</v>
      </c>
      <c r="O20" s="41" t="e">
        <f t="shared" si="4"/>
        <v>#VALUE!</v>
      </c>
      <c r="P20" s="41" t="b">
        <f t="shared" si="5"/>
        <v>0</v>
      </c>
      <c r="Q20" s="27"/>
      <c r="R20" s="27"/>
      <c r="S20" s="43"/>
      <c r="T20" s="27"/>
      <c r="U20" s="1"/>
      <c r="V20" s="1"/>
      <c r="W20" s="15"/>
      <c r="X20" s="15"/>
    </row>
    <row r="21" spans="1:24">
      <c r="A21" s="27"/>
      <c r="B21" s="26"/>
      <c r="C21" s="27"/>
      <c r="D21" s="27"/>
      <c r="E21" s="27"/>
      <c r="F21" s="31" t="b">
        <f t="shared" si="6"/>
        <v>0</v>
      </c>
      <c r="G21" s="32" t="b">
        <f t="shared" si="0"/>
        <v>0</v>
      </c>
      <c r="H21" s="27"/>
      <c r="I21" s="33" t="b">
        <f t="shared" si="1"/>
        <v>0</v>
      </c>
      <c r="J21" s="32" t="b">
        <f t="shared" si="7"/>
        <v>0</v>
      </c>
      <c r="K21" s="27"/>
      <c r="L21" s="33" t="b">
        <f t="shared" si="8"/>
        <v>0</v>
      </c>
      <c r="M21" s="40" t="e">
        <f t="shared" si="2"/>
        <v>#VALUE!</v>
      </c>
      <c r="N21" s="40" t="b">
        <f t="shared" si="3"/>
        <v>0</v>
      </c>
      <c r="O21" s="41" t="e">
        <f t="shared" si="4"/>
        <v>#VALUE!</v>
      </c>
      <c r="P21" s="41" t="b">
        <f t="shared" si="5"/>
        <v>0</v>
      </c>
      <c r="Q21" s="27"/>
      <c r="R21" s="27"/>
      <c r="S21" s="43"/>
      <c r="T21" s="27"/>
      <c r="U21" s="1"/>
      <c r="V21" s="1"/>
      <c r="W21" s="15"/>
      <c r="X21" s="15"/>
    </row>
    <row r="22" spans="1:24">
      <c r="A22" s="27"/>
      <c r="B22" s="26"/>
      <c r="C22" s="27"/>
      <c r="D22" s="27"/>
      <c r="E22" s="27"/>
      <c r="F22" s="31" t="b">
        <f t="shared" si="6"/>
        <v>0</v>
      </c>
      <c r="G22" s="32" t="b">
        <f t="shared" si="0"/>
        <v>0</v>
      </c>
      <c r="H22" s="27"/>
      <c r="I22" s="33" t="b">
        <f t="shared" si="1"/>
        <v>0</v>
      </c>
      <c r="J22" s="32" t="b">
        <f t="shared" si="7"/>
        <v>0</v>
      </c>
      <c r="K22" s="27"/>
      <c r="L22" s="33" t="b">
        <f t="shared" si="8"/>
        <v>0</v>
      </c>
      <c r="M22" s="40" t="e">
        <f t="shared" si="2"/>
        <v>#VALUE!</v>
      </c>
      <c r="N22" s="40" t="b">
        <f t="shared" si="3"/>
        <v>0</v>
      </c>
      <c r="O22" s="41" t="e">
        <f t="shared" si="4"/>
        <v>#VALUE!</v>
      </c>
      <c r="P22" s="41" t="b">
        <f t="shared" si="5"/>
        <v>0</v>
      </c>
      <c r="Q22" s="27"/>
      <c r="R22" s="27"/>
      <c r="S22" s="43"/>
      <c r="T22" s="27"/>
      <c r="U22" s="1"/>
      <c r="V22" s="1"/>
      <c r="W22" s="15"/>
      <c r="X22" s="15"/>
    </row>
    <row r="23" spans="1:24">
      <c r="A23" s="27"/>
      <c r="B23" s="26"/>
      <c r="C23" s="27"/>
      <c r="D23" s="27"/>
      <c r="E23" s="27"/>
      <c r="F23" s="31" t="b">
        <f t="shared" si="6"/>
        <v>0</v>
      </c>
      <c r="G23" s="32" t="b">
        <f t="shared" si="0"/>
        <v>0</v>
      </c>
      <c r="H23" s="27"/>
      <c r="I23" s="33" t="b">
        <f t="shared" si="1"/>
        <v>0</v>
      </c>
      <c r="J23" s="32" t="b">
        <f t="shared" si="7"/>
        <v>0</v>
      </c>
      <c r="K23" s="27"/>
      <c r="L23" s="33" t="b">
        <f t="shared" si="8"/>
        <v>0</v>
      </c>
      <c r="M23" s="40" t="e">
        <f t="shared" si="2"/>
        <v>#VALUE!</v>
      </c>
      <c r="N23" s="40" t="b">
        <f t="shared" si="3"/>
        <v>0</v>
      </c>
      <c r="O23" s="41" t="e">
        <f t="shared" si="4"/>
        <v>#VALUE!</v>
      </c>
      <c r="P23" s="41" t="b">
        <f t="shared" si="5"/>
        <v>0</v>
      </c>
      <c r="Q23" s="27"/>
      <c r="R23" s="27"/>
      <c r="S23" s="43"/>
      <c r="T23" s="27"/>
      <c r="U23" s="1"/>
      <c r="V23" s="1"/>
      <c r="W23" s="15"/>
      <c r="X23" s="15"/>
    </row>
    <row r="24" spans="1:24">
      <c r="A24" s="27"/>
      <c r="B24" s="26"/>
      <c r="C24" s="27"/>
      <c r="D24" s="27"/>
      <c r="E24" s="27"/>
      <c r="F24" s="31" t="b">
        <f t="shared" si="6"/>
        <v>0</v>
      </c>
      <c r="G24" s="32" t="b">
        <f t="shared" si="0"/>
        <v>0</v>
      </c>
      <c r="H24" s="27"/>
      <c r="I24" s="33" t="b">
        <f t="shared" si="1"/>
        <v>0</v>
      </c>
      <c r="J24" s="32" t="b">
        <f t="shared" si="7"/>
        <v>0</v>
      </c>
      <c r="K24" s="27"/>
      <c r="L24" s="33" t="b">
        <f t="shared" si="8"/>
        <v>0</v>
      </c>
      <c r="M24" s="40" t="e">
        <f t="shared" si="2"/>
        <v>#VALUE!</v>
      </c>
      <c r="N24" s="40" t="b">
        <f t="shared" si="3"/>
        <v>0</v>
      </c>
      <c r="O24" s="41" t="e">
        <f t="shared" si="4"/>
        <v>#VALUE!</v>
      </c>
      <c r="P24" s="41" t="b">
        <f t="shared" si="5"/>
        <v>0</v>
      </c>
      <c r="Q24" s="27"/>
      <c r="R24" s="27"/>
      <c r="S24" s="43"/>
      <c r="T24" s="27"/>
      <c r="U24" s="1"/>
      <c r="V24" s="1"/>
      <c r="W24" s="15"/>
      <c r="X24" s="15"/>
    </row>
    <row r="25" spans="1:24">
      <c r="A25" s="27"/>
      <c r="B25" s="26"/>
      <c r="C25" s="27"/>
      <c r="D25" s="27"/>
      <c r="E25" s="27"/>
      <c r="F25" s="31" t="b">
        <f t="shared" si="6"/>
        <v>0</v>
      </c>
      <c r="G25" s="32" t="b">
        <f t="shared" si="0"/>
        <v>0</v>
      </c>
      <c r="H25" s="27"/>
      <c r="I25" s="33" t="b">
        <f t="shared" si="1"/>
        <v>0</v>
      </c>
      <c r="J25" s="32" t="b">
        <f t="shared" si="7"/>
        <v>0</v>
      </c>
      <c r="K25" s="27"/>
      <c r="L25" s="33" t="b">
        <f t="shared" si="8"/>
        <v>0</v>
      </c>
      <c r="M25" s="40" t="e">
        <f t="shared" si="2"/>
        <v>#VALUE!</v>
      </c>
      <c r="N25" s="40" t="b">
        <f t="shared" si="3"/>
        <v>0</v>
      </c>
      <c r="O25" s="41" t="e">
        <f t="shared" si="4"/>
        <v>#VALUE!</v>
      </c>
      <c r="P25" s="41" t="b">
        <f t="shared" si="5"/>
        <v>0</v>
      </c>
      <c r="Q25" s="27"/>
      <c r="R25" s="27"/>
      <c r="S25" s="43"/>
      <c r="T25" s="27"/>
      <c r="U25" s="1"/>
      <c r="V25" s="1"/>
      <c r="W25" s="15"/>
      <c r="X25" s="15"/>
    </row>
    <row r="26" spans="1:24">
      <c r="A26" s="27"/>
      <c r="B26" s="26"/>
      <c r="C26" s="27"/>
      <c r="D26" s="27"/>
      <c r="E26" s="27"/>
      <c r="F26" s="31" t="b">
        <f t="shared" si="6"/>
        <v>0</v>
      </c>
      <c r="G26" s="32" t="b">
        <f t="shared" si="0"/>
        <v>0</v>
      </c>
      <c r="H26" s="27"/>
      <c r="I26" s="33" t="b">
        <f t="shared" si="1"/>
        <v>0</v>
      </c>
      <c r="J26" s="32" t="b">
        <f t="shared" si="7"/>
        <v>0</v>
      </c>
      <c r="K26" s="27"/>
      <c r="L26" s="33" t="b">
        <f t="shared" si="8"/>
        <v>0</v>
      </c>
      <c r="M26" s="40" t="e">
        <f t="shared" si="2"/>
        <v>#VALUE!</v>
      </c>
      <c r="N26" s="40" t="b">
        <f t="shared" si="3"/>
        <v>0</v>
      </c>
      <c r="O26" s="41" t="e">
        <f t="shared" si="4"/>
        <v>#VALUE!</v>
      </c>
      <c r="P26" s="41" t="b">
        <f t="shared" si="5"/>
        <v>0</v>
      </c>
      <c r="Q26" s="27"/>
      <c r="R26" s="27"/>
      <c r="S26" s="43"/>
      <c r="T26" s="27"/>
      <c r="U26" s="1"/>
      <c r="V26" s="1"/>
      <c r="W26" s="15"/>
      <c r="X26" s="15"/>
    </row>
    <row r="27" spans="1:24">
      <c r="A27" s="27"/>
      <c r="B27" s="26"/>
      <c r="C27" s="27"/>
      <c r="D27" s="27"/>
      <c r="E27" s="27"/>
      <c r="F27" s="31" t="b">
        <f t="shared" si="6"/>
        <v>0</v>
      </c>
      <c r="G27" s="32" t="b">
        <f t="shared" si="0"/>
        <v>0</v>
      </c>
      <c r="H27" s="27"/>
      <c r="I27" s="33" t="b">
        <f t="shared" si="1"/>
        <v>0</v>
      </c>
      <c r="J27" s="32" t="b">
        <f t="shared" si="7"/>
        <v>0</v>
      </c>
      <c r="K27" s="27"/>
      <c r="L27" s="33" t="b">
        <f t="shared" si="8"/>
        <v>0</v>
      </c>
      <c r="M27" s="40" t="e">
        <f t="shared" si="2"/>
        <v>#VALUE!</v>
      </c>
      <c r="N27" s="40" t="b">
        <f t="shared" si="3"/>
        <v>0</v>
      </c>
      <c r="O27" s="41" t="e">
        <f t="shared" si="4"/>
        <v>#VALUE!</v>
      </c>
      <c r="P27" s="41" t="b">
        <f t="shared" si="5"/>
        <v>0</v>
      </c>
      <c r="Q27" s="27"/>
      <c r="R27" s="27"/>
      <c r="S27" s="43"/>
      <c r="T27" s="27"/>
      <c r="U27" s="1"/>
      <c r="V27" s="1"/>
      <c r="W27" s="15"/>
      <c r="X27" s="15"/>
    </row>
    <row r="28" spans="1:24">
      <c r="A28" s="27"/>
      <c r="B28" s="26"/>
      <c r="C28" s="27"/>
      <c r="D28" s="27"/>
      <c r="E28" s="27"/>
      <c r="F28" s="31" t="b">
        <f t="shared" si="6"/>
        <v>0</v>
      </c>
      <c r="G28" s="32" t="b">
        <f t="shared" si="0"/>
        <v>0</v>
      </c>
      <c r="H28" s="27"/>
      <c r="I28" s="33" t="b">
        <f t="shared" si="1"/>
        <v>0</v>
      </c>
      <c r="J28" s="32" t="b">
        <f t="shared" si="7"/>
        <v>0</v>
      </c>
      <c r="K28" s="27"/>
      <c r="L28" s="33" t="b">
        <f t="shared" si="8"/>
        <v>0</v>
      </c>
      <c r="M28" s="40" t="e">
        <f t="shared" si="2"/>
        <v>#VALUE!</v>
      </c>
      <c r="N28" s="40" t="b">
        <f t="shared" si="3"/>
        <v>0</v>
      </c>
      <c r="O28" s="41" t="e">
        <f t="shared" si="4"/>
        <v>#VALUE!</v>
      </c>
      <c r="P28" s="41" t="b">
        <f t="shared" si="5"/>
        <v>0</v>
      </c>
      <c r="Q28" s="27"/>
      <c r="R28" s="27"/>
      <c r="S28" s="43"/>
      <c r="T28" s="27"/>
      <c r="U28" s="1"/>
      <c r="V28" s="1"/>
      <c r="W28" s="15"/>
      <c r="X28" s="15"/>
    </row>
    <row r="29" spans="1:24">
      <c r="A29" s="27"/>
      <c r="B29" s="26"/>
      <c r="C29" s="27"/>
      <c r="D29" s="27"/>
      <c r="E29" s="27"/>
      <c r="F29" s="31" t="b">
        <f t="shared" si="6"/>
        <v>0</v>
      </c>
      <c r="G29" s="32" t="b">
        <f t="shared" si="0"/>
        <v>0</v>
      </c>
      <c r="H29" s="27"/>
      <c r="I29" s="33" t="b">
        <f t="shared" si="1"/>
        <v>0</v>
      </c>
      <c r="J29" s="32" t="b">
        <f t="shared" si="7"/>
        <v>0</v>
      </c>
      <c r="K29" s="27"/>
      <c r="L29" s="33" t="b">
        <f t="shared" si="8"/>
        <v>0</v>
      </c>
      <c r="M29" s="40" t="e">
        <f t="shared" si="2"/>
        <v>#VALUE!</v>
      </c>
      <c r="N29" s="40" t="b">
        <f t="shared" si="3"/>
        <v>0</v>
      </c>
      <c r="O29" s="41" t="e">
        <f t="shared" si="4"/>
        <v>#VALUE!</v>
      </c>
      <c r="P29" s="41" t="b">
        <f t="shared" si="5"/>
        <v>0</v>
      </c>
      <c r="Q29" s="27"/>
      <c r="R29" s="27"/>
      <c r="S29" s="43"/>
      <c r="T29" s="27"/>
      <c r="U29" s="1"/>
      <c r="V29" s="1"/>
      <c r="W29" s="15"/>
      <c r="X29" s="15"/>
    </row>
    <row r="30" spans="1:24">
      <c r="A30" s="27"/>
      <c r="B30" s="26"/>
      <c r="C30" s="27"/>
      <c r="D30" s="27"/>
      <c r="E30" s="27"/>
      <c r="F30" s="31" t="b">
        <f t="shared" si="6"/>
        <v>0</v>
      </c>
      <c r="G30" s="32" t="b">
        <f t="shared" si="0"/>
        <v>0</v>
      </c>
      <c r="H30" s="27"/>
      <c r="I30" s="33" t="b">
        <f t="shared" si="1"/>
        <v>0</v>
      </c>
      <c r="J30" s="32" t="b">
        <f t="shared" si="7"/>
        <v>0</v>
      </c>
      <c r="K30" s="27"/>
      <c r="L30" s="33" t="b">
        <f t="shared" si="8"/>
        <v>0</v>
      </c>
      <c r="M30" s="40" t="e">
        <f t="shared" si="2"/>
        <v>#VALUE!</v>
      </c>
      <c r="N30" s="40" t="b">
        <f t="shared" si="3"/>
        <v>0</v>
      </c>
      <c r="O30" s="41" t="e">
        <f t="shared" si="4"/>
        <v>#VALUE!</v>
      </c>
      <c r="P30" s="41" t="b">
        <f t="shared" si="5"/>
        <v>0</v>
      </c>
      <c r="Q30" s="27"/>
      <c r="R30" s="27"/>
      <c r="S30" s="43"/>
      <c r="T30" s="27"/>
      <c r="U30" s="1"/>
      <c r="V30" s="1"/>
      <c r="W30" s="15"/>
      <c r="X30" s="15"/>
    </row>
    <row r="31" spans="1:24">
      <c r="A31" s="27"/>
      <c r="B31" s="26"/>
      <c r="C31" s="27"/>
      <c r="D31" s="27"/>
      <c r="E31" s="27"/>
      <c r="F31" s="31" t="b">
        <f t="shared" si="6"/>
        <v>0</v>
      </c>
      <c r="G31" s="32" t="b">
        <f t="shared" si="0"/>
        <v>0</v>
      </c>
      <c r="H31" s="27"/>
      <c r="I31" s="33" t="b">
        <f t="shared" si="1"/>
        <v>0</v>
      </c>
      <c r="J31" s="32" t="b">
        <f t="shared" si="7"/>
        <v>0</v>
      </c>
      <c r="K31" s="27"/>
      <c r="L31" s="33" t="b">
        <f t="shared" si="8"/>
        <v>0</v>
      </c>
      <c r="M31" s="40" t="e">
        <f t="shared" si="2"/>
        <v>#VALUE!</v>
      </c>
      <c r="N31" s="40" t="b">
        <f t="shared" si="3"/>
        <v>0</v>
      </c>
      <c r="O31" s="41" t="e">
        <f t="shared" si="4"/>
        <v>#VALUE!</v>
      </c>
      <c r="P31" s="41" t="b">
        <f t="shared" si="5"/>
        <v>0</v>
      </c>
      <c r="Q31" s="27"/>
      <c r="R31" s="27"/>
      <c r="S31" s="43"/>
      <c r="T31" s="27"/>
      <c r="U31" s="1"/>
      <c r="V31" s="1"/>
      <c r="W31" s="15"/>
      <c r="X31" s="15"/>
    </row>
    <row r="32" spans="1:24">
      <c r="A32" s="27"/>
      <c r="B32" s="26"/>
      <c r="C32" s="27"/>
      <c r="D32" s="27"/>
      <c r="E32" s="27"/>
      <c r="F32" s="31" t="b">
        <f t="shared" si="6"/>
        <v>0</v>
      </c>
      <c r="G32" s="32" t="b">
        <f t="shared" si="0"/>
        <v>0</v>
      </c>
      <c r="H32" s="27"/>
      <c r="I32" s="33" t="b">
        <f t="shared" si="1"/>
        <v>0</v>
      </c>
      <c r="J32" s="32" t="b">
        <f t="shared" si="7"/>
        <v>0</v>
      </c>
      <c r="K32" s="27"/>
      <c r="L32" s="33" t="b">
        <f t="shared" si="8"/>
        <v>0</v>
      </c>
      <c r="M32" s="40" t="e">
        <f t="shared" si="2"/>
        <v>#VALUE!</v>
      </c>
      <c r="N32" s="40" t="b">
        <f t="shared" si="3"/>
        <v>0</v>
      </c>
      <c r="O32" s="41" t="e">
        <f t="shared" si="4"/>
        <v>#VALUE!</v>
      </c>
      <c r="P32" s="41" t="b">
        <f t="shared" si="5"/>
        <v>0</v>
      </c>
      <c r="Q32" s="27"/>
      <c r="R32" s="27"/>
      <c r="S32" s="43"/>
      <c r="T32" s="27"/>
      <c r="U32" s="1"/>
      <c r="V32" s="1"/>
      <c r="W32" s="15"/>
      <c r="X32" s="15"/>
    </row>
    <row r="33" spans="1:24">
      <c r="A33" s="27"/>
      <c r="B33" s="26"/>
      <c r="C33" s="27"/>
      <c r="D33" s="27"/>
      <c r="E33" s="27"/>
      <c r="F33" s="31" t="b">
        <f t="shared" si="6"/>
        <v>0</v>
      </c>
      <c r="G33" s="32" t="b">
        <f t="shared" si="0"/>
        <v>0</v>
      </c>
      <c r="H33" s="27"/>
      <c r="I33" s="33" t="b">
        <f t="shared" si="1"/>
        <v>0</v>
      </c>
      <c r="J33" s="32" t="b">
        <f t="shared" si="7"/>
        <v>0</v>
      </c>
      <c r="K33" s="27"/>
      <c r="L33" s="33" t="b">
        <f t="shared" si="8"/>
        <v>0</v>
      </c>
      <c r="M33" s="40" t="e">
        <f t="shared" si="2"/>
        <v>#VALUE!</v>
      </c>
      <c r="N33" s="40" t="b">
        <f t="shared" si="3"/>
        <v>0</v>
      </c>
      <c r="O33" s="41" t="e">
        <f t="shared" si="4"/>
        <v>#VALUE!</v>
      </c>
      <c r="P33" s="41" t="b">
        <f t="shared" si="5"/>
        <v>0</v>
      </c>
      <c r="Q33" s="27"/>
      <c r="R33" s="27"/>
      <c r="S33" s="43"/>
      <c r="T33" s="27"/>
      <c r="U33" s="1"/>
      <c r="V33" s="1"/>
      <c r="W33" s="15"/>
      <c r="X33" s="15"/>
    </row>
    <row r="34" spans="1:24">
      <c r="A34" s="27"/>
      <c r="B34" s="26"/>
      <c r="C34" s="27"/>
      <c r="D34" s="27"/>
      <c r="E34" s="27"/>
      <c r="F34" s="31" t="b">
        <f t="shared" si="6"/>
        <v>0</v>
      </c>
      <c r="G34" s="32" t="b">
        <f t="shared" si="0"/>
        <v>0</v>
      </c>
      <c r="H34" s="27"/>
      <c r="I34" s="33" t="b">
        <f t="shared" si="1"/>
        <v>0</v>
      </c>
      <c r="J34" s="32" t="b">
        <f t="shared" si="7"/>
        <v>0</v>
      </c>
      <c r="K34" s="27"/>
      <c r="L34" s="33" t="b">
        <f t="shared" si="8"/>
        <v>0</v>
      </c>
      <c r="M34" s="40" t="e">
        <f t="shared" si="2"/>
        <v>#VALUE!</v>
      </c>
      <c r="N34" s="40" t="b">
        <f t="shared" si="3"/>
        <v>0</v>
      </c>
      <c r="O34" s="41" t="e">
        <f t="shared" si="4"/>
        <v>#VALUE!</v>
      </c>
      <c r="P34" s="41" t="b">
        <f t="shared" si="5"/>
        <v>0</v>
      </c>
      <c r="Q34" s="27"/>
      <c r="R34" s="27"/>
      <c r="S34" s="43"/>
      <c r="T34" s="27"/>
      <c r="U34" s="1"/>
      <c r="V34" s="1"/>
      <c r="W34" s="15"/>
      <c r="X34" s="15"/>
    </row>
    <row r="35" spans="1:24">
      <c r="A35" s="27"/>
      <c r="B35" s="26"/>
      <c r="C35" s="27"/>
      <c r="D35" s="27"/>
      <c r="E35" s="27"/>
      <c r="F35" s="31" t="b">
        <f t="shared" si="6"/>
        <v>0</v>
      </c>
      <c r="G35" s="32" t="b">
        <f t="shared" si="0"/>
        <v>0</v>
      </c>
      <c r="H35" s="27"/>
      <c r="I35" s="33" t="b">
        <f t="shared" si="1"/>
        <v>0</v>
      </c>
      <c r="J35" s="32" t="b">
        <f t="shared" si="7"/>
        <v>0</v>
      </c>
      <c r="K35" s="27"/>
      <c r="L35" s="33" t="b">
        <f t="shared" si="8"/>
        <v>0</v>
      </c>
      <c r="M35" s="40" t="e">
        <f t="shared" si="2"/>
        <v>#VALUE!</v>
      </c>
      <c r="N35" s="40" t="b">
        <f t="shared" si="3"/>
        <v>0</v>
      </c>
      <c r="O35" s="41" t="e">
        <f t="shared" si="4"/>
        <v>#VALUE!</v>
      </c>
      <c r="P35" s="41" t="b">
        <f t="shared" si="5"/>
        <v>0</v>
      </c>
      <c r="Q35" s="27"/>
      <c r="R35" s="27"/>
      <c r="S35" s="43"/>
      <c r="T35" s="27"/>
      <c r="U35" s="1"/>
      <c r="V35" s="1"/>
      <c r="W35" s="15"/>
      <c r="X35" s="15"/>
    </row>
    <row r="36" spans="1:24">
      <c r="A36" s="27"/>
      <c r="B36" s="26"/>
      <c r="C36" s="27"/>
      <c r="D36" s="27"/>
      <c r="E36" s="27"/>
      <c r="F36" s="31" t="b">
        <f t="shared" si="6"/>
        <v>0</v>
      </c>
      <c r="G36" s="32" t="b">
        <f t="shared" si="0"/>
        <v>0</v>
      </c>
      <c r="H36" s="27"/>
      <c r="I36" s="33" t="b">
        <f t="shared" si="1"/>
        <v>0</v>
      </c>
      <c r="J36" s="32" t="b">
        <f t="shared" si="7"/>
        <v>0</v>
      </c>
      <c r="K36" s="27"/>
      <c r="L36" s="33" t="b">
        <f t="shared" si="8"/>
        <v>0</v>
      </c>
      <c r="M36" s="40" t="e">
        <f t="shared" si="2"/>
        <v>#VALUE!</v>
      </c>
      <c r="N36" s="40" t="b">
        <f t="shared" si="3"/>
        <v>0</v>
      </c>
      <c r="O36" s="41" t="e">
        <f t="shared" si="4"/>
        <v>#VALUE!</v>
      </c>
      <c r="P36" s="41" t="b">
        <f t="shared" si="5"/>
        <v>0</v>
      </c>
      <c r="Q36" s="27"/>
      <c r="R36" s="27"/>
      <c r="S36" s="43"/>
      <c r="T36" s="27"/>
      <c r="U36" s="1"/>
      <c r="V36" s="1"/>
      <c r="W36" s="15"/>
      <c r="X36" s="15"/>
    </row>
    <row r="37" spans="1:24">
      <c r="A37" s="27"/>
      <c r="B37" s="26"/>
      <c r="C37" s="27"/>
      <c r="D37" s="27"/>
      <c r="E37" s="27"/>
      <c r="F37" s="31" t="b">
        <f t="shared" si="6"/>
        <v>0</v>
      </c>
      <c r="G37" s="32" t="b">
        <f t="shared" si="0"/>
        <v>0</v>
      </c>
      <c r="H37" s="27"/>
      <c r="I37" s="33" t="b">
        <f t="shared" si="1"/>
        <v>0</v>
      </c>
      <c r="J37" s="32" t="b">
        <f t="shared" si="7"/>
        <v>0</v>
      </c>
      <c r="K37" s="27"/>
      <c r="L37" s="33" t="b">
        <f t="shared" si="8"/>
        <v>0</v>
      </c>
      <c r="M37" s="40" t="e">
        <f t="shared" si="2"/>
        <v>#VALUE!</v>
      </c>
      <c r="N37" s="40" t="b">
        <f t="shared" si="3"/>
        <v>0</v>
      </c>
      <c r="O37" s="41" t="e">
        <f t="shared" si="4"/>
        <v>#VALUE!</v>
      </c>
      <c r="P37" s="41" t="b">
        <f t="shared" si="5"/>
        <v>0</v>
      </c>
      <c r="Q37" s="27"/>
      <c r="R37" s="27"/>
      <c r="S37" s="43"/>
      <c r="T37" s="27"/>
      <c r="U37" s="1"/>
      <c r="V37" s="1"/>
      <c r="W37" s="15"/>
      <c r="X37" s="15"/>
    </row>
    <row r="38" spans="1:24">
      <c r="A38" s="27"/>
      <c r="B38" s="26"/>
      <c r="C38" s="27"/>
      <c r="D38" s="27"/>
      <c r="E38" s="27"/>
      <c r="F38" s="31" t="b">
        <f t="shared" si="6"/>
        <v>0</v>
      </c>
      <c r="G38" s="32" t="b">
        <f t="shared" si="0"/>
        <v>0</v>
      </c>
      <c r="H38" s="27"/>
      <c r="I38" s="33" t="b">
        <f t="shared" si="1"/>
        <v>0</v>
      </c>
      <c r="J38" s="32" t="b">
        <f t="shared" si="7"/>
        <v>0</v>
      </c>
      <c r="K38" s="27"/>
      <c r="L38" s="33" t="b">
        <f t="shared" si="8"/>
        <v>0</v>
      </c>
      <c r="M38" s="40" t="e">
        <f t="shared" si="2"/>
        <v>#VALUE!</v>
      </c>
      <c r="N38" s="40" t="b">
        <f t="shared" si="3"/>
        <v>0</v>
      </c>
      <c r="O38" s="41" t="e">
        <f t="shared" si="4"/>
        <v>#VALUE!</v>
      </c>
      <c r="P38" s="41" t="b">
        <f t="shared" si="5"/>
        <v>0</v>
      </c>
      <c r="Q38" s="27"/>
      <c r="R38" s="27"/>
      <c r="S38" s="43"/>
      <c r="T38" s="27"/>
      <c r="U38" s="1"/>
      <c r="V38" s="1"/>
      <c r="W38" s="15"/>
      <c r="X38" s="15"/>
    </row>
    <row r="39" spans="1:24">
      <c r="A39" s="27"/>
      <c r="B39" s="26"/>
      <c r="C39" s="27"/>
      <c r="D39" s="27"/>
      <c r="E39" s="27"/>
      <c r="F39" s="31" t="b">
        <f t="shared" si="6"/>
        <v>0</v>
      </c>
      <c r="G39" s="32" t="b">
        <f t="shared" si="0"/>
        <v>0</v>
      </c>
      <c r="H39" s="27"/>
      <c r="I39" s="33" t="b">
        <f t="shared" si="1"/>
        <v>0</v>
      </c>
      <c r="J39" s="32" t="b">
        <f t="shared" si="7"/>
        <v>0</v>
      </c>
      <c r="K39" s="27"/>
      <c r="L39" s="33" t="b">
        <f t="shared" si="8"/>
        <v>0</v>
      </c>
      <c r="M39" s="40" t="e">
        <f t="shared" si="2"/>
        <v>#VALUE!</v>
      </c>
      <c r="N39" s="40" t="b">
        <f t="shared" si="3"/>
        <v>0</v>
      </c>
      <c r="O39" s="41" t="e">
        <f t="shared" si="4"/>
        <v>#VALUE!</v>
      </c>
      <c r="P39" s="41" t="b">
        <f t="shared" si="5"/>
        <v>0</v>
      </c>
      <c r="Q39" s="27"/>
      <c r="R39" s="27"/>
      <c r="S39" s="43"/>
      <c r="T39" s="27"/>
      <c r="U39" s="1"/>
      <c r="V39" s="1"/>
      <c r="W39" s="15"/>
      <c r="X39" s="15"/>
    </row>
    <row r="40" spans="1:24">
      <c r="A40" s="27"/>
      <c r="B40" s="26"/>
      <c r="C40" s="27"/>
      <c r="D40" s="27"/>
      <c r="E40" s="27"/>
      <c r="F40" s="31" t="b">
        <f t="shared" si="6"/>
        <v>0</v>
      </c>
      <c r="G40" s="32" t="b">
        <f t="shared" si="0"/>
        <v>0</v>
      </c>
      <c r="H40" s="27"/>
      <c r="I40" s="33" t="b">
        <f t="shared" si="1"/>
        <v>0</v>
      </c>
      <c r="J40" s="32" t="b">
        <f t="shared" si="7"/>
        <v>0</v>
      </c>
      <c r="K40" s="27"/>
      <c r="L40" s="33" t="b">
        <f t="shared" si="8"/>
        <v>0</v>
      </c>
      <c r="M40" s="40" t="e">
        <f t="shared" si="2"/>
        <v>#VALUE!</v>
      </c>
      <c r="N40" s="40" t="b">
        <f t="shared" si="3"/>
        <v>0</v>
      </c>
      <c r="O40" s="41" t="e">
        <f t="shared" si="4"/>
        <v>#VALUE!</v>
      </c>
      <c r="P40" s="41" t="b">
        <f t="shared" si="5"/>
        <v>0</v>
      </c>
      <c r="Q40" s="27"/>
      <c r="R40" s="27"/>
      <c r="S40" s="43"/>
      <c r="T40" s="27"/>
      <c r="U40" s="1"/>
      <c r="V40" s="1"/>
      <c r="W40" s="15"/>
      <c r="X40" s="15"/>
    </row>
    <row r="41" spans="1:24">
      <c r="A41" s="27"/>
      <c r="B41" s="26"/>
      <c r="C41" s="27"/>
      <c r="D41" s="27"/>
      <c r="E41" s="27"/>
      <c r="F41" s="31" t="b">
        <f t="shared" si="6"/>
        <v>0</v>
      </c>
      <c r="G41" s="32" t="b">
        <f t="shared" si="0"/>
        <v>0</v>
      </c>
      <c r="H41" s="27"/>
      <c r="I41" s="33" t="b">
        <f t="shared" si="1"/>
        <v>0</v>
      </c>
      <c r="J41" s="32" t="b">
        <f t="shared" si="7"/>
        <v>0</v>
      </c>
      <c r="K41" s="27"/>
      <c r="L41" s="33" t="b">
        <f t="shared" si="8"/>
        <v>0</v>
      </c>
      <c r="M41" s="40" t="e">
        <f t="shared" si="2"/>
        <v>#VALUE!</v>
      </c>
      <c r="N41" s="40" t="b">
        <f t="shared" si="3"/>
        <v>0</v>
      </c>
      <c r="O41" s="41" t="e">
        <f t="shared" si="4"/>
        <v>#VALUE!</v>
      </c>
      <c r="P41" s="41" t="b">
        <f t="shared" si="5"/>
        <v>0</v>
      </c>
      <c r="Q41" s="27"/>
      <c r="R41" s="27"/>
      <c r="S41" s="43"/>
      <c r="T41" s="27"/>
      <c r="U41" s="1"/>
      <c r="V41" s="1"/>
      <c r="W41" s="15"/>
      <c r="X41" s="15"/>
    </row>
    <row r="42" spans="1:24">
      <c r="A42" s="27"/>
      <c r="B42" s="26"/>
      <c r="C42" s="27"/>
      <c r="D42" s="27"/>
      <c r="E42" s="27"/>
      <c r="F42" s="31" t="b">
        <f t="shared" si="6"/>
        <v>0</v>
      </c>
      <c r="G42" s="32" t="b">
        <f t="shared" si="0"/>
        <v>0</v>
      </c>
      <c r="H42" s="27"/>
      <c r="I42" s="33" t="b">
        <f t="shared" si="1"/>
        <v>0</v>
      </c>
      <c r="J42" s="32" t="b">
        <f t="shared" si="7"/>
        <v>0</v>
      </c>
      <c r="K42" s="27"/>
      <c r="L42" s="33" t="b">
        <f t="shared" si="8"/>
        <v>0</v>
      </c>
      <c r="M42" s="40" t="e">
        <f t="shared" si="2"/>
        <v>#VALUE!</v>
      </c>
      <c r="N42" s="40" t="b">
        <f t="shared" si="3"/>
        <v>0</v>
      </c>
      <c r="O42" s="41" t="e">
        <f t="shared" si="4"/>
        <v>#VALUE!</v>
      </c>
      <c r="P42" s="41" t="b">
        <f t="shared" si="5"/>
        <v>0</v>
      </c>
      <c r="Q42" s="27"/>
      <c r="R42" s="27"/>
      <c r="S42" s="43"/>
      <c r="T42" s="27"/>
      <c r="U42" s="1"/>
      <c r="V42" s="1"/>
      <c r="W42" s="15"/>
      <c r="X42" s="15"/>
    </row>
    <row r="43" spans="1:24">
      <c r="A43" s="27"/>
      <c r="B43" s="26"/>
      <c r="C43" s="27"/>
      <c r="D43" s="27"/>
      <c r="E43" s="27"/>
      <c r="F43" s="31" t="b">
        <f t="shared" si="6"/>
        <v>0</v>
      </c>
      <c r="G43" s="32" t="b">
        <f t="shared" si="0"/>
        <v>0</v>
      </c>
      <c r="H43" s="27"/>
      <c r="I43" s="33" t="b">
        <f t="shared" si="1"/>
        <v>0</v>
      </c>
      <c r="J43" s="32" t="b">
        <f t="shared" si="7"/>
        <v>0</v>
      </c>
      <c r="K43" s="27"/>
      <c r="L43" s="33" t="b">
        <f t="shared" si="8"/>
        <v>0</v>
      </c>
      <c r="M43" s="40" t="e">
        <f t="shared" si="2"/>
        <v>#VALUE!</v>
      </c>
      <c r="N43" s="40" t="b">
        <f t="shared" si="3"/>
        <v>0</v>
      </c>
      <c r="O43" s="41" t="e">
        <f t="shared" si="4"/>
        <v>#VALUE!</v>
      </c>
      <c r="P43" s="41" t="b">
        <f t="shared" si="5"/>
        <v>0</v>
      </c>
      <c r="Q43" s="27"/>
      <c r="R43" s="27"/>
      <c r="S43" s="43"/>
      <c r="T43" s="27"/>
      <c r="U43" s="1"/>
      <c r="V43" s="1"/>
      <c r="W43" s="15"/>
      <c r="X43" s="15"/>
    </row>
    <row r="44" spans="1:24">
      <c r="A44" s="27"/>
      <c r="B44" s="26"/>
      <c r="C44" s="27"/>
      <c r="D44" s="27"/>
      <c r="E44" s="27"/>
      <c r="F44" s="31" t="b">
        <f t="shared" si="6"/>
        <v>0</v>
      </c>
      <c r="G44" s="32" t="b">
        <f t="shared" si="0"/>
        <v>0</v>
      </c>
      <c r="H44" s="27"/>
      <c r="I44" s="33" t="b">
        <f t="shared" si="1"/>
        <v>0</v>
      </c>
      <c r="J44" s="32" t="b">
        <f t="shared" si="7"/>
        <v>0</v>
      </c>
      <c r="K44" s="27"/>
      <c r="L44" s="33" t="b">
        <f t="shared" si="8"/>
        <v>0</v>
      </c>
      <c r="M44" s="40" t="e">
        <f t="shared" si="2"/>
        <v>#VALUE!</v>
      </c>
      <c r="N44" s="40" t="b">
        <f t="shared" si="3"/>
        <v>0</v>
      </c>
      <c r="O44" s="41" t="e">
        <f t="shared" si="4"/>
        <v>#VALUE!</v>
      </c>
      <c r="P44" s="41" t="b">
        <f t="shared" si="5"/>
        <v>0</v>
      </c>
      <c r="Q44" s="27"/>
      <c r="R44" s="27"/>
      <c r="S44" s="43"/>
      <c r="T44" s="27"/>
      <c r="U44" s="1"/>
      <c r="V44" s="1"/>
      <c r="W44" s="15"/>
      <c r="X44" s="15"/>
    </row>
    <row r="45" spans="1:24">
      <c r="A45" s="27"/>
      <c r="B45" s="26"/>
      <c r="C45" s="27"/>
      <c r="D45" s="27"/>
      <c r="E45" s="27"/>
      <c r="F45" s="31" t="b">
        <f t="shared" si="6"/>
        <v>0</v>
      </c>
      <c r="G45" s="32" t="b">
        <f t="shared" si="0"/>
        <v>0</v>
      </c>
      <c r="H45" s="27"/>
      <c r="I45" s="33" t="b">
        <f t="shared" si="1"/>
        <v>0</v>
      </c>
      <c r="J45" s="32" t="b">
        <f t="shared" si="7"/>
        <v>0</v>
      </c>
      <c r="K45" s="27"/>
      <c r="L45" s="33" t="b">
        <f t="shared" si="8"/>
        <v>0</v>
      </c>
      <c r="M45" s="40" t="e">
        <f t="shared" si="2"/>
        <v>#VALUE!</v>
      </c>
      <c r="N45" s="40" t="b">
        <f t="shared" si="3"/>
        <v>0</v>
      </c>
      <c r="O45" s="41" t="e">
        <f t="shared" si="4"/>
        <v>#VALUE!</v>
      </c>
      <c r="P45" s="41" t="b">
        <f t="shared" si="5"/>
        <v>0</v>
      </c>
      <c r="Q45" s="27"/>
      <c r="R45" s="27"/>
      <c r="S45" s="43"/>
      <c r="T45" s="27"/>
      <c r="U45" s="1"/>
      <c r="V45" s="1"/>
      <c r="W45" s="15"/>
      <c r="X45" s="15"/>
    </row>
    <row r="46" spans="1:24">
      <c r="A46" s="27"/>
      <c r="B46" s="26"/>
      <c r="C46" s="27"/>
      <c r="D46" s="27"/>
      <c r="E46" s="27"/>
      <c r="F46" s="31" t="b">
        <f t="shared" si="6"/>
        <v>0</v>
      </c>
      <c r="G46" s="32" t="b">
        <f t="shared" si="0"/>
        <v>0</v>
      </c>
      <c r="H46" s="27"/>
      <c r="I46" s="33" t="b">
        <f t="shared" si="1"/>
        <v>0</v>
      </c>
      <c r="J46" s="32" t="b">
        <f t="shared" si="7"/>
        <v>0</v>
      </c>
      <c r="K46" s="27"/>
      <c r="L46" s="33" t="b">
        <f t="shared" si="8"/>
        <v>0</v>
      </c>
      <c r="M46" s="40" t="e">
        <f t="shared" si="2"/>
        <v>#VALUE!</v>
      </c>
      <c r="N46" s="40" t="b">
        <f t="shared" si="3"/>
        <v>0</v>
      </c>
      <c r="O46" s="41" t="e">
        <f t="shared" si="4"/>
        <v>#VALUE!</v>
      </c>
      <c r="P46" s="41" t="b">
        <f t="shared" si="5"/>
        <v>0</v>
      </c>
      <c r="Q46" s="27"/>
      <c r="R46" s="27"/>
      <c r="S46" s="43"/>
      <c r="T46" s="27"/>
      <c r="U46" s="1"/>
      <c r="V46" s="1"/>
      <c r="W46" s="15"/>
      <c r="X46" s="15"/>
    </row>
    <row r="47" spans="1:24">
      <c r="A47" s="27"/>
      <c r="B47" s="26"/>
      <c r="C47" s="27"/>
      <c r="D47" s="27"/>
      <c r="E47" s="27"/>
      <c r="F47" s="31" t="b">
        <f t="shared" si="6"/>
        <v>0</v>
      </c>
      <c r="G47" s="32" t="b">
        <f t="shared" si="0"/>
        <v>0</v>
      </c>
      <c r="H47" s="27"/>
      <c r="I47" s="33" t="b">
        <f t="shared" si="1"/>
        <v>0</v>
      </c>
      <c r="J47" s="32" t="b">
        <f t="shared" si="7"/>
        <v>0</v>
      </c>
      <c r="K47" s="27"/>
      <c r="L47" s="33" t="b">
        <f t="shared" si="8"/>
        <v>0</v>
      </c>
      <c r="M47" s="40" t="e">
        <f t="shared" si="2"/>
        <v>#VALUE!</v>
      </c>
      <c r="N47" s="40" t="b">
        <f t="shared" si="3"/>
        <v>0</v>
      </c>
      <c r="O47" s="41" t="e">
        <f t="shared" si="4"/>
        <v>#VALUE!</v>
      </c>
      <c r="P47" s="41" t="b">
        <f t="shared" si="5"/>
        <v>0</v>
      </c>
      <c r="Q47" s="27"/>
      <c r="R47" s="27"/>
      <c r="S47" s="43"/>
      <c r="T47" s="27"/>
      <c r="U47" s="1"/>
      <c r="V47" s="1"/>
      <c r="W47" s="15"/>
      <c r="X47" s="15"/>
    </row>
    <row r="48" spans="1:24">
      <c r="A48" s="27"/>
      <c r="B48" s="26"/>
      <c r="C48" s="27"/>
      <c r="D48" s="27"/>
      <c r="E48" s="27"/>
      <c r="F48" s="31" t="b">
        <f t="shared" si="6"/>
        <v>0</v>
      </c>
      <c r="G48" s="32" t="b">
        <f t="shared" si="0"/>
        <v>0</v>
      </c>
      <c r="H48" s="27"/>
      <c r="I48" s="33" t="b">
        <f t="shared" si="1"/>
        <v>0</v>
      </c>
      <c r="J48" s="32" t="b">
        <f t="shared" si="7"/>
        <v>0</v>
      </c>
      <c r="K48" s="27"/>
      <c r="L48" s="33" t="b">
        <f t="shared" si="8"/>
        <v>0</v>
      </c>
      <c r="M48" s="40" t="e">
        <f t="shared" si="2"/>
        <v>#VALUE!</v>
      </c>
      <c r="N48" s="40" t="b">
        <f t="shared" si="3"/>
        <v>0</v>
      </c>
      <c r="O48" s="41" t="e">
        <f t="shared" si="4"/>
        <v>#VALUE!</v>
      </c>
      <c r="P48" s="41" t="b">
        <f t="shared" si="5"/>
        <v>0</v>
      </c>
      <c r="Q48" s="27"/>
      <c r="R48" s="27"/>
      <c r="S48" s="43"/>
      <c r="T48" s="27"/>
      <c r="U48" s="1"/>
      <c r="V48" s="1"/>
      <c r="W48" s="15"/>
      <c r="X48" s="15"/>
    </row>
    <row r="49" spans="1:24">
      <c r="A49" s="27"/>
      <c r="B49" s="26"/>
      <c r="C49" s="27"/>
      <c r="D49" s="27"/>
      <c r="E49" s="27"/>
      <c r="F49" s="31" t="b">
        <f t="shared" si="6"/>
        <v>0</v>
      </c>
      <c r="G49" s="32" t="b">
        <f t="shared" si="0"/>
        <v>0</v>
      </c>
      <c r="H49" s="27"/>
      <c r="I49" s="33" t="b">
        <f t="shared" si="1"/>
        <v>0</v>
      </c>
      <c r="J49" s="32" t="b">
        <f t="shared" si="7"/>
        <v>0</v>
      </c>
      <c r="K49" s="27"/>
      <c r="L49" s="33" t="b">
        <f t="shared" si="8"/>
        <v>0</v>
      </c>
      <c r="M49" s="40" t="e">
        <f t="shared" si="2"/>
        <v>#VALUE!</v>
      </c>
      <c r="N49" s="40" t="b">
        <f t="shared" si="3"/>
        <v>0</v>
      </c>
      <c r="O49" s="41" t="e">
        <f t="shared" si="4"/>
        <v>#VALUE!</v>
      </c>
      <c r="P49" s="41" t="b">
        <f t="shared" si="5"/>
        <v>0</v>
      </c>
      <c r="Q49" s="27"/>
      <c r="R49" s="27"/>
      <c r="S49" s="43"/>
      <c r="T49" s="27"/>
      <c r="U49" s="1"/>
      <c r="V49" s="1"/>
      <c r="W49" s="15"/>
      <c r="X49" s="15"/>
    </row>
    <row r="50" spans="1:24">
      <c r="A50" s="27"/>
      <c r="B50" s="26"/>
      <c r="C50" s="27"/>
      <c r="D50" s="27"/>
      <c r="E50" s="27"/>
      <c r="F50" s="31" t="b">
        <f t="shared" si="6"/>
        <v>0</v>
      </c>
      <c r="G50" s="32" t="b">
        <f t="shared" si="0"/>
        <v>0</v>
      </c>
      <c r="H50" s="27"/>
      <c r="I50" s="33" t="b">
        <f t="shared" si="1"/>
        <v>0</v>
      </c>
      <c r="J50" s="32" t="b">
        <f t="shared" si="7"/>
        <v>0</v>
      </c>
      <c r="K50" s="27"/>
      <c r="L50" s="33" t="b">
        <f t="shared" si="8"/>
        <v>0</v>
      </c>
      <c r="M50" s="40" t="e">
        <f t="shared" si="2"/>
        <v>#VALUE!</v>
      </c>
      <c r="N50" s="40" t="b">
        <f t="shared" si="3"/>
        <v>0</v>
      </c>
      <c r="O50" s="41" t="e">
        <f t="shared" si="4"/>
        <v>#VALUE!</v>
      </c>
      <c r="P50" s="41" t="b">
        <f t="shared" si="5"/>
        <v>0</v>
      </c>
      <c r="Q50" s="27"/>
      <c r="R50" s="27"/>
      <c r="S50" s="43"/>
      <c r="T50" s="27"/>
      <c r="U50" s="1"/>
      <c r="V50" s="1"/>
      <c r="W50" s="15"/>
      <c r="X50" s="15"/>
    </row>
    <row r="51" spans="1:24">
      <c r="A51" s="27"/>
      <c r="B51" s="26"/>
      <c r="C51" s="27"/>
      <c r="D51" s="27"/>
      <c r="E51" s="27"/>
      <c r="F51" s="31" t="b">
        <f t="shared" si="6"/>
        <v>0</v>
      </c>
      <c r="G51" s="32" t="b">
        <f t="shared" si="0"/>
        <v>0</v>
      </c>
      <c r="H51" s="27"/>
      <c r="I51" s="33" t="b">
        <f t="shared" si="1"/>
        <v>0</v>
      </c>
      <c r="J51" s="32" t="b">
        <f t="shared" si="7"/>
        <v>0</v>
      </c>
      <c r="K51" s="27"/>
      <c r="L51" s="33" t="b">
        <f t="shared" si="8"/>
        <v>0</v>
      </c>
      <c r="M51" s="40" t="e">
        <f t="shared" si="2"/>
        <v>#VALUE!</v>
      </c>
      <c r="N51" s="40" t="b">
        <f t="shared" si="3"/>
        <v>0</v>
      </c>
      <c r="O51" s="41" t="e">
        <f t="shared" si="4"/>
        <v>#VALUE!</v>
      </c>
      <c r="P51" s="41" t="b">
        <f t="shared" si="5"/>
        <v>0</v>
      </c>
      <c r="Q51" s="27"/>
      <c r="R51" s="27"/>
      <c r="S51" s="43"/>
      <c r="T51" s="27"/>
      <c r="U51" s="1"/>
      <c r="V51" s="1"/>
      <c r="W51" s="15"/>
      <c r="X51" s="15"/>
    </row>
    <row r="52" spans="1:24">
      <c r="A52" s="27"/>
      <c r="B52" s="26"/>
      <c r="C52" s="27"/>
      <c r="D52" s="27"/>
      <c r="E52" s="27"/>
      <c r="F52" s="31" t="b">
        <f t="shared" si="6"/>
        <v>0</v>
      </c>
      <c r="G52" s="32" t="b">
        <f t="shared" si="0"/>
        <v>0</v>
      </c>
      <c r="H52" s="27"/>
      <c r="I52" s="33" t="b">
        <f t="shared" si="1"/>
        <v>0</v>
      </c>
      <c r="J52" s="32" t="b">
        <f t="shared" si="7"/>
        <v>0</v>
      </c>
      <c r="K52" s="27"/>
      <c r="L52" s="33" t="b">
        <f t="shared" si="8"/>
        <v>0</v>
      </c>
      <c r="M52" s="40" t="e">
        <f t="shared" si="2"/>
        <v>#VALUE!</v>
      </c>
      <c r="N52" s="40" t="b">
        <f t="shared" si="3"/>
        <v>0</v>
      </c>
      <c r="O52" s="41" t="e">
        <f t="shared" si="4"/>
        <v>#VALUE!</v>
      </c>
      <c r="P52" s="41" t="b">
        <f t="shared" si="5"/>
        <v>0</v>
      </c>
      <c r="Q52" s="27"/>
      <c r="R52" s="27"/>
      <c r="S52" s="43"/>
      <c r="T52" s="27"/>
      <c r="U52" s="1"/>
      <c r="V52" s="1"/>
      <c r="W52" s="15"/>
      <c r="X52" s="15"/>
    </row>
    <row r="53" spans="1:24">
      <c r="A53" s="27"/>
      <c r="B53" s="26"/>
      <c r="C53" s="27"/>
      <c r="D53" s="27"/>
      <c r="E53" s="27"/>
      <c r="F53" s="31" t="b">
        <f t="shared" si="6"/>
        <v>0</v>
      </c>
      <c r="G53" s="32" t="b">
        <f t="shared" si="0"/>
        <v>0</v>
      </c>
      <c r="H53" s="27"/>
      <c r="I53" s="33" t="b">
        <f t="shared" si="1"/>
        <v>0</v>
      </c>
      <c r="J53" s="32" t="b">
        <f t="shared" si="7"/>
        <v>0</v>
      </c>
      <c r="K53" s="27"/>
      <c r="L53" s="33" t="b">
        <f t="shared" si="8"/>
        <v>0</v>
      </c>
      <c r="M53" s="40" t="e">
        <f t="shared" si="2"/>
        <v>#VALUE!</v>
      </c>
      <c r="N53" s="40" t="b">
        <f t="shared" si="3"/>
        <v>0</v>
      </c>
      <c r="O53" s="41" t="e">
        <f t="shared" si="4"/>
        <v>#VALUE!</v>
      </c>
      <c r="P53" s="41" t="b">
        <f t="shared" si="5"/>
        <v>0</v>
      </c>
      <c r="Q53" s="27"/>
      <c r="R53" s="27"/>
      <c r="S53" s="43"/>
      <c r="T53" s="27"/>
      <c r="U53" s="1"/>
      <c r="V53" s="1"/>
      <c r="W53" s="15"/>
      <c r="X53" s="15"/>
    </row>
    <row r="54" spans="1:24">
      <c r="A54" s="27"/>
      <c r="B54" s="26"/>
      <c r="C54" s="27"/>
      <c r="D54" s="27"/>
      <c r="E54" s="27"/>
      <c r="F54" s="31" t="b">
        <f t="shared" si="6"/>
        <v>0</v>
      </c>
      <c r="G54" s="32" t="b">
        <f t="shared" si="0"/>
        <v>0</v>
      </c>
      <c r="H54" s="27"/>
      <c r="I54" s="33" t="b">
        <f t="shared" si="1"/>
        <v>0</v>
      </c>
      <c r="J54" s="32" t="b">
        <f t="shared" si="7"/>
        <v>0</v>
      </c>
      <c r="K54" s="27"/>
      <c r="L54" s="33" t="b">
        <f t="shared" si="8"/>
        <v>0</v>
      </c>
      <c r="M54" s="40" t="e">
        <f t="shared" si="2"/>
        <v>#VALUE!</v>
      </c>
      <c r="N54" s="40" t="b">
        <f t="shared" si="3"/>
        <v>0</v>
      </c>
      <c r="O54" s="41" t="e">
        <f t="shared" si="4"/>
        <v>#VALUE!</v>
      </c>
      <c r="P54" s="41" t="b">
        <f t="shared" si="5"/>
        <v>0</v>
      </c>
      <c r="Q54" s="27"/>
      <c r="R54" s="27"/>
      <c r="S54" s="43"/>
      <c r="T54" s="27"/>
      <c r="U54" s="1"/>
      <c r="V54" s="1"/>
      <c r="W54" s="15"/>
      <c r="X54" s="15"/>
    </row>
    <row r="55" spans="1:24">
      <c r="A55" s="27"/>
      <c r="B55" s="26"/>
      <c r="C55" s="27"/>
      <c r="D55" s="27"/>
      <c r="E55" s="27"/>
      <c r="F55" s="31" t="b">
        <f t="shared" si="6"/>
        <v>0</v>
      </c>
      <c r="G55" s="32" t="b">
        <f t="shared" si="0"/>
        <v>0</v>
      </c>
      <c r="H55" s="27"/>
      <c r="I55" s="33" t="b">
        <f t="shared" si="1"/>
        <v>0</v>
      </c>
      <c r="J55" s="32" t="b">
        <f t="shared" si="7"/>
        <v>0</v>
      </c>
      <c r="K55" s="27"/>
      <c r="L55" s="33" t="b">
        <f t="shared" si="8"/>
        <v>0</v>
      </c>
      <c r="M55" s="40" t="e">
        <f t="shared" si="2"/>
        <v>#VALUE!</v>
      </c>
      <c r="N55" s="40" t="b">
        <f t="shared" si="3"/>
        <v>0</v>
      </c>
      <c r="O55" s="41" t="e">
        <f t="shared" si="4"/>
        <v>#VALUE!</v>
      </c>
      <c r="P55" s="41" t="b">
        <f t="shared" si="5"/>
        <v>0</v>
      </c>
      <c r="Q55" s="27"/>
      <c r="R55" s="27"/>
      <c r="S55" s="43"/>
      <c r="T55" s="27"/>
      <c r="U55" s="1"/>
      <c r="V55" s="1"/>
      <c r="W55" s="15"/>
      <c r="X55" s="15"/>
    </row>
    <row r="56" spans="1:24">
      <c r="A56" s="27"/>
      <c r="B56" s="26"/>
      <c r="C56" s="27"/>
      <c r="D56" s="27"/>
      <c r="E56" s="27"/>
      <c r="F56" s="31" t="b">
        <f t="shared" si="6"/>
        <v>0</v>
      </c>
      <c r="G56" s="32" t="b">
        <f t="shared" si="0"/>
        <v>0</v>
      </c>
      <c r="H56" s="27"/>
      <c r="I56" s="33" t="b">
        <f t="shared" si="1"/>
        <v>0</v>
      </c>
      <c r="J56" s="32" t="b">
        <f t="shared" si="7"/>
        <v>0</v>
      </c>
      <c r="K56" s="27"/>
      <c r="L56" s="33" t="b">
        <f t="shared" si="8"/>
        <v>0</v>
      </c>
      <c r="M56" s="40" t="e">
        <f t="shared" si="2"/>
        <v>#VALUE!</v>
      </c>
      <c r="N56" s="40" t="b">
        <f t="shared" si="3"/>
        <v>0</v>
      </c>
      <c r="O56" s="41" t="e">
        <f t="shared" si="4"/>
        <v>#VALUE!</v>
      </c>
      <c r="P56" s="41" t="b">
        <f t="shared" si="5"/>
        <v>0</v>
      </c>
      <c r="Q56" s="27"/>
      <c r="R56" s="27"/>
      <c r="S56" s="43"/>
      <c r="T56" s="27"/>
      <c r="U56" s="1"/>
      <c r="V56" s="1"/>
      <c r="W56" s="15"/>
      <c r="X56" s="15"/>
    </row>
    <row r="57" spans="1:24">
      <c r="A57" s="27"/>
      <c r="B57" s="26"/>
      <c r="C57" s="27"/>
      <c r="D57" s="27"/>
      <c r="E57" s="27"/>
      <c r="F57" s="31" t="b">
        <f t="shared" si="6"/>
        <v>0</v>
      </c>
      <c r="G57" s="32" t="b">
        <f t="shared" si="0"/>
        <v>0</v>
      </c>
      <c r="H57" s="27"/>
      <c r="I57" s="33" t="b">
        <f t="shared" si="1"/>
        <v>0</v>
      </c>
      <c r="J57" s="32" t="b">
        <f t="shared" si="7"/>
        <v>0</v>
      </c>
      <c r="K57" s="27"/>
      <c r="L57" s="33" t="b">
        <f t="shared" si="8"/>
        <v>0</v>
      </c>
      <c r="M57" s="40" t="e">
        <f t="shared" si="2"/>
        <v>#VALUE!</v>
      </c>
      <c r="N57" s="40" t="b">
        <f t="shared" si="3"/>
        <v>0</v>
      </c>
      <c r="O57" s="41" t="e">
        <f t="shared" si="4"/>
        <v>#VALUE!</v>
      </c>
      <c r="P57" s="41" t="b">
        <f t="shared" si="5"/>
        <v>0</v>
      </c>
      <c r="Q57" s="27"/>
      <c r="R57" s="27"/>
      <c r="S57" s="43"/>
      <c r="T57" s="27"/>
      <c r="U57" s="1"/>
      <c r="V57" s="1"/>
      <c r="W57" s="15"/>
      <c r="X57" s="15"/>
    </row>
    <row r="58" spans="1:24">
      <c r="A58" s="27"/>
      <c r="B58" s="26"/>
      <c r="C58" s="27"/>
      <c r="D58" s="27"/>
      <c r="E58" s="27"/>
      <c r="F58" s="31" t="b">
        <f t="shared" si="6"/>
        <v>0</v>
      </c>
      <c r="G58" s="32" t="b">
        <f t="shared" si="0"/>
        <v>0</v>
      </c>
      <c r="H58" s="27"/>
      <c r="I58" s="33" t="b">
        <f t="shared" si="1"/>
        <v>0</v>
      </c>
      <c r="J58" s="32" t="b">
        <f t="shared" si="7"/>
        <v>0</v>
      </c>
      <c r="K58" s="27"/>
      <c r="L58" s="33" t="b">
        <f t="shared" si="8"/>
        <v>0</v>
      </c>
      <c r="M58" s="40" t="e">
        <f t="shared" si="2"/>
        <v>#VALUE!</v>
      </c>
      <c r="N58" s="40" t="b">
        <f t="shared" si="3"/>
        <v>0</v>
      </c>
      <c r="O58" s="41" t="e">
        <f t="shared" si="4"/>
        <v>#VALUE!</v>
      </c>
      <c r="P58" s="41" t="b">
        <f t="shared" si="5"/>
        <v>0</v>
      </c>
      <c r="Q58" s="27"/>
      <c r="R58" s="27"/>
      <c r="S58" s="43"/>
      <c r="T58" s="27"/>
      <c r="U58" s="1"/>
      <c r="V58" s="1"/>
      <c r="W58" s="15"/>
      <c r="X58" s="15"/>
    </row>
    <row r="59" spans="1:24">
      <c r="A59" s="27"/>
      <c r="B59" s="26"/>
      <c r="C59" s="27"/>
      <c r="D59" s="27"/>
      <c r="E59" s="27"/>
      <c r="F59" s="31" t="b">
        <f t="shared" si="6"/>
        <v>0</v>
      </c>
      <c r="G59" s="32" t="b">
        <f t="shared" si="0"/>
        <v>0</v>
      </c>
      <c r="H59" s="27"/>
      <c r="I59" s="33" t="b">
        <f t="shared" si="1"/>
        <v>0</v>
      </c>
      <c r="J59" s="32" t="b">
        <f t="shared" si="7"/>
        <v>0</v>
      </c>
      <c r="K59" s="27"/>
      <c r="L59" s="33" t="b">
        <f t="shared" si="8"/>
        <v>0</v>
      </c>
      <c r="M59" s="40" t="e">
        <f t="shared" si="2"/>
        <v>#VALUE!</v>
      </c>
      <c r="N59" s="40" t="b">
        <f t="shared" si="3"/>
        <v>0</v>
      </c>
      <c r="O59" s="41" t="e">
        <f t="shared" si="4"/>
        <v>#VALUE!</v>
      </c>
      <c r="P59" s="41" t="b">
        <f t="shared" si="5"/>
        <v>0</v>
      </c>
      <c r="Q59" s="27"/>
      <c r="R59" s="27"/>
      <c r="S59" s="43"/>
      <c r="T59" s="27"/>
      <c r="U59" s="1"/>
      <c r="V59" s="1"/>
      <c r="W59" s="15"/>
      <c r="X59" s="15"/>
    </row>
    <row r="60" spans="1:24">
      <c r="A60" s="27"/>
      <c r="B60" s="26"/>
      <c r="C60" s="27"/>
      <c r="D60" s="27"/>
      <c r="E60" s="27"/>
      <c r="F60" s="31" t="b">
        <f t="shared" si="6"/>
        <v>0</v>
      </c>
      <c r="G60" s="32" t="b">
        <f t="shared" si="0"/>
        <v>0</v>
      </c>
      <c r="H60" s="27"/>
      <c r="I60" s="33" t="b">
        <f t="shared" si="1"/>
        <v>0</v>
      </c>
      <c r="J60" s="32" t="b">
        <f t="shared" si="7"/>
        <v>0</v>
      </c>
      <c r="K60" s="27"/>
      <c r="L60" s="33" t="b">
        <f t="shared" si="8"/>
        <v>0</v>
      </c>
      <c r="M60" s="40" t="e">
        <f t="shared" si="2"/>
        <v>#VALUE!</v>
      </c>
      <c r="N60" s="40" t="b">
        <f t="shared" si="3"/>
        <v>0</v>
      </c>
      <c r="O60" s="41" t="e">
        <f t="shared" si="4"/>
        <v>#VALUE!</v>
      </c>
      <c r="P60" s="41" t="b">
        <f t="shared" si="5"/>
        <v>0</v>
      </c>
      <c r="Q60" s="27"/>
      <c r="R60" s="27"/>
      <c r="S60" s="43"/>
      <c r="T60" s="27"/>
      <c r="U60" s="1"/>
      <c r="V60" s="1"/>
      <c r="W60" s="15"/>
      <c r="X60" s="15"/>
    </row>
    <row r="61" spans="1:24">
      <c r="A61" s="27"/>
      <c r="B61" s="26"/>
      <c r="C61" s="27"/>
      <c r="D61" s="27"/>
      <c r="E61" s="27"/>
      <c r="F61" s="31" t="b">
        <f t="shared" si="6"/>
        <v>0</v>
      </c>
      <c r="G61" s="32" t="b">
        <f t="shared" si="0"/>
        <v>0</v>
      </c>
      <c r="H61" s="27"/>
      <c r="I61" s="33" t="b">
        <f t="shared" si="1"/>
        <v>0</v>
      </c>
      <c r="J61" s="32" t="b">
        <f t="shared" si="7"/>
        <v>0</v>
      </c>
      <c r="K61" s="27"/>
      <c r="L61" s="33" t="b">
        <f t="shared" si="8"/>
        <v>0</v>
      </c>
      <c r="M61" s="40" t="e">
        <f t="shared" si="2"/>
        <v>#VALUE!</v>
      </c>
      <c r="N61" s="40" t="b">
        <f t="shared" si="3"/>
        <v>0</v>
      </c>
      <c r="O61" s="41" t="e">
        <f t="shared" si="4"/>
        <v>#VALUE!</v>
      </c>
      <c r="P61" s="41" t="b">
        <f t="shared" si="5"/>
        <v>0</v>
      </c>
      <c r="Q61" s="27"/>
      <c r="R61" s="27"/>
      <c r="S61" s="43"/>
      <c r="T61" s="27"/>
      <c r="U61" s="1"/>
      <c r="V61" s="1"/>
      <c r="W61" s="15"/>
      <c r="X61" s="15"/>
    </row>
    <row r="62" spans="1:24">
      <c r="A62" s="27"/>
      <c r="B62" s="26"/>
      <c r="C62" s="27"/>
      <c r="D62" s="27"/>
      <c r="E62" s="27"/>
      <c r="F62" s="31" t="b">
        <f t="shared" si="6"/>
        <v>0</v>
      </c>
      <c r="G62" s="32" t="b">
        <f t="shared" si="0"/>
        <v>0</v>
      </c>
      <c r="H62" s="27"/>
      <c r="I62" s="33" t="b">
        <f t="shared" si="1"/>
        <v>0</v>
      </c>
      <c r="J62" s="32" t="b">
        <f t="shared" si="7"/>
        <v>0</v>
      </c>
      <c r="K62" s="27"/>
      <c r="L62" s="33" t="b">
        <f t="shared" si="8"/>
        <v>0</v>
      </c>
      <c r="M62" s="40" t="e">
        <f t="shared" si="2"/>
        <v>#VALUE!</v>
      </c>
      <c r="N62" s="40" t="b">
        <f t="shared" si="3"/>
        <v>0</v>
      </c>
      <c r="O62" s="41" t="e">
        <f t="shared" si="4"/>
        <v>#VALUE!</v>
      </c>
      <c r="P62" s="41" t="b">
        <f t="shared" si="5"/>
        <v>0</v>
      </c>
      <c r="Q62" s="27"/>
      <c r="R62" s="27"/>
      <c r="S62" s="43"/>
      <c r="T62" s="27"/>
      <c r="U62" s="1"/>
      <c r="V62" s="1"/>
      <c r="W62" s="15"/>
      <c r="X62" s="15"/>
    </row>
    <row r="63" spans="1:24">
      <c r="A63" s="27"/>
      <c r="B63" s="26"/>
      <c r="C63" s="27"/>
      <c r="D63" s="27"/>
      <c r="E63" s="27"/>
      <c r="F63" s="31" t="b">
        <f t="shared" si="6"/>
        <v>0</v>
      </c>
      <c r="G63" s="32" t="b">
        <f t="shared" si="0"/>
        <v>0</v>
      </c>
      <c r="H63" s="27"/>
      <c r="I63" s="33" t="b">
        <f t="shared" si="1"/>
        <v>0</v>
      </c>
      <c r="J63" s="32" t="b">
        <f t="shared" si="7"/>
        <v>0</v>
      </c>
      <c r="K63" s="27"/>
      <c r="L63" s="33" t="b">
        <f t="shared" si="8"/>
        <v>0</v>
      </c>
      <c r="M63" s="40" t="e">
        <f t="shared" si="2"/>
        <v>#VALUE!</v>
      </c>
      <c r="N63" s="40" t="b">
        <f t="shared" si="3"/>
        <v>0</v>
      </c>
      <c r="O63" s="41" t="e">
        <f t="shared" si="4"/>
        <v>#VALUE!</v>
      </c>
      <c r="P63" s="41" t="b">
        <f t="shared" si="5"/>
        <v>0</v>
      </c>
      <c r="Q63" s="27"/>
      <c r="R63" s="27"/>
      <c r="S63" s="43"/>
      <c r="T63" s="27"/>
      <c r="U63" s="1"/>
      <c r="V63" s="1"/>
      <c r="W63" s="15"/>
      <c r="X63" s="15"/>
    </row>
    <row r="64" spans="1:24">
      <c r="A64" s="27"/>
      <c r="B64" s="26"/>
      <c r="C64" s="27"/>
      <c r="D64" s="27"/>
      <c r="E64" s="27"/>
      <c r="F64" s="31" t="b">
        <f t="shared" si="6"/>
        <v>0</v>
      </c>
      <c r="G64" s="32" t="b">
        <f t="shared" si="0"/>
        <v>0</v>
      </c>
      <c r="H64" s="27"/>
      <c r="I64" s="33" t="b">
        <f t="shared" si="1"/>
        <v>0</v>
      </c>
      <c r="J64" s="32" t="b">
        <f t="shared" si="7"/>
        <v>0</v>
      </c>
      <c r="K64" s="27"/>
      <c r="L64" s="33" t="b">
        <f t="shared" si="8"/>
        <v>0</v>
      </c>
      <c r="M64" s="40" t="e">
        <f t="shared" si="2"/>
        <v>#VALUE!</v>
      </c>
      <c r="N64" s="40" t="b">
        <f t="shared" si="3"/>
        <v>0</v>
      </c>
      <c r="O64" s="41" t="e">
        <f t="shared" si="4"/>
        <v>#VALUE!</v>
      </c>
      <c r="P64" s="41" t="b">
        <f t="shared" si="5"/>
        <v>0</v>
      </c>
      <c r="Q64" s="27"/>
      <c r="R64" s="27"/>
      <c r="S64" s="43"/>
      <c r="T64" s="27"/>
      <c r="U64" s="1"/>
      <c r="V64" s="1"/>
      <c r="W64" s="15"/>
      <c r="X64" s="15"/>
    </row>
    <row r="65" spans="1:24">
      <c r="A65" s="27"/>
      <c r="B65" s="26"/>
      <c r="C65" s="27"/>
      <c r="D65" s="27"/>
      <c r="E65" s="27"/>
      <c r="F65" s="31" t="b">
        <f t="shared" si="6"/>
        <v>0</v>
      </c>
      <c r="G65" s="32" t="b">
        <f t="shared" si="0"/>
        <v>0</v>
      </c>
      <c r="H65" s="27"/>
      <c r="I65" s="33" t="b">
        <f t="shared" si="1"/>
        <v>0</v>
      </c>
      <c r="J65" s="32" t="b">
        <f t="shared" si="7"/>
        <v>0</v>
      </c>
      <c r="K65" s="27"/>
      <c r="L65" s="33" t="b">
        <f t="shared" si="8"/>
        <v>0</v>
      </c>
      <c r="M65" s="40" t="e">
        <f t="shared" si="2"/>
        <v>#VALUE!</v>
      </c>
      <c r="N65" s="40" t="b">
        <f t="shared" si="3"/>
        <v>0</v>
      </c>
      <c r="O65" s="41" t="e">
        <f t="shared" si="4"/>
        <v>#VALUE!</v>
      </c>
      <c r="P65" s="41" t="b">
        <f t="shared" si="5"/>
        <v>0</v>
      </c>
      <c r="Q65" s="27"/>
      <c r="R65" s="27"/>
      <c r="S65" s="43"/>
      <c r="T65" s="27"/>
      <c r="U65" s="1"/>
      <c r="V65" s="1"/>
      <c r="W65" s="15"/>
      <c r="X65" s="15"/>
    </row>
    <row r="66" spans="1:24">
      <c r="A66" s="27"/>
      <c r="B66" s="26"/>
      <c r="C66" s="27"/>
      <c r="D66" s="27"/>
      <c r="E66" s="27"/>
      <c r="F66" s="31" t="b">
        <f t="shared" si="6"/>
        <v>0</v>
      </c>
      <c r="G66" s="32" t="b">
        <f t="shared" si="0"/>
        <v>0</v>
      </c>
      <c r="H66" s="27"/>
      <c r="I66" s="33" t="b">
        <f t="shared" si="1"/>
        <v>0</v>
      </c>
      <c r="J66" s="32" t="b">
        <f t="shared" si="7"/>
        <v>0</v>
      </c>
      <c r="K66" s="27"/>
      <c r="L66" s="33" t="b">
        <f t="shared" si="8"/>
        <v>0</v>
      </c>
      <c r="M66" s="40" t="e">
        <f t="shared" si="2"/>
        <v>#VALUE!</v>
      </c>
      <c r="N66" s="40" t="b">
        <f t="shared" si="3"/>
        <v>0</v>
      </c>
      <c r="O66" s="41" t="e">
        <f t="shared" si="4"/>
        <v>#VALUE!</v>
      </c>
      <c r="P66" s="41" t="b">
        <f t="shared" si="5"/>
        <v>0</v>
      </c>
      <c r="Q66" s="27"/>
      <c r="R66" s="27"/>
      <c r="S66" s="43"/>
      <c r="T66" s="27"/>
      <c r="U66" s="1"/>
      <c r="V66" s="1"/>
      <c r="W66" s="15"/>
      <c r="X66" s="15"/>
    </row>
    <row r="67" spans="1:24">
      <c r="A67" s="27"/>
      <c r="B67" s="26"/>
      <c r="C67" s="27"/>
      <c r="D67" s="27"/>
      <c r="E67" s="27"/>
      <c r="F67" s="31" t="b">
        <f t="shared" si="6"/>
        <v>0</v>
      </c>
      <c r="G67" s="32" t="b">
        <f t="shared" si="0"/>
        <v>0</v>
      </c>
      <c r="H67" s="27"/>
      <c r="I67" s="33" t="b">
        <f t="shared" si="1"/>
        <v>0</v>
      </c>
      <c r="J67" s="32" t="b">
        <f t="shared" si="7"/>
        <v>0</v>
      </c>
      <c r="K67" s="27"/>
      <c r="L67" s="33" t="b">
        <f t="shared" si="8"/>
        <v>0</v>
      </c>
      <c r="M67" s="40" t="e">
        <f t="shared" ref="M67:M101" si="9">MROUND(IF(B67="BUY",MAX(F67,I67),IF(B67="SELL",MIN(F67,I67))),1)</f>
        <v>#VALUE!</v>
      </c>
      <c r="N67" s="40" t="b">
        <f t="shared" ref="N67:N101" si="10">IF(B67="BUY",(M67*(1-0.1%)),IF(B67="SELL",(M67*(1+0.1%))))</f>
        <v>0</v>
      </c>
      <c r="O67" s="41" t="e">
        <f t="shared" ref="O67:O101" si="11">MROUND(IF(B67="BUY",MAX(F67,L67),IF(B67="SELL",MIN(F67,L67))),1)</f>
        <v>#VALUE!</v>
      </c>
      <c r="P67" s="41" t="b">
        <f t="shared" ref="P67:P101" si="12">IF(B67="BUY",(O67*(1-0.1%)),IF(B67="SELL",(O67*(1+0.1%))))</f>
        <v>0</v>
      </c>
      <c r="Q67" s="27"/>
      <c r="R67" s="27"/>
      <c r="S67" s="43"/>
      <c r="T67" s="27"/>
      <c r="U67" s="1"/>
      <c r="V67" s="1"/>
      <c r="W67" s="15"/>
      <c r="X67" s="15"/>
    </row>
    <row r="68" spans="1:24">
      <c r="A68" s="27"/>
      <c r="B68" s="26"/>
      <c r="C68" s="27"/>
      <c r="D68" s="27"/>
      <c r="E68" s="27"/>
      <c r="F68" s="31" t="b">
        <f t="shared" ref="F68:F101" si="13">IF(B68="BUY",(C68*(1-1.5%)),IF(B68="SELL",(C68*(1+1.5%))))</f>
        <v>0</v>
      </c>
      <c r="G68" s="32" t="b">
        <f t="shared" si="0"/>
        <v>0</v>
      </c>
      <c r="H68" s="27"/>
      <c r="I68" s="33" t="b">
        <f t="shared" si="1"/>
        <v>0</v>
      </c>
      <c r="J68" s="32" t="b">
        <f t="shared" ref="J68:J101" si="14">IF(B68="BUY","4DLL",IF(B68="SELL","4DHH"))</f>
        <v>0</v>
      </c>
      <c r="K68" s="27"/>
      <c r="L68" s="33" t="b">
        <f t="shared" ref="L68:L101" si="15">IF(J68="4DHH",(K68*(1+0.12%)),IF(J68="4DLL",(K68*(1-0.12%))))</f>
        <v>0</v>
      </c>
      <c r="M68" s="40" t="e">
        <f t="shared" si="9"/>
        <v>#VALUE!</v>
      </c>
      <c r="N68" s="40" t="b">
        <f t="shared" si="10"/>
        <v>0</v>
      </c>
      <c r="O68" s="41" t="e">
        <f t="shared" si="11"/>
        <v>#VALUE!</v>
      </c>
      <c r="P68" s="41" t="b">
        <f t="shared" si="12"/>
        <v>0</v>
      </c>
      <c r="Q68" s="27"/>
      <c r="R68" s="27"/>
      <c r="S68" s="43"/>
      <c r="T68" s="27"/>
      <c r="U68" s="1"/>
      <c r="V68" s="1"/>
      <c r="W68" s="15"/>
      <c r="X68" s="15"/>
    </row>
    <row r="69" spans="1:24">
      <c r="A69" s="27"/>
      <c r="B69" s="26"/>
      <c r="C69" s="27"/>
      <c r="D69" s="27"/>
      <c r="E69" s="27"/>
      <c r="F69" s="31" t="b">
        <f t="shared" si="13"/>
        <v>0</v>
      </c>
      <c r="G69" s="32" t="b">
        <f t="shared" si="0"/>
        <v>0</v>
      </c>
      <c r="H69" s="27"/>
      <c r="I69" s="33" t="b">
        <f t="shared" si="1"/>
        <v>0</v>
      </c>
      <c r="J69" s="32" t="b">
        <f t="shared" si="14"/>
        <v>0</v>
      </c>
      <c r="K69" s="27"/>
      <c r="L69" s="33" t="b">
        <f t="shared" si="15"/>
        <v>0</v>
      </c>
      <c r="M69" s="40" t="e">
        <f t="shared" si="9"/>
        <v>#VALUE!</v>
      </c>
      <c r="N69" s="40" t="b">
        <f t="shared" si="10"/>
        <v>0</v>
      </c>
      <c r="O69" s="41" t="e">
        <f t="shared" si="11"/>
        <v>#VALUE!</v>
      </c>
      <c r="P69" s="41" t="b">
        <f t="shared" si="12"/>
        <v>0</v>
      </c>
      <c r="Q69" s="27"/>
      <c r="R69" s="27"/>
      <c r="S69" s="43"/>
      <c r="T69" s="27"/>
      <c r="U69" s="1"/>
      <c r="V69" s="1"/>
      <c r="W69" s="15"/>
      <c r="X69" s="15"/>
    </row>
    <row r="70" spans="1:24">
      <c r="A70" s="27"/>
      <c r="B70" s="26"/>
      <c r="C70" s="27"/>
      <c r="D70" s="27"/>
      <c r="E70" s="27"/>
      <c r="F70" s="31" t="b">
        <f t="shared" si="13"/>
        <v>0</v>
      </c>
      <c r="G70" s="32" t="b">
        <f t="shared" si="0"/>
        <v>0</v>
      </c>
      <c r="H70" s="27"/>
      <c r="I70" s="33" t="b">
        <f t="shared" si="1"/>
        <v>0</v>
      </c>
      <c r="J70" s="32" t="b">
        <f t="shared" si="14"/>
        <v>0</v>
      </c>
      <c r="K70" s="27"/>
      <c r="L70" s="33" t="b">
        <f t="shared" si="15"/>
        <v>0</v>
      </c>
      <c r="M70" s="40" t="e">
        <f t="shared" si="9"/>
        <v>#VALUE!</v>
      </c>
      <c r="N70" s="40" t="b">
        <f t="shared" si="10"/>
        <v>0</v>
      </c>
      <c r="O70" s="41" t="e">
        <f t="shared" si="11"/>
        <v>#VALUE!</v>
      </c>
      <c r="P70" s="41" t="b">
        <f t="shared" si="12"/>
        <v>0</v>
      </c>
      <c r="Q70" s="27"/>
      <c r="R70" s="27"/>
      <c r="S70" s="43"/>
      <c r="T70" s="27"/>
      <c r="U70" s="1"/>
      <c r="V70" s="1"/>
      <c r="W70" s="15"/>
      <c r="X70" s="15"/>
    </row>
    <row r="71" spans="1:24">
      <c r="A71" s="27"/>
      <c r="B71" s="26"/>
      <c r="C71" s="27"/>
      <c r="D71" s="27"/>
      <c r="E71" s="27"/>
      <c r="F71" s="31" t="b">
        <f t="shared" si="13"/>
        <v>0</v>
      </c>
      <c r="G71" s="32" t="b">
        <f t="shared" si="0"/>
        <v>0</v>
      </c>
      <c r="H71" s="27"/>
      <c r="I71" s="33" t="b">
        <f t="shared" si="1"/>
        <v>0</v>
      </c>
      <c r="J71" s="32" t="b">
        <f t="shared" si="14"/>
        <v>0</v>
      </c>
      <c r="K71" s="27"/>
      <c r="L71" s="33" t="b">
        <f t="shared" si="15"/>
        <v>0</v>
      </c>
      <c r="M71" s="40" t="e">
        <f t="shared" si="9"/>
        <v>#VALUE!</v>
      </c>
      <c r="N71" s="40" t="b">
        <f t="shared" si="10"/>
        <v>0</v>
      </c>
      <c r="O71" s="41" t="e">
        <f t="shared" si="11"/>
        <v>#VALUE!</v>
      </c>
      <c r="P71" s="41" t="b">
        <f t="shared" si="12"/>
        <v>0</v>
      </c>
      <c r="Q71" s="27"/>
      <c r="R71" s="27"/>
      <c r="S71" s="43"/>
      <c r="T71" s="27"/>
      <c r="U71" s="1"/>
      <c r="V71" s="1"/>
      <c r="W71" s="15"/>
      <c r="X71" s="15"/>
    </row>
    <row r="72" spans="1:24">
      <c r="A72" s="27"/>
      <c r="B72" s="26"/>
      <c r="C72" s="27"/>
      <c r="D72" s="27"/>
      <c r="E72" s="27"/>
      <c r="F72" s="31" t="b">
        <f t="shared" si="13"/>
        <v>0</v>
      </c>
      <c r="G72" s="32" t="b">
        <f t="shared" si="0"/>
        <v>0</v>
      </c>
      <c r="H72" s="27"/>
      <c r="I72" s="33" t="b">
        <f t="shared" si="1"/>
        <v>0</v>
      </c>
      <c r="J72" s="32" t="b">
        <f t="shared" si="14"/>
        <v>0</v>
      </c>
      <c r="K72" s="27"/>
      <c r="L72" s="33" t="b">
        <f t="shared" si="15"/>
        <v>0</v>
      </c>
      <c r="M72" s="40" t="e">
        <f t="shared" si="9"/>
        <v>#VALUE!</v>
      </c>
      <c r="N72" s="40" t="b">
        <f t="shared" si="10"/>
        <v>0</v>
      </c>
      <c r="O72" s="41" t="e">
        <f t="shared" si="11"/>
        <v>#VALUE!</v>
      </c>
      <c r="P72" s="41" t="b">
        <f t="shared" si="12"/>
        <v>0</v>
      </c>
      <c r="Q72" s="27"/>
      <c r="R72" s="27"/>
      <c r="S72" s="43"/>
      <c r="T72" s="27"/>
      <c r="U72" s="1"/>
      <c r="V72" s="1"/>
      <c r="W72" s="15"/>
      <c r="X72" s="15"/>
    </row>
    <row r="73" spans="1:24">
      <c r="A73" s="27"/>
      <c r="B73" s="26"/>
      <c r="C73" s="27"/>
      <c r="D73" s="27"/>
      <c r="E73" s="27"/>
      <c r="F73" s="31" t="b">
        <f t="shared" si="13"/>
        <v>0</v>
      </c>
      <c r="G73" s="32" t="b">
        <f t="shared" si="0"/>
        <v>0</v>
      </c>
      <c r="H73" s="27"/>
      <c r="I73" s="33" t="b">
        <f t="shared" si="1"/>
        <v>0</v>
      </c>
      <c r="J73" s="32" t="b">
        <f t="shared" si="14"/>
        <v>0</v>
      </c>
      <c r="K73" s="27"/>
      <c r="L73" s="33" t="b">
        <f t="shared" si="15"/>
        <v>0</v>
      </c>
      <c r="M73" s="40" t="e">
        <f t="shared" si="9"/>
        <v>#VALUE!</v>
      </c>
      <c r="N73" s="40" t="b">
        <f t="shared" si="10"/>
        <v>0</v>
      </c>
      <c r="O73" s="41" t="e">
        <f t="shared" si="11"/>
        <v>#VALUE!</v>
      </c>
      <c r="P73" s="41" t="b">
        <f t="shared" si="12"/>
        <v>0</v>
      </c>
      <c r="Q73" s="27"/>
      <c r="R73" s="27"/>
      <c r="S73" s="43"/>
      <c r="T73" s="27"/>
      <c r="U73" s="1"/>
      <c r="V73" s="1"/>
      <c r="W73" s="15"/>
      <c r="X73" s="15"/>
    </row>
    <row r="74" spans="1:24">
      <c r="A74" s="27"/>
      <c r="B74" s="26"/>
      <c r="C74" s="27"/>
      <c r="D74" s="27"/>
      <c r="E74" s="27"/>
      <c r="F74" s="31" t="b">
        <f t="shared" si="13"/>
        <v>0</v>
      </c>
      <c r="G74" s="32" t="b">
        <f t="shared" si="0"/>
        <v>0</v>
      </c>
      <c r="H74" s="27"/>
      <c r="I74" s="33" t="b">
        <f t="shared" si="1"/>
        <v>0</v>
      </c>
      <c r="J74" s="32" t="b">
        <f t="shared" si="14"/>
        <v>0</v>
      </c>
      <c r="K74" s="27"/>
      <c r="L74" s="33" t="b">
        <f t="shared" si="15"/>
        <v>0</v>
      </c>
      <c r="M74" s="40" t="e">
        <f t="shared" si="9"/>
        <v>#VALUE!</v>
      </c>
      <c r="N74" s="40" t="b">
        <f t="shared" si="10"/>
        <v>0</v>
      </c>
      <c r="O74" s="41" t="e">
        <f t="shared" si="11"/>
        <v>#VALUE!</v>
      </c>
      <c r="P74" s="41" t="b">
        <f t="shared" si="12"/>
        <v>0</v>
      </c>
      <c r="Q74" s="27"/>
      <c r="R74" s="27"/>
      <c r="S74" s="43"/>
      <c r="T74" s="27"/>
      <c r="U74" s="1"/>
      <c r="V74" s="1"/>
      <c r="W74" s="15"/>
      <c r="X74" s="15"/>
    </row>
    <row r="75" spans="1:24">
      <c r="A75" s="27"/>
      <c r="B75" s="26"/>
      <c r="C75" s="27"/>
      <c r="D75" s="27"/>
      <c r="E75" s="27"/>
      <c r="F75" s="31" t="b">
        <f t="shared" si="13"/>
        <v>0</v>
      </c>
      <c r="G75" s="32" t="b">
        <f t="shared" si="0"/>
        <v>0</v>
      </c>
      <c r="H75" s="27"/>
      <c r="I75" s="33" t="b">
        <f t="shared" si="1"/>
        <v>0</v>
      </c>
      <c r="J75" s="32" t="b">
        <f t="shared" si="14"/>
        <v>0</v>
      </c>
      <c r="K75" s="27"/>
      <c r="L75" s="33" t="b">
        <f t="shared" si="15"/>
        <v>0</v>
      </c>
      <c r="M75" s="40" t="e">
        <f t="shared" si="9"/>
        <v>#VALUE!</v>
      </c>
      <c r="N75" s="40" t="b">
        <f t="shared" si="10"/>
        <v>0</v>
      </c>
      <c r="O75" s="41" t="e">
        <f t="shared" si="11"/>
        <v>#VALUE!</v>
      </c>
      <c r="P75" s="41" t="b">
        <f t="shared" si="12"/>
        <v>0</v>
      </c>
      <c r="Q75" s="27"/>
      <c r="R75" s="27"/>
      <c r="S75" s="43"/>
      <c r="T75" s="27"/>
      <c r="U75" s="1"/>
      <c r="V75" s="1"/>
      <c r="W75" s="15"/>
      <c r="X75" s="15"/>
    </row>
    <row r="76" spans="1:24">
      <c r="A76" s="27"/>
      <c r="B76" s="26"/>
      <c r="C76" s="27"/>
      <c r="D76" s="27"/>
      <c r="E76" s="27"/>
      <c r="F76" s="31" t="b">
        <f t="shared" si="13"/>
        <v>0</v>
      </c>
      <c r="G76" s="32" t="b">
        <f t="shared" si="0"/>
        <v>0</v>
      </c>
      <c r="H76" s="27"/>
      <c r="I76" s="33" t="b">
        <f t="shared" si="1"/>
        <v>0</v>
      </c>
      <c r="J76" s="32" t="b">
        <f t="shared" si="14"/>
        <v>0</v>
      </c>
      <c r="K76" s="27"/>
      <c r="L76" s="33" t="b">
        <f t="shared" si="15"/>
        <v>0</v>
      </c>
      <c r="M76" s="40" t="e">
        <f t="shared" si="9"/>
        <v>#VALUE!</v>
      </c>
      <c r="N76" s="40" t="b">
        <f t="shared" si="10"/>
        <v>0</v>
      </c>
      <c r="O76" s="41" t="e">
        <f t="shared" si="11"/>
        <v>#VALUE!</v>
      </c>
      <c r="P76" s="41" t="b">
        <f t="shared" si="12"/>
        <v>0</v>
      </c>
      <c r="Q76" s="27"/>
      <c r="R76" s="27"/>
      <c r="S76" s="43"/>
      <c r="T76" s="27"/>
      <c r="U76" s="1"/>
      <c r="V76" s="1"/>
      <c r="W76" s="15"/>
      <c r="X76" s="15"/>
    </row>
    <row r="77" spans="1:24">
      <c r="A77" s="27"/>
      <c r="B77" s="26"/>
      <c r="C77" s="27"/>
      <c r="D77" s="27"/>
      <c r="E77" s="27"/>
      <c r="F77" s="31" t="b">
        <f t="shared" si="13"/>
        <v>0</v>
      </c>
      <c r="G77" s="32" t="b">
        <f t="shared" si="0"/>
        <v>0</v>
      </c>
      <c r="H77" s="27"/>
      <c r="I77" s="33" t="b">
        <f t="shared" si="1"/>
        <v>0</v>
      </c>
      <c r="J77" s="32" t="b">
        <f t="shared" si="14"/>
        <v>0</v>
      </c>
      <c r="K77" s="27"/>
      <c r="L77" s="33" t="b">
        <f t="shared" si="15"/>
        <v>0</v>
      </c>
      <c r="M77" s="40" t="e">
        <f t="shared" si="9"/>
        <v>#VALUE!</v>
      </c>
      <c r="N77" s="40" t="b">
        <f t="shared" si="10"/>
        <v>0</v>
      </c>
      <c r="O77" s="41" t="e">
        <f t="shared" si="11"/>
        <v>#VALUE!</v>
      </c>
      <c r="P77" s="41" t="b">
        <f t="shared" si="12"/>
        <v>0</v>
      </c>
      <c r="Q77" s="27"/>
      <c r="R77" s="27"/>
      <c r="S77" s="43"/>
      <c r="T77" s="27"/>
      <c r="U77" s="1"/>
      <c r="V77" s="1"/>
      <c r="W77" s="15"/>
      <c r="X77" s="15"/>
    </row>
    <row r="78" spans="1:24">
      <c r="A78" s="27"/>
      <c r="B78" s="26"/>
      <c r="C78" s="27"/>
      <c r="D78" s="27"/>
      <c r="E78" s="27"/>
      <c r="F78" s="31" t="b">
        <f t="shared" si="13"/>
        <v>0</v>
      </c>
      <c r="G78" s="32" t="b">
        <f t="shared" si="0"/>
        <v>0</v>
      </c>
      <c r="H78" s="27"/>
      <c r="I78" s="33" t="b">
        <f t="shared" si="1"/>
        <v>0</v>
      </c>
      <c r="J78" s="32" t="b">
        <f t="shared" si="14"/>
        <v>0</v>
      </c>
      <c r="K78" s="27"/>
      <c r="L78" s="33" t="b">
        <f t="shared" si="15"/>
        <v>0</v>
      </c>
      <c r="M78" s="40" t="e">
        <f t="shared" si="9"/>
        <v>#VALUE!</v>
      </c>
      <c r="N78" s="40" t="b">
        <f t="shared" si="10"/>
        <v>0</v>
      </c>
      <c r="O78" s="41" t="e">
        <f t="shared" si="11"/>
        <v>#VALUE!</v>
      </c>
      <c r="P78" s="41" t="b">
        <f t="shared" si="12"/>
        <v>0</v>
      </c>
      <c r="Q78" s="27"/>
      <c r="R78" s="27"/>
      <c r="S78" s="43"/>
      <c r="T78" s="27"/>
      <c r="U78" s="1"/>
      <c r="V78" s="1"/>
      <c r="W78" s="15"/>
      <c r="X78" s="15"/>
    </row>
    <row r="79" spans="1:24">
      <c r="A79" s="27"/>
      <c r="B79" s="26"/>
      <c r="C79" s="27"/>
      <c r="D79" s="27"/>
      <c r="E79" s="27"/>
      <c r="F79" s="31" t="b">
        <f t="shared" si="13"/>
        <v>0</v>
      </c>
      <c r="G79" s="32" t="b">
        <f t="shared" si="0"/>
        <v>0</v>
      </c>
      <c r="H79" s="27"/>
      <c r="I79" s="33" t="b">
        <f t="shared" si="1"/>
        <v>0</v>
      </c>
      <c r="J79" s="32" t="b">
        <f t="shared" si="14"/>
        <v>0</v>
      </c>
      <c r="K79" s="27"/>
      <c r="L79" s="33" t="b">
        <f t="shared" si="15"/>
        <v>0</v>
      </c>
      <c r="M79" s="40" t="e">
        <f t="shared" si="9"/>
        <v>#VALUE!</v>
      </c>
      <c r="N79" s="40" t="b">
        <f t="shared" si="10"/>
        <v>0</v>
      </c>
      <c r="O79" s="41" t="e">
        <f t="shared" si="11"/>
        <v>#VALUE!</v>
      </c>
      <c r="P79" s="41" t="b">
        <f t="shared" si="12"/>
        <v>0</v>
      </c>
      <c r="Q79" s="27"/>
      <c r="R79" s="27"/>
      <c r="S79" s="43"/>
      <c r="T79" s="27"/>
      <c r="U79" s="1"/>
      <c r="V79" s="1"/>
      <c r="W79" s="15"/>
      <c r="X79" s="15"/>
    </row>
    <row r="80" spans="1:24">
      <c r="A80" s="27"/>
      <c r="B80" s="26"/>
      <c r="C80" s="27"/>
      <c r="D80" s="27"/>
      <c r="E80" s="27"/>
      <c r="F80" s="31" t="b">
        <f t="shared" si="13"/>
        <v>0</v>
      </c>
      <c r="G80" s="32" t="b">
        <f t="shared" si="0"/>
        <v>0</v>
      </c>
      <c r="H80" s="27"/>
      <c r="I80" s="33" t="b">
        <f t="shared" si="1"/>
        <v>0</v>
      </c>
      <c r="J80" s="32" t="b">
        <f t="shared" si="14"/>
        <v>0</v>
      </c>
      <c r="K80" s="27"/>
      <c r="L80" s="33" t="b">
        <f t="shared" si="15"/>
        <v>0</v>
      </c>
      <c r="M80" s="40" t="e">
        <f t="shared" si="9"/>
        <v>#VALUE!</v>
      </c>
      <c r="N80" s="40" t="b">
        <f t="shared" si="10"/>
        <v>0</v>
      </c>
      <c r="O80" s="41" t="e">
        <f t="shared" si="11"/>
        <v>#VALUE!</v>
      </c>
      <c r="P80" s="41" t="b">
        <f t="shared" si="12"/>
        <v>0</v>
      </c>
      <c r="Q80" s="27"/>
      <c r="R80" s="27"/>
      <c r="S80" s="43"/>
      <c r="T80" s="27"/>
      <c r="U80" s="1"/>
      <c r="V80" s="1"/>
      <c r="W80" s="15"/>
      <c r="X80" s="15"/>
    </row>
    <row r="81" spans="1:24">
      <c r="A81" s="27"/>
      <c r="B81" s="26"/>
      <c r="C81" s="27"/>
      <c r="D81" s="27"/>
      <c r="E81" s="27"/>
      <c r="F81" s="31" t="b">
        <f t="shared" si="13"/>
        <v>0</v>
      </c>
      <c r="G81" s="32" t="b">
        <f t="shared" si="0"/>
        <v>0</v>
      </c>
      <c r="H81" s="27"/>
      <c r="I81" s="33" t="b">
        <f t="shared" si="1"/>
        <v>0</v>
      </c>
      <c r="J81" s="32" t="b">
        <f t="shared" si="14"/>
        <v>0</v>
      </c>
      <c r="K81" s="27"/>
      <c r="L81" s="33" t="b">
        <f t="shared" si="15"/>
        <v>0</v>
      </c>
      <c r="M81" s="40" t="e">
        <f t="shared" si="9"/>
        <v>#VALUE!</v>
      </c>
      <c r="N81" s="40" t="b">
        <f t="shared" si="10"/>
        <v>0</v>
      </c>
      <c r="O81" s="41" t="e">
        <f t="shared" si="11"/>
        <v>#VALUE!</v>
      </c>
      <c r="P81" s="41" t="b">
        <f t="shared" si="12"/>
        <v>0</v>
      </c>
      <c r="Q81" s="27"/>
      <c r="R81" s="27"/>
      <c r="S81" s="43"/>
      <c r="T81" s="27"/>
      <c r="U81" s="1"/>
      <c r="V81" s="1"/>
      <c r="W81" s="15"/>
      <c r="X81" s="15"/>
    </row>
    <row r="82" spans="1:24">
      <c r="A82" s="27"/>
      <c r="B82" s="26"/>
      <c r="C82" s="27"/>
      <c r="D82" s="27"/>
      <c r="E82" s="27"/>
      <c r="F82" s="31" t="b">
        <f t="shared" si="13"/>
        <v>0</v>
      </c>
      <c r="G82" s="32" t="b">
        <f t="shared" si="0"/>
        <v>0</v>
      </c>
      <c r="H82" s="27"/>
      <c r="I82" s="33" t="b">
        <f t="shared" si="1"/>
        <v>0</v>
      </c>
      <c r="J82" s="32" t="b">
        <f t="shared" si="14"/>
        <v>0</v>
      </c>
      <c r="K82" s="27"/>
      <c r="L82" s="33" t="b">
        <f t="shared" si="15"/>
        <v>0</v>
      </c>
      <c r="M82" s="40" t="e">
        <f t="shared" si="9"/>
        <v>#VALUE!</v>
      </c>
      <c r="N82" s="40" t="b">
        <f t="shared" si="10"/>
        <v>0</v>
      </c>
      <c r="O82" s="41" t="e">
        <f t="shared" si="11"/>
        <v>#VALUE!</v>
      </c>
      <c r="P82" s="41" t="b">
        <f t="shared" si="12"/>
        <v>0</v>
      </c>
      <c r="Q82" s="27"/>
      <c r="R82" s="27"/>
      <c r="S82" s="43"/>
      <c r="T82" s="27"/>
      <c r="U82" s="1"/>
      <c r="V82" s="1"/>
      <c r="W82" s="15"/>
      <c r="X82" s="15"/>
    </row>
    <row r="83" spans="1:24">
      <c r="A83" s="27"/>
      <c r="B83" s="26"/>
      <c r="C83" s="27"/>
      <c r="D83" s="27"/>
      <c r="E83" s="27"/>
      <c r="F83" s="31" t="b">
        <f t="shared" si="13"/>
        <v>0</v>
      </c>
      <c r="G83" s="32" t="b">
        <f t="shared" si="0"/>
        <v>0</v>
      </c>
      <c r="H83" s="27"/>
      <c r="I83" s="33" t="b">
        <f t="shared" si="1"/>
        <v>0</v>
      </c>
      <c r="J83" s="32" t="b">
        <f t="shared" si="14"/>
        <v>0</v>
      </c>
      <c r="K83" s="27"/>
      <c r="L83" s="33" t="b">
        <f t="shared" si="15"/>
        <v>0</v>
      </c>
      <c r="M83" s="40" t="e">
        <f t="shared" si="9"/>
        <v>#VALUE!</v>
      </c>
      <c r="N83" s="40" t="b">
        <f t="shared" si="10"/>
        <v>0</v>
      </c>
      <c r="O83" s="41" t="e">
        <f t="shared" si="11"/>
        <v>#VALUE!</v>
      </c>
      <c r="P83" s="41" t="b">
        <f t="shared" si="12"/>
        <v>0</v>
      </c>
      <c r="Q83" s="27"/>
      <c r="R83" s="27"/>
      <c r="S83" s="43"/>
      <c r="T83" s="27"/>
      <c r="U83" s="1"/>
      <c r="V83" s="1"/>
      <c r="W83" s="15"/>
      <c r="X83" s="15"/>
    </row>
    <row r="84" spans="1:24">
      <c r="A84" s="27"/>
      <c r="B84" s="26"/>
      <c r="C84" s="27"/>
      <c r="D84" s="27"/>
      <c r="E84" s="27"/>
      <c r="F84" s="31" t="b">
        <f t="shared" si="13"/>
        <v>0</v>
      </c>
      <c r="G84" s="32" t="b">
        <f t="shared" si="0"/>
        <v>0</v>
      </c>
      <c r="H84" s="27"/>
      <c r="I84" s="33" t="b">
        <f t="shared" si="1"/>
        <v>0</v>
      </c>
      <c r="J84" s="32" t="b">
        <f t="shared" si="14"/>
        <v>0</v>
      </c>
      <c r="K84" s="27"/>
      <c r="L84" s="33" t="b">
        <f t="shared" si="15"/>
        <v>0</v>
      </c>
      <c r="M84" s="40" t="e">
        <f t="shared" si="9"/>
        <v>#VALUE!</v>
      </c>
      <c r="N84" s="40" t="b">
        <f t="shared" si="10"/>
        <v>0</v>
      </c>
      <c r="O84" s="41" t="e">
        <f t="shared" si="11"/>
        <v>#VALUE!</v>
      </c>
      <c r="P84" s="41" t="b">
        <f t="shared" si="12"/>
        <v>0</v>
      </c>
      <c r="Q84" s="27"/>
      <c r="R84" s="27"/>
      <c r="S84" s="43"/>
      <c r="T84" s="27"/>
      <c r="U84" s="1"/>
      <c r="V84" s="1"/>
      <c r="W84" s="15"/>
      <c r="X84" s="15"/>
    </row>
    <row r="85" spans="1:24">
      <c r="A85" s="27"/>
      <c r="B85" s="26"/>
      <c r="C85" s="27"/>
      <c r="D85" s="27"/>
      <c r="E85" s="27"/>
      <c r="F85" s="31" t="b">
        <f t="shared" si="13"/>
        <v>0</v>
      </c>
      <c r="G85" s="32" t="b">
        <f t="shared" si="0"/>
        <v>0</v>
      </c>
      <c r="H85" s="27"/>
      <c r="I85" s="33" t="b">
        <f t="shared" si="1"/>
        <v>0</v>
      </c>
      <c r="J85" s="32" t="b">
        <f t="shared" si="14"/>
        <v>0</v>
      </c>
      <c r="K85" s="27"/>
      <c r="L85" s="33" t="b">
        <f t="shared" si="15"/>
        <v>0</v>
      </c>
      <c r="M85" s="40" t="e">
        <f t="shared" si="9"/>
        <v>#VALUE!</v>
      </c>
      <c r="N85" s="40" t="b">
        <f t="shared" si="10"/>
        <v>0</v>
      </c>
      <c r="O85" s="41" t="e">
        <f t="shared" si="11"/>
        <v>#VALUE!</v>
      </c>
      <c r="P85" s="41" t="b">
        <f t="shared" si="12"/>
        <v>0</v>
      </c>
      <c r="Q85" s="27"/>
      <c r="R85" s="27"/>
      <c r="S85" s="43"/>
      <c r="T85" s="27"/>
      <c r="U85" s="1"/>
      <c r="V85" s="1"/>
      <c r="W85" s="15"/>
      <c r="X85" s="15"/>
    </row>
    <row r="86" spans="1:24">
      <c r="A86" s="27"/>
      <c r="B86" s="26"/>
      <c r="C86" s="27"/>
      <c r="D86" s="27"/>
      <c r="E86" s="27"/>
      <c r="F86" s="31" t="b">
        <f t="shared" si="13"/>
        <v>0</v>
      </c>
      <c r="G86" s="32" t="b">
        <f t="shared" si="0"/>
        <v>0</v>
      </c>
      <c r="H86" s="27"/>
      <c r="I86" s="33" t="b">
        <f t="shared" si="1"/>
        <v>0</v>
      </c>
      <c r="J86" s="32" t="b">
        <f t="shared" si="14"/>
        <v>0</v>
      </c>
      <c r="K86" s="27"/>
      <c r="L86" s="33" t="b">
        <f t="shared" si="15"/>
        <v>0</v>
      </c>
      <c r="M86" s="40" t="e">
        <f t="shared" si="9"/>
        <v>#VALUE!</v>
      </c>
      <c r="N86" s="40" t="b">
        <f t="shared" si="10"/>
        <v>0</v>
      </c>
      <c r="O86" s="41" t="e">
        <f t="shared" si="11"/>
        <v>#VALUE!</v>
      </c>
      <c r="P86" s="41" t="b">
        <f t="shared" si="12"/>
        <v>0</v>
      </c>
      <c r="Q86" s="27"/>
      <c r="R86" s="27"/>
      <c r="S86" s="43"/>
      <c r="T86" s="27"/>
      <c r="U86" s="1"/>
      <c r="V86" s="1"/>
      <c r="W86" s="15"/>
      <c r="X86" s="15"/>
    </row>
    <row r="87" spans="1:24">
      <c r="A87" s="27"/>
      <c r="B87" s="26"/>
      <c r="C87" s="27"/>
      <c r="D87" s="27"/>
      <c r="E87" s="27"/>
      <c r="F87" s="31" t="b">
        <f t="shared" si="13"/>
        <v>0</v>
      </c>
      <c r="G87" s="32" t="b">
        <f t="shared" si="0"/>
        <v>0</v>
      </c>
      <c r="H87" s="27"/>
      <c r="I87" s="33" t="b">
        <f t="shared" si="1"/>
        <v>0</v>
      </c>
      <c r="J87" s="32" t="b">
        <f t="shared" si="14"/>
        <v>0</v>
      </c>
      <c r="K87" s="27"/>
      <c r="L87" s="33" t="b">
        <f t="shared" si="15"/>
        <v>0</v>
      </c>
      <c r="M87" s="40" t="e">
        <f t="shared" si="9"/>
        <v>#VALUE!</v>
      </c>
      <c r="N87" s="40" t="b">
        <f t="shared" si="10"/>
        <v>0</v>
      </c>
      <c r="O87" s="41" t="e">
        <f t="shared" si="11"/>
        <v>#VALUE!</v>
      </c>
      <c r="P87" s="41" t="b">
        <f t="shared" si="12"/>
        <v>0</v>
      </c>
      <c r="Q87" s="27"/>
      <c r="R87" s="27"/>
      <c r="S87" s="43"/>
      <c r="T87" s="27"/>
      <c r="U87" s="1"/>
      <c r="V87" s="1"/>
      <c r="W87" s="15"/>
      <c r="X87" s="15"/>
    </row>
    <row r="88" spans="1:24">
      <c r="A88" s="27"/>
      <c r="B88" s="26"/>
      <c r="C88" s="27"/>
      <c r="D88" s="27"/>
      <c r="E88" s="27"/>
      <c r="F88" s="31" t="b">
        <f t="shared" si="13"/>
        <v>0</v>
      </c>
      <c r="G88" s="32" t="b">
        <f t="shared" si="0"/>
        <v>0</v>
      </c>
      <c r="H88" s="27"/>
      <c r="I88" s="33" t="b">
        <f t="shared" si="1"/>
        <v>0</v>
      </c>
      <c r="J88" s="32" t="b">
        <f t="shared" si="14"/>
        <v>0</v>
      </c>
      <c r="K88" s="27"/>
      <c r="L88" s="33" t="b">
        <f t="shared" si="15"/>
        <v>0</v>
      </c>
      <c r="M88" s="40" t="e">
        <f t="shared" si="9"/>
        <v>#VALUE!</v>
      </c>
      <c r="N88" s="40" t="b">
        <f t="shared" si="10"/>
        <v>0</v>
      </c>
      <c r="O88" s="41" t="e">
        <f t="shared" si="11"/>
        <v>#VALUE!</v>
      </c>
      <c r="P88" s="41" t="b">
        <f t="shared" si="12"/>
        <v>0</v>
      </c>
      <c r="Q88" s="27"/>
      <c r="R88" s="27"/>
      <c r="S88" s="43"/>
      <c r="T88" s="27"/>
      <c r="U88" s="1"/>
      <c r="V88" s="1"/>
      <c r="W88" s="15"/>
      <c r="X88" s="15"/>
    </row>
    <row r="89" spans="1:24">
      <c r="A89" s="27"/>
      <c r="B89" s="26"/>
      <c r="C89" s="27"/>
      <c r="D89" s="27"/>
      <c r="E89" s="27"/>
      <c r="F89" s="31" t="b">
        <f t="shared" si="13"/>
        <v>0</v>
      </c>
      <c r="G89" s="32" t="b">
        <f t="shared" si="0"/>
        <v>0</v>
      </c>
      <c r="H89" s="27"/>
      <c r="I89" s="33" t="b">
        <f t="shared" si="1"/>
        <v>0</v>
      </c>
      <c r="J89" s="32" t="b">
        <f t="shared" si="14"/>
        <v>0</v>
      </c>
      <c r="K89" s="27"/>
      <c r="L89" s="33" t="b">
        <f t="shared" si="15"/>
        <v>0</v>
      </c>
      <c r="M89" s="40" t="e">
        <f t="shared" si="9"/>
        <v>#VALUE!</v>
      </c>
      <c r="N89" s="40" t="b">
        <f t="shared" si="10"/>
        <v>0</v>
      </c>
      <c r="O89" s="41" t="e">
        <f t="shared" si="11"/>
        <v>#VALUE!</v>
      </c>
      <c r="P89" s="41" t="b">
        <f t="shared" si="12"/>
        <v>0</v>
      </c>
      <c r="Q89" s="27"/>
      <c r="R89" s="27"/>
      <c r="S89" s="43"/>
      <c r="T89" s="27"/>
      <c r="U89" s="1"/>
      <c r="V89" s="1"/>
      <c r="W89" s="15"/>
      <c r="X89" s="15"/>
    </row>
    <row r="90" spans="1:24">
      <c r="A90" s="27"/>
      <c r="B90" s="26"/>
      <c r="C90" s="27"/>
      <c r="D90" s="27"/>
      <c r="E90" s="27"/>
      <c r="F90" s="31" t="b">
        <f t="shared" si="13"/>
        <v>0</v>
      </c>
      <c r="G90" s="32" t="b">
        <f t="shared" si="0"/>
        <v>0</v>
      </c>
      <c r="H90" s="27"/>
      <c r="I90" s="33" t="b">
        <f t="shared" si="1"/>
        <v>0</v>
      </c>
      <c r="J90" s="32" t="b">
        <f t="shared" si="14"/>
        <v>0</v>
      </c>
      <c r="K90" s="27"/>
      <c r="L90" s="33" t="b">
        <f t="shared" si="15"/>
        <v>0</v>
      </c>
      <c r="M90" s="40" t="e">
        <f t="shared" si="9"/>
        <v>#VALUE!</v>
      </c>
      <c r="N90" s="40" t="b">
        <f t="shared" si="10"/>
        <v>0</v>
      </c>
      <c r="O90" s="41" t="e">
        <f t="shared" si="11"/>
        <v>#VALUE!</v>
      </c>
      <c r="P90" s="41" t="b">
        <f t="shared" si="12"/>
        <v>0</v>
      </c>
      <c r="Q90" s="27"/>
      <c r="R90" s="27"/>
      <c r="S90" s="43"/>
      <c r="T90" s="27"/>
      <c r="U90" s="1"/>
      <c r="V90" s="1"/>
      <c r="W90" s="15"/>
      <c r="X90" s="15"/>
    </row>
    <row r="91" spans="1:24">
      <c r="A91" s="27"/>
      <c r="B91" s="26"/>
      <c r="C91" s="27"/>
      <c r="D91" s="27"/>
      <c r="E91" s="27"/>
      <c r="F91" s="31" t="b">
        <f t="shared" si="13"/>
        <v>0</v>
      </c>
      <c r="G91" s="32" t="b">
        <f t="shared" si="0"/>
        <v>0</v>
      </c>
      <c r="H91" s="27"/>
      <c r="I91" s="33" t="b">
        <f t="shared" si="1"/>
        <v>0</v>
      </c>
      <c r="J91" s="32" t="b">
        <f t="shared" si="14"/>
        <v>0</v>
      </c>
      <c r="K91" s="27"/>
      <c r="L91" s="33" t="b">
        <f t="shared" si="15"/>
        <v>0</v>
      </c>
      <c r="M91" s="40" t="e">
        <f t="shared" si="9"/>
        <v>#VALUE!</v>
      </c>
      <c r="N91" s="40" t="b">
        <f t="shared" si="10"/>
        <v>0</v>
      </c>
      <c r="O91" s="41" t="e">
        <f t="shared" si="11"/>
        <v>#VALUE!</v>
      </c>
      <c r="P91" s="41" t="b">
        <f t="shared" si="12"/>
        <v>0</v>
      </c>
      <c r="Q91" s="27"/>
      <c r="R91" s="27"/>
      <c r="S91" s="43"/>
      <c r="T91" s="27"/>
      <c r="U91" s="1"/>
      <c r="V91" s="1"/>
      <c r="W91" s="15"/>
      <c r="X91" s="15"/>
    </row>
    <row r="92" spans="1:24">
      <c r="A92" s="27"/>
      <c r="B92" s="26"/>
      <c r="C92" s="27"/>
      <c r="D92" s="27"/>
      <c r="E92" s="27"/>
      <c r="F92" s="31" t="b">
        <f t="shared" si="13"/>
        <v>0</v>
      </c>
      <c r="G92" s="32" t="b">
        <f t="shared" si="0"/>
        <v>0</v>
      </c>
      <c r="H92" s="27"/>
      <c r="I92" s="33" t="b">
        <f t="shared" si="1"/>
        <v>0</v>
      </c>
      <c r="J92" s="32" t="b">
        <f t="shared" si="14"/>
        <v>0</v>
      </c>
      <c r="K92" s="27"/>
      <c r="L92" s="33" t="b">
        <f t="shared" si="15"/>
        <v>0</v>
      </c>
      <c r="M92" s="40" t="e">
        <f t="shared" si="9"/>
        <v>#VALUE!</v>
      </c>
      <c r="N92" s="40" t="b">
        <f t="shared" si="10"/>
        <v>0</v>
      </c>
      <c r="O92" s="41" t="e">
        <f t="shared" si="11"/>
        <v>#VALUE!</v>
      </c>
      <c r="P92" s="41" t="b">
        <f t="shared" si="12"/>
        <v>0</v>
      </c>
      <c r="Q92" s="27"/>
      <c r="R92" s="27"/>
      <c r="S92" s="43"/>
      <c r="T92" s="27"/>
      <c r="U92" s="1"/>
      <c r="V92" s="1"/>
      <c r="W92" s="15"/>
      <c r="X92" s="15"/>
    </row>
    <row r="93" spans="1:24">
      <c r="A93" s="27"/>
      <c r="B93" s="26"/>
      <c r="C93" s="27"/>
      <c r="D93" s="27"/>
      <c r="E93" s="27"/>
      <c r="F93" s="31" t="b">
        <f t="shared" si="13"/>
        <v>0</v>
      </c>
      <c r="G93" s="32" t="b">
        <f t="shared" si="0"/>
        <v>0</v>
      </c>
      <c r="H93" s="27"/>
      <c r="I93" s="33" t="b">
        <f t="shared" si="1"/>
        <v>0</v>
      </c>
      <c r="J93" s="32" t="b">
        <f t="shared" si="14"/>
        <v>0</v>
      </c>
      <c r="K93" s="27"/>
      <c r="L93" s="33" t="b">
        <f t="shared" si="15"/>
        <v>0</v>
      </c>
      <c r="M93" s="40" t="e">
        <f t="shared" si="9"/>
        <v>#VALUE!</v>
      </c>
      <c r="N93" s="40" t="b">
        <f t="shared" si="10"/>
        <v>0</v>
      </c>
      <c r="O93" s="41" t="e">
        <f t="shared" si="11"/>
        <v>#VALUE!</v>
      </c>
      <c r="P93" s="41" t="b">
        <f t="shared" si="12"/>
        <v>0</v>
      </c>
      <c r="Q93" s="27"/>
      <c r="R93" s="27"/>
      <c r="S93" s="43"/>
      <c r="T93" s="27"/>
      <c r="U93" s="1"/>
      <c r="V93" s="1"/>
      <c r="W93" s="15"/>
      <c r="X93" s="15"/>
    </row>
    <row r="94" spans="1:24">
      <c r="A94" s="27"/>
      <c r="B94" s="26"/>
      <c r="C94" s="27"/>
      <c r="D94" s="27"/>
      <c r="E94" s="27"/>
      <c r="F94" s="31" t="b">
        <f t="shared" si="13"/>
        <v>0</v>
      </c>
      <c r="G94" s="32" t="b">
        <f t="shared" si="0"/>
        <v>0</v>
      </c>
      <c r="H94" s="27"/>
      <c r="I94" s="33" t="b">
        <f t="shared" si="1"/>
        <v>0</v>
      </c>
      <c r="J94" s="32" t="b">
        <f t="shared" si="14"/>
        <v>0</v>
      </c>
      <c r="K94" s="27"/>
      <c r="L94" s="33" t="b">
        <f t="shared" si="15"/>
        <v>0</v>
      </c>
      <c r="M94" s="40" t="e">
        <f t="shared" si="9"/>
        <v>#VALUE!</v>
      </c>
      <c r="N94" s="40" t="b">
        <f t="shared" si="10"/>
        <v>0</v>
      </c>
      <c r="O94" s="41" t="e">
        <f t="shared" si="11"/>
        <v>#VALUE!</v>
      </c>
      <c r="P94" s="41" t="b">
        <f t="shared" si="12"/>
        <v>0</v>
      </c>
      <c r="Q94" s="27"/>
      <c r="R94" s="27"/>
      <c r="S94" s="43"/>
      <c r="T94" s="27"/>
      <c r="U94" s="1"/>
      <c r="V94" s="1"/>
      <c r="W94" s="15"/>
      <c r="X94" s="15"/>
    </row>
    <row r="95" spans="1:24">
      <c r="A95" s="27"/>
      <c r="B95" s="26"/>
      <c r="C95" s="27"/>
      <c r="D95" s="27"/>
      <c r="E95" s="27"/>
      <c r="F95" s="31" t="b">
        <f t="shared" si="13"/>
        <v>0</v>
      </c>
      <c r="G95" s="32" t="b">
        <f t="shared" si="0"/>
        <v>0</v>
      </c>
      <c r="H95" s="27"/>
      <c r="I95" s="33" t="b">
        <f t="shared" si="1"/>
        <v>0</v>
      </c>
      <c r="J95" s="32" t="b">
        <f t="shared" si="14"/>
        <v>0</v>
      </c>
      <c r="K95" s="27"/>
      <c r="L95" s="33" t="b">
        <f t="shared" si="15"/>
        <v>0</v>
      </c>
      <c r="M95" s="40" t="e">
        <f t="shared" si="9"/>
        <v>#VALUE!</v>
      </c>
      <c r="N95" s="40" t="b">
        <f t="shared" si="10"/>
        <v>0</v>
      </c>
      <c r="O95" s="41" t="e">
        <f t="shared" si="11"/>
        <v>#VALUE!</v>
      </c>
      <c r="P95" s="41" t="b">
        <f t="shared" si="12"/>
        <v>0</v>
      </c>
      <c r="Q95" s="27"/>
      <c r="R95" s="27"/>
      <c r="S95" s="43"/>
      <c r="T95" s="27"/>
      <c r="U95" s="1"/>
      <c r="V95" s="1"/>
      <c r="W95" s="15"/>
      <c r="X95" s="15"/>
    </row>
    <row r="96" spans="1:24">
      <c r="A96" s="27"/>
      <c r="B96" s="26"/>
      <c r="C96" s="27"/>
      <c r="D96" s="27"/>
      <c r="E96" s="27"/>
      <c r="F96" s="31" t="b">
        <f t="shared" si="13"/>
        <v>0</v>
      </c>
      <c r="G96" s="32" t="b">
        <f t="shared" si="0"/>
        <v>0</v>
      </c>
      <c r="H96" s="27"/>
      <c r="I96" s="33" t="b">
        <f t="shared" si="1"/>
        <v>0</v>
      </c>
      <c r="J96" s="32" t="b">
        <f t="shared" si="14"/>
        <v>0</v>
      </c>
      <c r="K96" s="27"/>
      <c r="L96" s="33" t="b">
        <f t="shared" si="15"/>
        <v>0</v>
      </c>
      <c r="M96" s="40" t="e">
        <f t="shared" si="9"/>
        <v>#VALUE!</v>
      </c>
      <c r="N96" s="40" t="b">
        <f t="shared" si="10"/>
        <v>0</v>
      </c>
      <c r="O96" s="41" t="e">
        <f t="shared" si="11"/>
        <v>#VALUE!</v>
      </c>
      <c r="P96" s="41" t="b">
        <f t="shared" si="12"/>
        <v>0</v>
      </c>
      <c r="Q96" s="27"/>
      <c r="R96" s="27"/>
      <c r="S96" s="43"/>
      <c r="T96" s="27"/>
      <c r="U96" s="1"/>
      <c r="V96" s="1"/>
      <c r="W96" s="15"/>
      <c r="X96" s="15"/>
    </row>
    <row r="97" spans="1:24">
      <c r="A97" s="27"/>
      <c r="B97" s="26"/>
      <c r="C97" s="27"/>
      <c r="D97" s="27"/>
      <c r="E97" s="27"/>
      <c r="F97" s="31" t="b">
        <f t="shared" si="13"/>
        <v>0</v>
      </c>
      <c r="G97" s="32" t="b">
        <f t="shared" si="0"/>
        <v>0</v>
      </c>
      <c r="H97" s="27"/>
      <c r="I97" s="33" t="b">
        <f t="shared" si="1"/>
        <v>0</v>
      </c>
      <c r="J97" s="32" t="b">
        <f t="shared" si="14"/>
        <v>0</v>
      </c>
      <c r="K97" s="27"/>
      <c r="L97" s="33" t="b">
        <f t="shared" si="15"/>
        <v>0</v>
      </c>
      <c r="M97" s="40" t="e">
        <f t="shared" si="9"/>
        <v>#VALUE!</v>
      </c>
      <c r="N97" s="40" t="b">
        <f t="shared" si="10"/>
        <v>0</v>
      </c>
      <c r="O97" s="41" t="e">
        <f t="shared" si="11"/>
        <v>#VALUE!</v>
      </c>
      <c r="P97" s="41" t="b">
        <f t="shared" si="12"/>
        <v>0</v>
      </c>
      <c r="Q97" s="27"/>
      <c r="R97" s="27"/>
      <c r="S97" s="43"/>
      <c r="T97" s="27"/>
      <c r="U97" s="1"/>
      <c r="V97" s="1"/>
      <c r="W97" s="15"/>
      <c r="X97" s="15"/>
    </row>
    <row r="98" spans="1:24">
      <c r="A98" s="27"/>
      <c r="B98" s="26"/>
      <c r="C98" s="27"/>
      <c r="D98" s="27"/>
      <c r="E98" s="27"/>
      <c r="F98" s="31" t="b">
        <f t="shared" si="13"/>
        <v>0</v>
      </c>
      <c r="G98" s="32" t="b">
        <f t="shared" si="0"/>
        <v>0</v>
      </c>
      <c r="H98" s="27"/>
      <c r="I98" s="33" t="b">
        <f t="shared" si="1"/>
        <v>0</v>
      </c>
      <c r="J98" s="32" t="b">
        <f t="shared" si="14"/>
        <v>0</v>
      </c>
      <c r="K98" s="27"/>
      <c r="L98" s="33" t="b">
        <f t="shared" si="15"/>
        <v>0</v>
      </c>
      <c r="M98" s="40" t="e">
        <f t="shared" si="9"/>
        <v>#VALUE!</v>
      </c>
      <c r="N98" s="40" t="b">
        <f t="shared" si="10"/>
        <v>0</v>
      </c>
      <c r="O98" s="41" t="e">
        <f t="shared" si="11"/>
        <v>#VALUE!</v>
      </c>
      <c r="P98" s="41" t="b">
        <f t="shared" si="12"/>
        <v>0</v>
      </c>
      <c r="Q98" s="27"/>
      <c r="R98" s="27"/>
      <c r="S98" s="43"/>
      <c r="T98" s="27"/>
      <c r="U98" s="1"/>
      <c r="V98" s="1"/>
      <c r="W98" s="15"/>
      <c r="X98" s="15"/>
    </row>
    <row r="99" spans="1:24">
      <c r="A99" s="27"/>
      <c r="B99" s="26"/>
      <c r="C99" s="27"/>
      <c r="D99" s="27"/>
      <c r="E99" s="27"/>
      <c r="F99" s="31" t="b">
        <f t="shared" si="13"/>
        <v>0</v>
      </c>
      <c r="G99" s="32" t="b">
        <f t="shared" si="0"/>
        <v>0</v>
      </c>
      <c r="H99" s="27"/>
      <c r="I99" s="33" t="b">
        <f t="shared" si="1"/>
        <v>0</v>
      </c>
      <c r="J99" s="32" t="b">
        <f t="shared" si="14"/>
        <v>0</v>
      </c>
      <c r="K99" s="27"/>
      <c r="L99" s="33" t="b">
        <f t="shared" si="15"/>
        <v>0</v>
      </c>
      <c r="M99" s="40" t="e">
        <f t="shared" si="9"/>
        <v>#VALUE!</v>
      </c>
      <c r="N99" s="40" t="b">
        <f t="shared" si="10"/>
        <v>0</v>
      </c>
      <c r="O99" s="41" t="e">
        <f t="shared" si="11"/>
        <v>#VALUE!</v>
      </c>
      <c r="P99" s="41" t="b">
        <f t="shared" si="12"/>
        <v>0</v>
      </c>
      <c r="Q99" s="27"/>
      <c r="R99" s="27"/>
      <c r="S99" s="43"/>
      <c r="T99" s="27"/>
      <c r="U99" s="1"/>
      <c r="V99" s="1"/>
      <c r="W99" s="15"/>
      <c r="X99" s="15"/>
    </row>
    <row r="100" spans="1:24">
      <c r="A100" s="27"/>
      <c r="B100" s="26"/>
      <c r="C100" s="27"/>
      <c r="D100" s="27"/>
      <c r="E100" s="27"/>
      <c r="F100" s="31" t="b">
        <f t="shared" si="13"/>
        <v>0</v>
      </c>
      <c r="G100" s="32" t="b">
        <f t="shared" si="0"/>
        <v>0</v>
      </c>
      <c r="H100" s="27"/>
      <c r="I100" s="33" t="b">
        <f t="shared" si="1"/>
        <v>0</v>
      </c>
      <c r="J100" s="32" t="b">
        <f t="shared" si="14"/>
        <v>0</v>
      </c>
      <c r="K100" s="27"/>
      <c r="L100" s="33" t="b">
        <f t="shared" si="15"/>
        <v>0</v>
      </c>
      <c r="M100" s="40" t="e">
        <f t="shared" si="9"/>
        <v>#VALUE!</v>
      </c>
      <c r="N100" s="40" t="b">
        <f t="shared" si="10"/>
        <v>0</v>
      </c>
      <c r="O100" s="41" t="e">
        <f t="shared" si="11"/>
        <v>#VALUE!</v>
      </c>
      <c r="P100" s="41" t="b">
        <f t="shared" si="12"/>
        <v>0</v>
      </c>
      <c r="Q100" s="27"/>
      <c r="R100" s="27"/>
      <c r="S100" s="43"/>
      <c r="T100" s="27"/>
      <c r="U100" s="1"/>
      <c r="V100" s="1"/>
      <c r="W100" s="15"/>
      <c r="X100" s="15"/>
    </row>
    <row r="101" spans="1:24">
      <c r="A101" s="27"/>
      <c r="B101" s="26"/>
      <c r="C101" s="27"/>
      <c r="D101" s="27"/>
      <c r="E101" s="27"/>
      <c r="F101" s="31" t="b">
        <f t="shared" si="13"/>
        <v>0</v>
      </c>
      <c r="G101" s="32" t="b">
        <f t="shared" si="0"/>
        <v>0</v>
      </c>
      <c r="H101" s="27"/>
      <c r="I101" s="33" t="b">
        <f t="shared" si="1"/>
        <v>0</v>
      </c>
      <c r="J101" s="32" t="b">
        <f t="shared" si="14"/>
        <v>0</v>
      </c>
      <c r="K101" s="27"/>
      <c r="L101" s="33" t="b">
        <f t="shared" si="15"/>
        <v>0</v>
      </c>
      <c r="M101" s="40" t="e">
        <f t="shared" si="9"/>
        <v>#VALUE!</v>
      </c>
      <c r="N101" s="40" t="b">
        <f t="shared" si="10"/>
        <v>0</v>
      </c>
      <c r="O101" s="41" t="e">
        <f t="shared" si="11"/>
        <v>#VALUE!</v>
      </c>
      <c r="P101" s="41" t="b">
        <f t="shared" si="12"/>
        <v>0</v>
      </c>
      <c r="Q101" s="27"/>
      <c r="R101" s="27"/>
      <c r="S101" s="43"/>
      <c r="T101" s="27"/>
      <c r="U101" s="1"/>
      <c r="V101" s="1"/>
      <c r="W101" s="15"/>
      <c r="X101" s="15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64" t="s">
        <v>17</v>
      </c>
      <c r="R102" s="45"/>
      <c r="S102" s="65">
        <f>SUM(S3:S101)</f>
        <v>0</v>
      </c>
      <c r="T102" s="1"/>
      <c r="U102" s="1"/>
      <c r="V102" s="1"/>
      <c r="W102" s="15"/>
      <c r="X102" s="15"/>
    </row>
    <row r="104" spans="2:3">
      <c r="B104" s="16"/>
      <c r="C104" s="16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5">
      <c r="A108" s="17"/>
      <c r="B108" s="18"/>
      <c r="C108" s="18"/>
      <c r="D108" s="17"/>
      <c r="E108" s="17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U9B/ILAZtgNHGC3yAMe3YJ3TwMkklxiQZxv++h/1n1xOg+KJJCp4qBuusOiVXDSr3zzZLYZyXiUdoJDXzQRryw==" saltValue="nqPQHWgcmPB5TfsvFc77XA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ErrorMessage="1" sqref="B3:B101">
      <formula1>$V$1:$V$2</formula1>
    </dataValidation>
  </dataValidations>
  <pageMargins left="0.699305555555556" right="0.699305555555556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5"/>
  <sheetViews>
    <sheetView workbookViewId="0">
      <selection activeCell="G109" sqref="G109"/>
    </sheetView>
  </sheetViews>
  <sheetFormatPr defaultColWidth="9" defaultRowHeight="17.6"/>
  <cols>
    <col min="1" max="1" width="12.5" customWidth="1"/>
    <col min="2" max="2" width="12.6607142857143" customWidth="1"/>
    <col min="3" max="3" width="12.5" customWidth="1"/>
    <col min="4" max="4" width="12.6607142857143" customWidth="1"/>
    <col min="5" max="5" width="12.3303571428571" customWidth="1"/>
    <col min="6" max="6" width="12.6607142857143" hidden="1" customWidth="1"/>
    <col min="7" max="7" width="12.5" customWidth="1"/>
    <col min="8" max="8" width="12.6607142857143" customWidth="1"/>
    <col min="9" max="9" width="12.6607142857143" hidden="1" customWidth="1"/>
    <col min="10" max="10" width="12.5" customWidth="1"/>
    <col min="11" max="11" width="12.8303571428571" customWidth="1"/>
    <col min="12" max="12" width="13" hidden="1" customWidth="1"/>
    <col min="13" max="15" width="12.3303571428571" customWidth="1"/>
    <col min="16" max="18" width="12.8303571428571" customWidth="1"/>
    <col min="19" max="19" width="12.6607142857143" customWidth="1"/>
    <col min="20" max="20" width="13" customWidth="1"/>
    <col min="23" max="23" width="9" hidden="1" customWidth="1"/>
  </cols>
  <sheetData>
    <row r="1" spans="1:27">
      <c r="A1" s="1"/>
      <c r="B1" s="1"/>
      <c r="C1" s="1"/>
      <c r="D1" s="1"/>
      <c r="E1" s="1"/>
      <c r="F1" s="1"/>
      <c r="G1" s="28" t="s">
        <v>25</v>
      </c>
      <c r="H1" s="29"/>
      <c r="I1" s="29"/>
      <c r="J1" s="28" t="s">
        <v>26</v>
      </c>
      <c r="K1" s="29"/>
      <c r="L1" s="29"/>
      <c r="M1" s="34" t="s">
        <v>0</v>
      </c>
      <c r="N1" s="35"/>
      <c r="O1" s="36" t="s">
        <v>1</v>
      </c>
      <c r="P1" s="37"/>
      <c r="Q1" s="42"/>
      <c r="R1" s="1"/>
      <c r="S1" s="1"/>
      <c r="T1" s="1"/>
      <c r="U1" s="1"/>
      <c r="V1" s="1"/>
      <c r="W1" s="1"/>
      <c r="X1" s="1"/>
      <c r="Y1" s="1"/>
      <c r="Z1" s="15"/>
      <c r="AA1" s="15"/>
    </row>
    <row r="2" spans="1:27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30" t="s">
        <v>8</v>
      </c>
      <c r="H2" s="30" t="s">
        <v>9</v>
      </c>
      <c r="I2" s="30" t="s">
        <v>10</v>
      </c>
      <c r="J2" s="30" t="s">
        <v>27</v>
      </c>
      <c r="K2" s="30" t="s">
        <v>9</v>
      </c>
      <c r="L2" s="30" t="s">
        <v>10</v>
      </c>
      <c r="M2" s="38" t="s">
        <v>28</v>
      </c>
      <c r="N2" s="38" t="s">
        <v>29</v>
      </c>
      <c r="O2" s="39" t="s">
        <v>30</v>
      </c>
      <c r="P2" s="39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/>
      <c r="W2" s="1" t="s">
        <v>19</v>
      </c>
      <c r="X2" s="1"/>
      <c r="Y2" s="1"/>
      <c r="Z2" s="15"/>
      <c r="AA2" s="15"/>
    </row>
    <row r="3" spans="1:27">
      <c r="A3" s="53"/>
      <c r="B3" s="26"/>
      <c r="C3" s="54"/>
      <c r="D3" s="55"/>
      <c r="E3" s="57"/>
      <c r="F3" s="31" t="b">
        <f>IF(B3="BUY",(C3*(1-2%)),IF(B3="SELL",(C3*(1+2%))))</f>
        <v>0</v>
      </c>
      <c r="G3" s="32" t="b">
        <f t="shared" ref="G3:G101" si="0">IF(B3="BUY","2DLL",IF(B3="SELL","2DHH"))</f>
        <v>0</v>
      </c>
      <c r="H3" s="27"/>
      <c r="I3" s="33" t="b">
        <f>IF(G3="2DHH",(H3*(1+0.12%)),IF(G3="2DLL",(H3*(1-0.12%))))</f>
        <v>0</v>
      </c>
      <c r="J3" s="32" t="b">
        <f t="shared" ref="J3:J101" si="1">IF(B3="BUY","4DLL",IF(B3="SELL","4DHH"))</f>
        <v>0</v>
      </c>
      <c r="K3" s="27"/>
      <c r="L3" s="33" t="b">
        <f t="shared" ref="L3:L101" si="2">IF(J3="4DHH",(K3*(1+0.12%)),IF(J3="4DLL",(K3*(1-0.12%))))</f>
        <v>0</v>
      </c>
      <c r="M3" s="40" t="e">
        <f>MROUND(IF(B3="BUY",MAX(F3,I3),IF(B3="SELL",MIN(F3,I3))),1)</f>
        <v>#VALUE!</v>
      </c>
      <c r="N3" s="40" t="e">
        <f>MROUND(IF(B3="BUY",(M3*(1-0.1%)),IF(B3="SELL",(M3*(1+0.1%)))),1)</f>
        <v>#VALUE!</v>
      </c>
      <c r="O3" s="41" t="e">
        <f>MROUND(IF(B3="BUY",MAX(F3,L3),IF(B3="SELL",MIN(F3,L3))),1)</f>
        <v>#VALUE!</v>
      </c>
      <c r="P3" s="41" t="b">
        <f t="shared" ref="P3:P101" si="3">IF(B3="BUY",(O3*(1-0.1%)),IF(B3="SELL",(O3*(1+0.1%))))</f>
        <v>0</v>
      </c>
      <c r="Q3" s="27"/>
      <c r="R3" s="27"/>
      <c r="S3" s="43"/>
      <c r="T3" s="27"/>
      <c r="U3" s="1"/>
      <c r="V3" s="1"/>
      <c r="W3" s="1" t="s">
        <v>20</v>
      </c>
      <c r="X3" s="1"/>
      <c r="Y3" s="1"/>
      <c r="Z3" s="15"/>
      <c r="AA3" s="15"/>
    </row>
    <row r="4" spans="1:27">
      <c r="A4" s="56"/>
      <c r="B4" s="26"/>
      <c r="C4" s="27"/>
      <c r="D4" s="27"/>
      <c r="E4" s="27"/>
      <c r="F4" s="31" t="b">
        <f t="shared" ref="F4:F67" si="4">IF(B4="BUY",(C4*(1-2%)),IF(B4="SELL",(C4*(1+2%))))</f>
        <v>0</v>
      </c>
      <c r="G4" s="32" t="b">
        <f t="shared" si="0"/>
        <v>0</v>
      </c>
      <c r="H4" s="27"/>
      <c r="I4" s="33" t="b">
        <f t="shared" ref="I4:I101" si="5">IF(G4="2DHH",(H4*(1+0.12%)),IF(G4="2DLL",(H4*(1-0.12%))))</f>
        <v>0</v>
      </c>
      <c r="J4" s="32" t="b">
        <f t="shared" si="1"/>
        <v>0</v>
      </c>
      <c r="K4" s="27"/>
      <c r="L4" s="33" t="b">
        <f t="shared" si="2"/>
        <v>0</v>
      </c>
      <c r="M4" s="40" t="e">
        <f t="shared" ref="M4:M101" si="6">MROUND(IF(B4="BUY",MAX(F4,I4),IF(B4="SELL",MIN(F4,I4))),1)</f>
        <v>#VALUE!</v>
      </c>
      <c r="N4" s="40" t="b">
        <f t="shared" ref="N4:N101" si="7">IF(B4="BUY",(M4*(1-0.1%)),IF(B4="SELL",(M4*(1+0.1%))))</f>
        <v>0</v>
      </c>
      <c r="O4" s="41" t="e">
        <f t="shared" ref="O4:O101" si="8">MROUND(IF(B4="BUY",MAX(F4,L4),IF(B4="SELL",MIN(F4,L4))),1)</f>
        <v>#VALUE!</v>
      </c>
      <c r="P4" s="41" t="b">
        <f t="shared" si="3"/>
        <v>0</v>
      </c>
      <c r="Q4" s="27"/>
      <c r="R4" s="27"/>
      <c r="S4" s="43"/>
      <c r="T4" s="27"/>
      <c r="U4" s="1"/>
      <c r="V4" s="1"/>
      <c r="W4" s="1"/>
      <c r="X4" s="1"/>
      <c r="Y4" s="1"/>
      <c r="Z4" s="15"/>
      <c r="AA4" s="15"/>
    </row>
    <row r="5" spans="1:27">
      <c r="A5" s="56"/>
      <c r="B5" s="26"/>
      <c r="C5" s="27"/>
      <c r="D5" s="27"/>
      <c r="E5" s="27"/>
      <c r="F5" s="31" t="b">
        <f t="shared" si="4"/>
        <v>0</v>
      </c>
      <c r="G5" s="32" t="b">
        <f t="shared" si="0"/>
        <v>0</v>
      </c>
      <c r="H5" s="27"/>
      <c r="I5" s="33" t="b">
        <f t="shared" si="5"/>
        <v>0</v>
      </c>
      <c r="J5" s="32" t="b">
        <f t="shared" si="1"/>
        <v>0</v>
      </c>
      <c r="K5" s="27"/>
      <c r="L5" s="33" t="b">
        <f t="shared" si="2"/>
        <v>0</v>
      </c>
      <c r="M5" s="40" t="e">
        <f t="shared" si="6"/>
        <v>#VALUE!</v>
      </c>
      <c r="N5" s="40" t="b">
        <f t="shared" si="7"/>
        <v>0</v>
      </c>
      <c r="O5" s="41" t="e">
        <f t="shared" si="8"/>
        <v>#VALUE!</v>
      </c>
      <c r="P5" s="41" t="b">
        <f t="shared" si="3"/>
        <v>0</v>
      </c>
      <c r="Q5" s="27"/>
      <c r="R5" s="27"/>
      <c r="S5" s="43"/>
      <c r="T5" s="27"/>
      <c r="U5" s="1"/>
      <c r="V5" s="1"/>
      <c r="W5" s="1"/>
      <c r="X5" s="1"/>
      <c r="Y5" s="1"/>
      <c r="Z5" s="15"/>
      <c r="AA5" s="15"/>
    </row>
    <row r="6" spans="1:27">
      <c r="A6" s="56"/>
      <c r="B6" s="26"/>
      <c r="C6" s="27"/>
      <c r="D6" s="27"/>
      <c r="E6" s="27"/>
      <c r="F6" s="31" t="b">
        <f t="shared" si="4"/>
        <v>0</v>
      </c>
      <c r="G6" s="32" t="b">
        <f t="shared" si="0"/>
        <v>0</v>
      </c>
      <c r="H6" s="27"/>
      <c r="I6" s="33" t="b">
        <f t="shared" si="5"/>
        <v>0</v>
      </c>
      <c r="J6" s="32" t="b">
        <f t="shared" si="1"/>
        <v>0</v>
      </c>
      <c r="K6" s="27"/>
      <c r="L6" s="33" t="b">
        <f t="shared" si="2"/>
        <v>0</v>
      </c>
      <c r="M6" s="40" t="e">
        <f t="shared" si="6"/>
        <v>#VALUE!</v>
      </c>
      <c r="N6" s="40" t="b">
        <f t="shared" si="7"/>
        <v>0</v>
      </c>
      <c r="O6" s="41" t="e">
        <f t="shared" si="8"/>
        <v>#VALUE!</v>
      </c>
      <c r="P6" s="41" t="b">
        <f t="shared" si="3"/>
        <v>0</v>
      </c>
      <c r="Q6" s="27"/>
      <c r="R6" s="27"/>
      <c r="S6" s="43"/>
      <c r="T6" s="27"/>
      <c r="U6" s="1"/>
      <c r="V6" s="1"/>
      <c r="W6" s="1"/>
      <c r="X6" s="1"/>
      <c r="Y6" s="1"/>
      <c r="Z6" s="15"/>
      <c r="AA6" s="15"/>
    </row>
    <row r="7" spans="1:27">
      <c r="A7" s="56"/>
      <c r="B7" s="26"/>
      <c r="C7" s="27"/>
      <c r="D7" s="27"/>
      <c r="E7" s="27"/>
      <c r="F7" s="31" t="b">
        <f t="shared" si="4"/>
        <v>0</v>
      </c>
      <c r="G7" s="32" t="b">
        <f t="shared" si="0"/>
        <v>0</v>
      </c>
      <c r="H7" s="27"/>
      <c r="I7" s="33" t="b">
        <f t="shared" si="5"/>
        <v>0</v>
      </c>
      <c r="J7" s="32" t="b">
        <f t="shared" si="1"/>
        <v>0</v>
      </c>
      <c r="K7" s="27"/>
      <c r="L7" s="33" t="b">
        <f t="shared" si="2"/>
        <v>0</v>
      </c>
      <c r="M7" s="40" t="e">
        <f t="shared" si="6"/>
        <v>#VALUE!</v>
      </c>
      <c r="N7" s="40" t="b">
        <f t="shared" si="7"/>
        <v>0</v>
      </c>
      <c r="O7" s="41" t="e">
        <f t="shared" si="8"/>
        <v>#VALUE!</v>
      </c>
      <c r="P7" s="41" t="b">
        <f t="shared" si="3"/>
        <v>0</v>
      </c>
      <c r="Q7" s="27"/>
      <c r="R7" s="27"/>
      <c r="S7" s="43"/>
      <c r="T7" s="27"/>
      <c r="U7" s="1"/>
      <c r="V7" s="1"/>
      <c r="W7" s="1"/>
      <c r="X7" s="1"/>
      <c r="Y7" s="1"/>
      <c r="Z7" s="15"/>
      <c r="AA7" s="15"/>
    </row>
    <row r="8" spans="1:27">
      <c r="A8" s="56"/>
      <c r="B8" s="26"/>
      <c r="C8" s="27"/>
      <c r="D8" s="27"/>
      <c r="E8" s="27"/>
      <c r="F8" s="31" t="b">
        <f t="shared" si="4"/>
        <v>0</v>
      </c>
      <c r="G8" s="32" t="b">
        <f t="shared" si="0"/>
        <v>0</v>
      </c>
      <c r="H8" s="27"/>
      <c r="I8" s="33" t="b">
        <f t="shared" si="5"/>
        <v>0</v>
      </c>
      <c r="J8" s="32" t="b">
        <f t="shared" si="1"/>
        <v>0</v>
      </c>
      <c r="K8" s="27"/>
      <c r="L8" s="33" t="b">
        <f t="shared" si="2"/>
        <v>0</v>
      </c>
      <c r="M8" s="40" t="e">
        <f t="shared" si="6"/>
        <v>#VALUE!</v>
      </c>
      <c r="N8" s="40" t="b">
        <f t="shared" si="7"/>
        <v>0</v>
      </c>
      <c r="O8" s="41" t="e">
        <f t="shared" si="8"/>
        <v>#VALUE!</v>
      </c>
      <c r="P8" s="41" t="b">
        <f t="shared" si="3"/>
        <v>0</v>
      </c>
      <c r="Q8" s="27"/>
      <c r="R8" s="27"/>
      <c r="S8" s="43"/>
      <c r="T8" s="27"/>
      <c r="U8" s="1"/>
      <c r="V8" s="1"/>
      <c r="W8" s="1"/>
      <c r="X8" s="1"/>
      <c r="Y8" s="1"/>
      <c r="Z8" s="15"/>
      <c r="AA8" s="15"/>
    </row>
    <row r="9" spans="1:27">
      <c r="A9" s="56"/>
      <c r="B9" s="26"/>
      <c r="C9" s="27"/>
      <c r="D9" s="27"/>
      <c r="E9" s="27"/>
      <c r="F9" s="31" t="b">
        <f t="shared" si="4"/>
        <v>0</v>
      </c>
      <c r="G9" s="32" t="b">
        <f t="shared" si="0"/>
        <v>0</v>
      </c>
      <c r="H9" s="27"/>
      <c r="I9" s="33" t="b">
        <f t="shared" si="5"/>
        <v>0</v>
      </c>
      <c r="J9" s="32" t="b">
        <f t="shared" si="1"/>
        <v>0</v>
      </c>
      <c r="K9" s="27"/>
      <c r="L9" s="33" t="b">
        <f t="shared" si="2"/>
        <v>0</v>
      </c>
      <c r="M9" s="40" t="e">
        <f t="shared" si="6"/>
        <v>#VALUE!</v>
      </c>
      <c r="N9" s="40" t="b">
        <f t="shared" si="7"/>
        <v>0</v>
      </c>
      <c r="O9" s="41" t="e">
        <f t="shared" si="8"/>
        <v>#VALUE!</v>
      </c>
      <c r="P9" s="41" t="b">
        <f t="shared" si="3"/>
        <v>0</v>
      </c>
      <c r="Q9" s="27"/>
      <c r="R9" s="27"/>
      <c r="S9" s="43"/>
      <c r="T9" s="27"/>
      <c r="U9" s="1"/>
      <c r="V9" s="1"/>
      <c r="W9" s="1"/>
      <c r="X9" s="1"/>
      <c r="Y9" s="1"/>
      <c r="Z9" s="15"/>
      <c r="AA9" s="15"/>
    </row>
    <row r="10" spans="1:27">
      <c r="A10" s="27"/>
      <c r="B10" s="26"/>
      <c r="C10" s="27"/>
      <c r="D10" s="27"/>
      <c r="E10" s="27"/>
      <c r="F10" s="31" t="b">
        <f t="shared" si="4"/>
        <v>0</v>
      </c>
      <c r="G10" s="32" t="b">
        <f t="shared" si="0"/>
        <v>0</v>
      </c>
      <c r="H10" s="27"/>
      <c r="I10" s="33" t="b">
        <f t="shared" si="5"/>
        <v>0</v>
      </c>
      <c r="J10" s="32" t="b">
        <f t="shared" si="1"/>
        <v>0</v>
      </c>
      <c r="K10" s="27"/>
      <c r="L10" s="33" t="b">
        <f t="shared" si="2"/>
        <v>0</v>
      </c>
      <c r="M10" s="40" t="e">
        <f t="shared" si="6"/>
        <v>#VALUE!</v>
      </c>
      <c r="N10" s="40" t="b">
        <f t="shared" si="7"/>
        <v>0</v>
      </c>
      <c r="O10" s="41" t="e">
        <f t="shared" si="8"/>
        <v>#VALUE!</v>
      </c>
      <c r="P10" s="41" t="b">
        <f t="shared" si="3"/>
        <v>0</v>
      </c>
      <c r="Q10" s="27"/>
      <c r="R10" s="27"/>
      <c r="S10" s="43"/>
      <c r="T10" s="27"/>
      <c r="U10" s="1"/>
      <c r="V10" s="1"/>
      <c r="W10" s="1"/>
      <c r="X10" s="1"/>
      <c r="Y10" s="1"/>
      <c r="Z10" s="15"/>
      <c r="AA10" s="15"/>
    </row>
    <row r="11" spans="1:27">
      <c r="A11" s="27"/>
      <c r="B11" s="26"/>
      <c r="C11" s="27"/>
      <c r="D11" s="27"/>
      <c r="E11" s="27"/>
      <c r="F11" s="31" t="b">
        <f t="shared" si="4"/>
        <v>0</v>
      </c>
      <c r="G11" s="32" t="b">
        <f t="shared" si="0"/>
        <v>0</v>
      </c>
      <c r="H11" s="27"/>
      <c r="I11" s="33" t="b">
        <f t="shared" si="5"/>
        <v>0</v>
      </c>
      <c r="J11" s="32" t="b">
        <f t="shared" si="1"/>
        <v>0</v>
      </c>
      <c r="K11" s="27"/>
      <c r="L11" s="33" t="b">
        <f t="shared" si="2"/>
        <v>0</v>
      </c>
      <c r="M11" s="40" t="e">
        <f t="shared" si="6"/>
        <v>#VALUE!</v>
      </c>
      <c r="N11" s="40" t="b">
        <f t="shared" si="7"/>
        <v>0</v>
      </c>
      <c r="O11" s="41" t="e">
        <f t="shared" si="8"/>
        <v>#VALUE!</v>
      </c>
      <c r="P11" s="41" t="b">
        <f t="shared" si="3"/>
        <v>0</v>
      </c>
      <c r="Q11" s="27"/>
      <c r="R11" s="27"/>
      <c r="S11" s="43"/>
      <c r="T11" s="27"/>
      <c r="U11" s="1"/>
      <c r="V11" s="1"/>
      <c r="W11" s="1"/>
      <c r="X11" s="1"/>
      <c r="Y11" s="1"/>
      <c r="Z11" s="15"/>
      <c r="AA11" s="15"/>
    </row>
    <row r="12" spans="1:27">
      <c r="A12" s="27"/>
      <c r="B12" s="26"/>
      <c r="C12" s="27"/>
      <c r="D12" s="27"/>
      <c r="E12" s="27"/>
      <c r="F12" s="31" t="b">
        <f t="shared" si="4"/>
        <v>0</v>
      </c>
      <c r="G12" s="32" t="b">
        <f t="shared" si="0"/>
        <v>0</v>
      </c>
      <c r="H12" s="27"/>
      <c r="I12" s="33" t="b">
        <f t="shared" si="5"/>
        <v>0</v>
      </c>
      <c r="J12" s="32" t="b">
        <f t="shared" si="1"/>
        <v>0</v>
      </c>
      <c r="K12" s="27"/>
      <c r="L12" s="33" t="b">
        <f t="shared" si="2"/>
        <v>0</v>
      </c>
      <c r="M12" s="40" t="e">
        <f t="shared" si="6"/>
        <v>#VALUE!</v>
      </c>
      <c r="N12" s="40" t="b">
        <f t="shared" si="7"/>
        <v>0</v>
      </c>
      <c r="O12" s="41" t="e">
        <f t="shared" si="8"/>
        <v>#VALUE!</v>
      </c>
      <c r="P12" s="41" t="b">
        <f t="shared" si="3"/>
        <v>0</v>
      </c>
      <c r="Q12" s="27"/>
      <c r="R12" s="27"/>
      <c r="S12" s="43"/>
      <c r="T12" s="27"/>
      <c r="U12" s="1"/>
      <c r="V12" s="1"/>
      <c r="W12" s="1"/>
      <c r="X12" s="1"/>
      <c r="Y12" s="1"/>
      <c r="Z12" s="15"/>
      <c r="AA12" s="15"/>
    </row>
    <row r="13" spans="1:27">
      <c r="A13" s="27"/>
      <c r="B13" s="26"/>
      <c r="C13" s="27"/>
      <c r="D13" s="27"/>
      <c r="E13" s="27"/>
      <c r="F13" s="31" t="b">
        <f t="shared" si="4"/>
        <v>0</v>
      </c>
      <c r="G13" s="32" t="b">
        <f t="shared" si="0"/>
        <v>0</v>
      </c>
      <c r="H13" s="27"/>
      <c r="I13" s="33" t="b">
        <f t="shared" si="5"/>
        <v>0</v>
      </c>
      <c r="J13" s="32" t="b">
        <f t="shared" si="1"/>
        <v>0</v>
      </c>
      <c r="K13" s="27"/>
      <c r="L13" s="33" t="b">
        <f t="shared" si="2"/>
        <v>0</v>
      </c>
      <c r="M13" s="40" t="e">
        <f t="shared" si="6"/>
        <v>#VALUE!</v>
      </c>
      <c r="N13" s="40" t="b">
        <f t="shared" si="7"/>
        <v>0</v>
      </c>
      <c r="O13" s="41" t="e">
        <f t="shared" si="8"/>
        <v>#VALUE!</v>
      </c>
      <c r="P13" s="41" t="b">
        <f t="shared" si="3"/>
        <v>0</v>
      </c>
      <c r="Q13" s="27"/>
      <c r="R13" s="27"/>
      <c r="S13" s="43"/>
      <c r="T13" s="27"/>
      <c r="U13" s="1"/>
      <c r="V13" s="1"/>
      <c r="W13" s="1"/>
      <c r="X13" s="1"/>
      <c r="Y13" s="1"/>
      <c r="Z13" s="15"/>
      <c r="AA13" s="15"/>
    </row>
    <row r="14" spans="1:27">
      <c r="A14" s="27"/>
      <c r="B14" s="26"/>
      <c r="C14" s="27"/>
      <c r="D14" s="27"/>
      <c r="E14" s="27"/>
      <c r="F14" s="31" t="b">
        <f t="shared" si="4"/>
        <v>0</v>
      </c>
      <c r="G14" s="32" t="b">
        <f t="shared" si="0"/>
        <v>0</v>
      </c>
      <c r="H14" s="27"/>
      <c r="I14" s="33" t="b">
        <f t="shared" si="5"/>
        <v>0</v>
      </c>
      <c r="J14" s="32" t="b">
        <f t="shared" si="1"/>
        <v>0</v>
      </c>
      <c r="K14" s="27"/>
      <c r="L14" s="33" t="b">
        <f t="shared" si="2"/>
        <v>0</v>
      </c>
      <c r="M14" s="40" t="e">
        <f t="shared" si="6"/>
        <v>#VALUE!</v>
      </c>
      <c r="N14" s="40" t="b">
        <f t="shared" si="7"/>
        <v>0</v>
      </c>
      <c r="O14" s="41" t="e">
        <f t="shared" si="8"/>
        <v>#VALUE!</v>
      </c>
      <c r="P14" s="41" t="b">
        <f t="shared" si="3"/>
        <v>0</v>
      </c>
      <c r="Q14" s="27"/>
      <c r="R14" s="27"/>
      <c r="S14" s="43"/>
      <c r="T14" s="27"/>
      <c r="U14" s="1"/>
      <c r="V14" s="1"/>
      <c r="W14" s="1"/>
      <c r="X14" s="1"/>
      <c r="Y14" s="1"/>
      <c r="Z14" s="15"/>
      <c r="AA14" s="15"/>
    </row>
    <row r="15" spans="1:27">
      <c r="A15" s="27"/>
      <c r="B15" s="26"/>
      <c r="C15" s="27"/>
      <c r="D15" s="27"/>
      <c r="E15" s="27"/>
      <c r="F15" s="31" t="b">
        <f t="shared" si="4"/>
        <v>0</v>
      </c>
      <c r="G15" s="32" t="b">
        <f t="shared" si="0"/>
        <v>0</v>
      </c>
      <c r="H15" s="27"/>
      <c r="I15" s="33" t="b">
        <f t="shared" si="5"/>
        <v>0</v>
      </c>
      <c r="J15" s="32" t="b">
        <f t="shared" si="1"/>
        <v>0</v>
      </c>
      <c r="K15" s="27"/>
      <c r="L15" s="33" t="b">
        <f t="shared" si="2"/>
        <v>0</v>
      </c>
      <c r="M15" s="40" t="e">
        <f t="shared" si="6"/>
        <v>#VALUE!</v>
      </c>
      <c r="N15" s="40" t="b">
        <f t="shared" si="7"/>
        <v>0</v>
      </c>
      <c r="O15" s="41" t="e">
        <f t="shared" si="8"/>
        <v>#VALUE!</v>
      </c>
      <c r="P15" s="41" t="b">
        <f t="shared" si="3"/>
        <v>0</v>
      </c>
      <c r="Q15" s="27"/>
      <c r="R15" s="27"/>
      <c r="S15" s="43"/>
      <c r="T15" s="27"/>
      <c r="U15" s="1"/>
      <c r="V15" s="1"/>
      <c r="W15" s="1"/>
      <c r="X15" s="1"/>
      <c r="Y15" s="1"/>
      <c r="Z15" s="15"/>
      <c r="AA15" s="15"/>
    </row>
    <row r="16" spans="1:27">
      <c r="A16" s="27"/>
      <c r="B16" s="26"/>
      <c r="C16" s="27"/>
      <c r="D16" s="27"/>
      <c r="E16" s="27"/>
      <c r="F16" s="31" t="b">
        <f t="shared" si="4"/>
        <v>0</v>
      </c>
      <c r="G16" s="32" t="b">
        <f t="shared" si="0"/>
        <v>0</v>
      </c>
      <c r="H16" s="27"/>
      <c r="I16" s="33" t="b">
        <f t="shared" si="5"/>
        <v>0</v>
      </c>
      <c r="J16" s="32" t="b">
        <f t="shared" si="1"/>
        <v>0</v>
      </c>
      <c r="K16" s="27"/>
      <c r="L16" s="33" t="b">
        <f t="shared" si="2"/>
        <v>0</v>
      </c>
      <c r="M16" s="40" t="e">
        <f t="shared" si="6"/>
        <v>#VALUE!</v>
      </c>
      <c r="N16" s="40" t="b">
        <f t="shared" si="7"/>
        <v>0</v>
      </c>
      <c r="O16" s="41" t="e">
        <f t="shared" si="8"/>
        <v>#VALUE!</v>
      </c>
      <c r="P16" s="41" t="b">
        <f t="shared" si="3"/>
        <v>0</v>
      </c>
      <c r="Q16" s="27"/>
      <c r="R16" s="27"/>
      <c r="S16" s="43"/>
      <c r="T16" s="27"/>
      <c r="U16" s="1"/>
      <c r="V16" s="1"/>
      <c r="W16" s="1"/>
      <c r="X16" s="1"/>
      <c r="Y16" s="1"/>
      <c r="Z16" s="15"/>
      <c r="AA16" s="15"/>
    </row>
    <row r="17" spans="1:27">
      <c r="A17" s="27"/>
      <c r="B17" s="26"/>
      <c r="C17" s="27"/>
      <c r="D17" s="27"/>
      <c r="E17" s="27"/>
      <c r="F17" s="31" t="b">
        <f t="shared" si="4"/>
        <v>0</v>
      </c>
      <c r="G17" s="32" t="b">
        <f t="shared" si="0"/>
        <v>0</v>
      </c>
      <c r="H17" s="27"/>
      <c r="I17" s="33" t="b">
        <f t="shared" si="5"/>
        <v>0</v>
      </c>
      <c r="J17" s="32" t="b">
        <f t="shared" si="1"/>
        <v>0</v>
      </c>
      <c r="K17" s="27"/>
      <c r="L17" s="33" t="b">
        <f t="shared" si="2"/>
        <v>0</v>
      </c>
      <c r="M17" s="40" t="e">
        <f t="shared" si="6"/>
        <v>#VALUE!</v>
      </c>
      <c r="N17" s="40" t="b">
        <f t="shared" si="7"/>
        <v>0</v>
      </c>
      <c r="O17" s="41" t="e">
        <f t="shared" si="8"/>
        <v>#VALUE!</v>
      </c>
      <c r="P17" s="41" t="b">
        <f t="shared" si="3"/>
        <v>0</v>
      </c>
      <c r="Q17" s="27"/>
      <c r="R17" s="27"/>
      <c r="S17" s="43"/>
      <c r="T17" s="27"/>
      <c r="U17" s="1"/>
      <c r="V17" s="1"/>
      <c r="W17" s="1"/>
      <c r="X17" s="1"/>
      <c r="Y17" s="1"/>
      <c r="Z17" s="15"/>
      <c r="AA17" s="15"/>
    </row>
    <row r="18" spans="1:27">
      <c r="A18" s="27"/>
      <c r="B18" s="26"/>
      <c r="C18" s="27"/>
      <c r="D18" s="27"/>
      <c r="E18" s="27"/>
      <c r="F18" s="31" t="b">
        <f t="shared" si="4"/>
        <v>0</v>
      </c>
      <c r="G18" s="32" t="b">
        <f t="shared" si="0"/>
        <v>0</v>
      </c>
      <c r="H18" s="27"/>
      <c r="I18" s="33" t="b">
        <f t="shared" si="5"/>
        <v>0</v>
      </c>
      <c r="J18" s="32" t="b">
        <f t="shared" si="1"/>
        <v>0</v>
      </c>
      <c r="K18" s="27"/>
      <c r="L18" s="33" t="b">
        <f t="shared" si="2"/>
        <v>0</v>
      </c>
      <c r="M18" s="40" t="e">
        <f t="shared" si="6"/>
        <v>#VALUE!</v>
      </c>
      <c r="N18" s="40" t="b">
        <f t="shared" si="7"/>
        <v>0</v>
      </c>
      <c r="O18" s="41" t="e">
        <f t="shared" si="8"/>
        <v>#VALUE!</v>
      </c>
      <c r="P18" s="41" t="b">
        <f t="shared" si="3"/>
        <v>0</v>
      </c>
      <c r="Q18" s="27"/>
      <c r="R18" s="27"/>
      <c r="S18" s="43"/>
      <c r="T18" s="27"/>
      <c r="U18" s="1"/>
      <c r="V18" s="1"/>
      <c r="W18" s="1"/>
      <c r="X18" s="1"/>
      <c r="Y18" s="1"/>
      <c r="Z18" s="15"/>
      <c r="AA18" s="15"/>
    </row>
    <row r="19" spans="1:27">
      <c r="A19" s="27"/>
      <c r="B19" s="26"/>
      <c r="C19" s="27"/>
      <c r="D19" s="27"/>
      <c r="E19" s="27"/>
      <c r="F19" s="31" t="b">
        <f t="shared" si="4"/>
        <v>0</v>
      </c>
      <c r="G19" s="32" t="b">
        <f t="shared" si="0"/>
        <v>0</v>
      </c>
      <c r="H19" s="27"/>
      <c r="I19" s="33" t="b">
        <f t="shared" si="5"/>
        <v>0</v>
      </c>
      <c r="J19" s="32" t="b">
        <f t="shared" si="1"/>
        <v>0</v>
      </c>
      <c r="K19" s="27"/>
      <c r="L19" s="33" t="b">
        <f t="shared" si="2"/>
        <v>0</v>
      </c>
      <c r="M19" s="40" t="e">
        <f t="shared" si="6"/>
        <v>#VALUE!</v>
      </c>
      <c r="N19" s="40" t="b">
        <f t="shared" si="7"/>
        <v>0</v>
      </c>
      <c r="O19" s="41" t="e">
        <f t="shared" si="8"/>
        <v>#VALUE!</v>
      </c>
      <c r="P19" s="41" t="b">
        <f t="shared" si="3"/>
        <v>0</v>
      </c>
      <c r="Q19" s="27"/>
      <c r="R19" s="27"/>
      <c r="S19" s="43"/>
      <c r="T19" s="27"/>
      <c r="U19" s="1"/>
      <c r="V19" s="1"/>
      <c r="W19" s="1"/>
      <c r="X19" s="1"/>
      <c r="Y19" s="1"/>
      <c r="Z19" s="15"/>
      <c r="AA19" s="15"/>
    </row>
    <row r="20" spans="1:27">
      <c r="A20" s="27"/>
      <c r="B20" s="26"/>
      <c r="C20" s="27"/>
      <c r="D20" s="27"/>
      <c r="E20" s="27"/>
      <c r="F20" s="31" t="b">
        <f t="shared" si="4"/>
        <v>0</v>
      </c>
      <c r="G20" s="32" t="b">
        <f t="shared" si="0"/>
        <v>0</v>
      </c>
      <c r="H20" s="27"/>
      <c r="I20" s="33" t="b">
        <f t="shared" si="5"/>
        <v>0</v>
      </c>
      <c r="J20" s="32" t="b">
        <f t="shared" si="1"/>
        <v>0</v>
      </c>
      <c r="K20" s="27"/>
      <c r="L20" s="33" t="b">
        <f t="shared" si="2"/>
        <v>0</v>
      </c>
      <c r="M20" s="40" t="e">
        <f t="shared" si="6"/>
        <v>#VALUE!</v>
      </c>
      <c r="N20" s="40" t="b">
        <f t="shared" si="7"/>
        <v>0</v>
      </c>
      <c r="O20" s="41" t="e">
        <f t="shared" si="8"/>
        <v>#VALUE!</v>
      </c>
      <c r="P20" s="41" t="b">
        <f t="shared" si="3"/>
        <v>0</v>
      </c>
      <c r="Q20" s="27"/>
      <c r="R20" s="27"/>
      <c r="S20" s="43"/>
      <c r="T20" s="27"/>
      <c r="U20" s="1"/>
      <c r="V20" s="1"/>
      <c r="W20" s="1"/>
      <c r="X20" s="1"/>
      <c r="Y20" s="1"/>
      <c r="Z20" s="15"/>
      <c r="AA20" s="15"/>
    </row>
    <row r="21" spans="1:27">
      <c r="A21" s="27"/>
      <c r="B21" s="26"/>
      <c r="C21" s="27"/>
      <c r="D21" s="27"/>
      <c r="E21" s="27"/>
      <c r="F21" s="31" t="b">
        <f t="shared" si="4"/>
        <v>0</v>
      </c>
      <c r="G21" s="32" t="b">
        <f t="shared" si="0"/>
        <v>0</v>
      </c>
      <c r="H21" s="27"/>
      <c r="I21" s="33" t="b">
        <f t="shared" si="5"/>
        <v>0</v>
      </c>
      <c r="J21" s="32" t="b">
        <f t="shared" si="1"/>
        <v>0</v>
      </c>
      <c r="K21" s="27"/>
      <c r="L21" s="33" t="b">
        <f t="shared" si="2"/>
        <v>0</v>
      </c>
      <c r="M21" s="40" t="e">
        <f t="shared" si="6"/>
        <v>#VALUE!</v>
      </c>
      <c r="N21" s="40" t="b">
        <f t="shared" si="7"/>
        <v>0</v>
      </c>
      <c r="O21" s="41" t="e">
        <f t="shared" si="8"/>
        <v>#VALUE!</v>
      </c>
      <c r="P21" s="41" t="b">
        <f t="shared" si="3"/>
        <v>0</v>
      </c>
      <c r="Q21" s="27"/>
      <c r="R21" s="27"/>
      <c r="S21" s="43"/>
      <c r="T21" s="27"/>
      <c r="U21" s="1"/>
      <c r="V21" s="1"/>
      <c r="W21" s="1"/>
      <c r="X21" s="1"/>
      <c r="Y21" s="1"/>
      <c r="Z21" s="15"/>
      <c r="AA21" s="15"/>
    </row>
    <row r="22" spans="1:27">
      <c r="A22" s="27"/>
      <c r="B22" s="26"/>
      <c r="C22" s="27"/>
      <c r="D22" s="27"/>
      <c r="E22" s="27"/>
      <c r="F22" s="31" t="b">
        <f t="shared" si="4"/>
        <v>0</v>
      </c>
      <c r="G22" s="32" t="b">
        <f t="shared" si="0"/>
        <v>0</v>
      </c>
      <c r="H22" s="27"/>
      <c r="I22" s="33" t="b">
        <f t="shared" si="5"/>
        <v>0</v>
      </c>
      <c r="J22" s="32" t="b">
        <f t="shared" si="1"/>
        <v>0</v>
      </c>
      <c r="K22" s="27"/>
      <c r="L22" s="33" t="b">
        <f t="shared" si="2"/>
        <v>0</v>
      </c>
      <c r="M22" s="40" t="e">
        <f t="shared" si="6"/>
        <v>#VALUE!</v>
      </c>
      <c r="N22" s="40" t="b">
        <f t="shared" si="7"/>
        <v>0</v>
      </c>
      <c r="O22" s="41" t="e">
        <f t="shared" si="8"/>
        <v>#VALUE!</v>
      </c>
      <c r="P22" s="41" t="b">
        <f t="shared" si="3"/>
        <v>0</v>
      </c>
      <c r="Q22" s="27"/>
      <c r="R22" s="27"/>
      <c r="S22" s="43"/>
      <c r="T22" s="27"/>
      <c r="U22" s="1"/>
      <c r="V22" s="1"/>
      <c r="W22" s="1"/>
      <c r="X22" s="1"/>
      <c r="Y22" s="1"/>
      <c r="Z22" s="15"/>
      <c r="AA22" s="15"/>
    </row>
    <row r="23" spans="1:27">
      <c r="A23" s="27"/>
      <c r="B23" s="26"/>
      <c r="C23" s="27"/>
      <c r="D23" s="27"/>
      <c r="E23" s="27"/>
      <c r="F23" s="31" t="b">
        <f t="shared" si="4"/>
        <v>0</v>
      </c>
      <c r="G23" s="32" t="b">
        <f t="shared" si="0"/>
        <v>0</v>
      </c>
      <c r="H23" s="27"/>
      <c r="I23" s="33" t="b">
        <f t="shared" si="5"/>
        <v>0</v>
      </c>
      <c r="J23" s="32" t="b">
        <f t="shared" si="1"/>
        <v>0</v>
      </c>
      <c r="K23" s="27"/>
      <c r="L23" s="33" t="b">
        <f t="shared" si="2"/>
        <v>0</v>
      </c>
      <c r="M23" s="40" t="e">
        <f t="shared" si="6"/>
        <v>#VALUE!</v>
      </c>
      <c r="N23" s="40" t="b">
        <f t="shared" si="7"/>
        <v>0</v>
      </c>
      <c r="O23" s="41" t="e">
        <f t="shared" si="8"/>
        <v>#VALUE!</v>
      </c>
      <c r="P23" s="41" t="b">
        <f t="shared" si="3"/>
        <v>0</v>
      </c>
      <c r="Q23" s="27"/>
      <c r="R23" s="27"/>
      <c r="S23" s="43"/>
      <c r="T23" s="27"/>
      <c r="U23" s="1"/>
      <c r="V23" s="1"/>
      <c r="W23" s="1"/>
      <c r="X23" s="1"/>
      <c r="Y23" s="1"/>
      <c r="Z23" s="15"/>
      <c r="AA23" s="15"/>
    </row>
    <row r="24" spans="1:27">
      <c r="A24" s="27"/>
      <c r="B24" s="26"/>
      <c r="C24" s="27"/>
      <c r="D24" s="27"/>
      <c r="E24" s="27"/>
      <c r="F24" s="31" t="b">
        <f t="shared" si="4"/>
        <v>0</v>
      </c>
      <c r="G24" s="32" t="b">
        <f t="shared" si="0"/>
        <v>0</v>
      </c>
      <c r="H24" s="27"/>
      <c r="I24" s="33" t="b">
        <f t="shared" si="5"/>
        <v>0</v>
      </c>
      <c r="J24" s="32" t="b">
        <f t="shared" si="1"/>
        <v>0</v>
      </c>
      <c r="K24" s="27"/>
      <c r="L24" s="33" t="b">
        <f t="shared" si="2"/>
        <v>0</v>
      </c>
      <c r="M24" s="40" t="e">
        <f t="shared" si="6"/>
        <v>#VALUE!</v>
      </c>
      <c r="N24" s="40" t="b">
        <f t="shared" si="7"/>
        <v>0</v>
      </c>
      <c r="O24" s="41" t="e">
        <f t="shared" si="8"/>
        <v>#VALUE!</v>
      </c>
      <c r="P24" s="41" t="b">
        <f t="shared" si="3"/>
        <v>0</v>
      </c>
      <c r="Q24" s="27"/>
      <c r="R24" s="27"/>
      <c r="S24" s="43"/>
      <c r="T24" s="27"/>
      <c r="U24" s="1"/>
      <c r="V24" s="1"/>
      <c r="W24" s="1"/>
      <c r="X24" s="1"/>
      <c r="Y24" s="1"/>
      <c r="Z24" s="15"/>
      <c r="AA24" s="15"/>
    </row>
    <row r="25" spans="1:27">
      <c r="A25" s="27"/>
      <c r="B25" s="26"/>
      <c r="C25" s="27"/>
      <c r="D25" s="27"/>
      <c r="E25" s="27"/>
      <c r="F25" s="31" t="b">
        <f t="shared" si="4"/>
        <v>0</v>
      </c>
      <c r="G25" s="32" t="b">
        <f t="shared" si="0"/>
        <v>0</v>
      </c>
      <c r="H25" s="27"/>
      <c r="I25" s="33" t="b">
        <f t="shared" si="5"/>
        <v>0</v>
      </c>
      <c r="J25" s="32" t="b">
        <f t="shared" si="1"/>
        <v>0</v>
      </c>
      <c r="K25" s="27"/>
      <c r="L25" s="33" t="b">
        <f t="shared" si="2"/>
        <v>0</v>
      </c>
      <c r="M25" s="40" t="e">
        <f t="shared" si="6"/>
        <v>#VALUE!</v>
      </c>
      <c r="N25" s="40" t="b">
        <f t="shared" si="7"/>
        <v>0</v>
      </c>
      <c r="O25" s="41" t="e">
        <f t="shared" si="8"/>
        <v>#VALUE!</v>
      </c>
      <c r="P25" s="41" t="b">
        <f t="shared" si="3"/>
        <v>0</v>
      </c>
      <c r="Q25" s="27"/>
      <c r="R25" s="27"/>
      <c r="S25" s="43"/>
      <c r="T25" s="27"/>
      <c r="U25" s="1"/>
      <c r="V25" s="1"/>
      <c r="W25" s="1"/>
      <c r="X25" s="1"/>
      <c r="Y25" s="1"/>
      <c r="Z25" s="15"/>
      <c r="AA25" s="15"/>
    </row>
    <row r="26" spans="1:27">
      <c r="A26" s="27"/>
      <c r="B26" s="26"/>
      <c r="C26" s="27"/>
      <c r="D26" s="27"/>
      <c r="E26" s="27"/>
      <c r="F26" s="31" t="b">
        <f t="shared" si="4"/>
        <v>0</v>
      </c>
      <c r="G26" s="32" t="b">
        <f t="shared" si="0"/>
        <v>0</v>
      </c>
      <c r="H26" s="27"/>
      <c r="I26" s="33" t="b">
        <f t="shared" si="5"/>
        <v>0</v>
      </c>
      <c r="J26" s="32" t="b">
        <f t="shared" si="1"/>
        <v>0</v>
      </c>
      <c r="K26" s="27"/>
      <c r="L26" s="33" t="b">
        <f t="shared" si="2"/>
        <v>0</v>
      </c>
      <c r="M26" s="40" t="e">
        <f t="shared" si="6"/>
        <v>#VALUE!</v>
      </c>
      <c r="N26" s="40" t="b">
        <f t="shared" si="7"/>
        <v>0</v>
      </c>
      <c r="O26" s="41" t="e">
        <f t="shared" si="8"/>
        <v>#VALUE!</v>
      </c>
      <c r="P26" s="41" t="b">
        <f t="shared" si="3"/>
        <v>0</v>
      </c>
      <c r="Q26" s="27"/>
      <c r="R26" s="27"/>
      <c r="S26" s="43"/>
      <c r="T26" s="27"/>
      <c r="U26" s="1"/>
      <c r="V26" s="1"/>
      <c r="W26" s="1"/>
      <c r="X26" s="1"/>
      <c r="Y26" s="1"/>
      <c r="Z26" s="15"/>
      <c r="AA26" s="15"/>
    </row>
    <row r="27" spans="1:27">
      <c r="A27" s="27"/>
      <c r="B27" s="26"/>
      <c r="C27" s="27"/>
      <c r="D27" s="27"/>
      <c r="E27" s="27"/>
      <c r="F27" s="31" t="b">
        <f t="shared" si="4"/>
        <v>0</v>
      </c>
      <c r="G27" s="32" t="b">
        <f t="shared" si="0"/>
        <v>0</v>
      </c>
      <c r="H27" s="27"/>
      <c r="I27" s="33" t="b">
        <f t="shared" si="5"/>
        <v>0</v>
      </c>
      <c r="J27" s="32" t="b">
        <f t="shared" si="1"/>
        <v>0</v>
      </c>
      <c r="K27" s="27"/>
      <c r="L27" s="33" t="b">
        <f t="shared" si="2"/>
        <v>0</v>
      </c>
      <c r="M27" s="40" t="e">
        <f t="shared" si="6"/>
        <v>#VALUE!</v>
      </c>
      <c r="N27" s="40" t="b">
        <f t="shared" si="7"/>
        <v>0</v>
      </c>
      <c r="O27" s="41" t="e">
        <f t="shared" si="8"/>
        <v>#VALUE!</v>
      </c>
      <c r="P27" s="41" t="b">
        <f t="shared" si="3"/>
        <v>0</v>
      </c>
      <c r="Q27" s="27"/>
      <c r="R27" s="27"/>
      <c r="S27" s="43"/>
      <c r="T27" s="27"/>
      <c r="U27" s="1"/>
      <c r="V27" s="1"/>
      <c r="W27" s="1"/>
      <c r="X27" s="1"/>
      <c r="Y27" s="1"/>
      <c r="Z27" s="15"/>
      <c r="AA27" s="15"/>
    </row>
    <row r="28" spans="1:27">
      <c r="A28" s="27"/>
      <c r="B28" s="26"/>
      <c r="C28" s="27"/>
      <c r="D28" s="27"/>
      <c r="E28" s="27"/>
      <c r="F28" s="31" t="b">
        <f t="shared" si="4"/>
        <v>0</v>
      </c>
      <c r="G28" s="32" t="b">
        <f t="shared" si="0"/>
        <v>0</v>
      </c>
      <c r="H28" s="27"/>
      <c r="I28" s="33" t="b">
        <f t="shared" si="5"/>
        <v>0</v>
      </c>
      <c r="J28" s="32" t="b">
        <f t="shared" si="1"/>
        <v>0</v>
      </c>
      <c r="K28" s="27"/>
      <c r="L28" s="33" t="b">
        <f t="shared" si="2"/>
        <v>0</v>
      </c>
      <c r="M28" s="40" t="e">
        <f t="shared" si="6"/>
        <v>#VALUE!</v>
      </c>
      <c r="N28" s="40" t="b">
        <f t="shared" si="7"/>
        <v>0</v>
      </c>
      <c r="O28" s="41" t="e">
        <f t="shared" si="8"/>
        <v>#VALUE!</v>
      </c>
      <c r="P28" s="41" t="b">
        <f t="shared" si="3"/>
        <v>0</v>
      </c>
      <c r="Q28" s="27"/>
      <c r="R28" s="27"/>
      <c r="S28" s="43"/>
      <c r="T28" s="27"/>
      <c r="U28" s="1"/>
      <c r="V28" s="1"/>
      <c r="W28" s="1"/>
      <c r="X28" s="1"/>
      <c r="Y28" s="1"/>
      <c r="Z28" s="15"/>
      <c r="AA28" s="15"/>
    </row>
    <row r="29" spans="1:27">
      <c r="A29" s="27"/>
      <c r="B29" s="26"/>
      <c r="C29" s="27"/>
      <c r="D29" s="27"/>
      <c r="E29" s="27"/>
      <c r="F29" s="31" t="b">
        <f t="shared" si="4"/>
        <v>0</v>
      </c>
      <c r="G29" s="32" t="b">
        <f t="shared" si="0"/>
        <v>0</v>
      </c>
      <c r="H29" s="27"/>
      <c r="I29" s="33" t="b">
        <f t="shared" si="5"/>
        <v>0</v>
      </c>
      <c r="J29" s="32" t="b">
        <f t="shared" si="1"/>
        <v>0</v>
      </c>
      <c r="K29" s="27"/>
      <c r="L29" s="33" t="b">
        <f t="shared" si="2"/>
        <v>0</v>
      </c>
      <c r="M29" s="40" t="e">
        <f t="shared" si="6"/>
        <v>#VALUE!</v>
      </c>
      <c r="N29" s="40" t="b">
        <f t="shared" si="7"/>
        <v>0</v>
      </c>
      <c r="O29" s="41" t="e">
        <f t="shared" si="8"/>
        <v>#VALUE!</v>
      </c>
      <c r="P29" s="41" t="b">
        <f t="shared" si="3"/>
        <v>0</v>
      </c>
      <c r="Q29" s="27"/>
      <c r="R29" s="27"/>
      <c r="S29" s="43"/>
      <c r="T29" s="27"/>
      <c r="U29" s="1"/>
      <c r="V29" s="1"/>
      <c r="W29" s="1"/>
      <c r="X29" s="1"/>
      <c r="Y29" s="1"/>
      <c r="Z29" s="15"/>
      <c r="AA29" s="15"/>
    </row>
    <row r="30" spans="1:27">
      <c r="A30" s="27"/>
      <c r="B30" s="26"/>
      <c r="C30" s="27"/>
      <c r="D30" s="27"/>
      <c r="E30" s="27"/>
      <c r="F30" s="31" t="b">
        <f t="shared" si="4"/>
        <v>0</v>
      </c>
      <c r="G30" s="32" t="b">
        <f t="shared" si="0"/>
        <v>0</v>
      </c>
      <c r="H30" s="27"/>
      <c r="I30" s="33" t="b">
        <f t="shared" si="5"/>
        <v>0</v>
      </c>
      <c r="J30" s="32" t="b">
        <f t="shared" si="1"/>
        <v>0</v>
      </c>
      <c r="K30" s="27"/>
      <c r="L30" s="33" t="b">
        <f t="shared" si="2"/>
        <v>0</v>
      </c>
      <c r="M30" s="40" t="e">
        <f t="shared" si="6"/>
        <v>#VALUE!</v>
      </c>
      <c r="N30" s="40" t="b">
        <f t="shared" si="7"/>
        <v>0</v>
      </c>
      <c r="O30" s="41" t="e">
        <f t="shared" si="8"/>
        <v>#VALUE!</v>
      </c>
      <c r="P30" s="41" t="b">
        <f t="shared" si="3"/>
        <v>0</v>
      </c>
      <c r="Q30" s="27"/>
      <c r="R30" s="27"/>
      <c r="S30" s="43"/>
      <c r="T30" s="27"/>
      <c r="U30" s="1"/>
      <c r="V30" s="1"/>
      <c r="W30" s="1"/>
      <c r="X30" s="1"/>
      <c r="Y30" s="1"/>
      <c r="Z30" s="15"/>
      <c r="AA30" s="15"/>
    </row>
    <row r="31" spans="1:27">
      <c r="A31" s="27"/>
      <c r="B31" s="26"/>
      <c r="C31" s="27"/>
      <c r="D31" s="27"/>
      <c r="E31" s="27"/>
      <c r="F31" s="31" t="b">
        <f t="shared" si="4"/>
        <v>0</v>
      </c>
      <c r="G31" s="32" t="b">
        <f t="shared" si="0"/>
        <v>0</v>
      </c>
      <c r="H31" s="27"/>
      <c r="I31" s="33" t="b">
        <f t="shared" si="5"/>
        <v>0</v>
      </c>
      <c r="J31" s="32" t="b">
        <f t="shared" si="1"/>
        <v>0</v>
      </c>
      <c r="K31" s="27"/>
      <c r="L31" s="33" t="b">
        <f t="shared" si="2"/>
        <v>0</v>
      </c>
      <c r="M31" s="40" t="e">
        <f t="shared" si="6"/>
        <v>#VALUE!</v>
      </c>
      <c r="N31" s="40" t="b">
        <f t="shared" si="7"/>
        <v>0</v>
      </c>
      <c r="O31" s="41" t="e">
        <f t="shared" si="8"/>
        <v>#VALUE!</v>
      </c>
      <c r="P31" s="41" t="b">
        <f t="shared" si="3"/>
        <v>0</v>
      </c>
      <c r="Q31" s="27"/>
      <c r="R31" s="27"/>
      <c r="S31" s="43"/>
      <c r="T31" s="27"/>
      <c r="U31" s="1"/>
      <c r="V31" s="1"/>
      <c r="W31" s="1"/>
      <c r="X31" s="1"/>
      <c r="Y31" s="1"/>
      <c r="Z31" s="15"/>
      <c r="AA31" s="15"/>
    </row>
    <row r="32" spans="1:27">
      <c r="A32" s="27"/>
      <c r="B32" s="26"/>
      <c r="C32" s="27"/>
      <c r="D32" s="27"/>
      <c r="E32" s="27"/>
      <c r="F32" s="31" t="b">
        <f t="shared" si="4"/>
        <v>0</v>
      </c>
      <c r="G32" s="32" t="b">
        <f t="shared" si="0"/>
        <v>0</v>
      </c>
      <c r="H32" s="27"/>
      <c r="I32" s="33" t="b">
        <f t="shared" si="5"/>
        <v>0</v>
      </c>
      <c r="J32" s="32" t="b">
        <f t="shared" si="1"/>
        <v>0</v>
      </c>
      <c r="K32" s="27"/>
      <c r="L32" s="33" t="b">
        <f t="shared" si="2"/>
        <v>0</v>
      </c>
      <c r="M32" s="40" t="e">
        <f t="shared" si="6"/>
        <v>#VALUE!</v>
      </c>
      <c r="N32" s="40" t="b">
        <f t="shared" si="7"/>
        <v>0</v>
      </c>
      <c r="O32" s="41" t="e">
        <f t="shared" si="8"/>
        <v>#VALUE!</v>
      </c>
      <c r="P32" s="41" t="b">
        <f t="shared" si="3"/>
        <v>0</v>
      </c>
      <c r="Q32" s="27"/>
      <c r="R32" s="27"/>
      <c r="S32" s="43"/>
      <c r="T32" s="27"/>
      <c r="U32" s="1"/>
      <c r="V32" s="1"/>
      <c r="W32" s="1"/>
      <c r="X32" s="1"/>
      <c r="Y32" s="1"/>
      <c r="Z32" s="15"/>
      <c r="AA32" s="15"/>
    </row>
    <row r="33" spans="1:27">
      <c r="A33" s="27"/>
      <c r="B33" s="26"/>
      <c r="C33" s="27"/>
      <c r="D33" s="27"/>
      <c r="E33" s="27"/>
      <c r="F33" s="31" t="b">
        <f t="shared" si="4"/>
        <v>0</v>
      </c>
      <c r="G33" s="32" t="b">
        <f t="shared" si="0"/>
        <v>0</v>
      </c>
      <c r="H33" s="27"/>
      <c r="I33" s="33" t="b">
        <f t="shared" si="5"/>
        <v>0</v>
      </c>
      <c r="J33" s="32" t="b">
        <f t="shared" si="1"/>
        <v>0</v>
      </c>
      <c r="K33" s="27"/>
      <c r="L33" s="33" t="b">
        <f t="shared" si="2"/>
        <v>0</v>
      </c>
      <c r="M33" s="40" t="e">
        <f t="shared" si="6"/>
        <v>#VALUE!</v>
      </c>
      <c r="N33" s="40" t="b">
        <f t="shared" si="7"/>
        <v>0</v>
      </c>
      <c r="O33" s="41" t="e">
        <f t="shared" si="8"/>
        <v>#VALUE!</v>
      </c>
      <c r="P33" s="41" t="b">
        <f t="shared" si="3"/>
        <v>0</v>
      </c>
      <c r="Q33" s="27"/>
      <c r="R33" s="27"/>
      <c r="S33" s="43"/>
      <c r="T33" s="27"/>
      <c r="U33" s="1"/>
      <c r="V33" s="1"/>
      <c r="W33" s="1"/>
      <c r="X33" s="1"/>
      <c r="Y33" s="1"/>
      <c r="Z33" s="15"/>
      <c r="AA33" s="15"/>
    </row>
    <row r="34" spans="1:27">
      <c r="A34" s="27"/>
      <c r="B34" s="26"/>
      <c r="C34" s="27"/>
      <c r="D34" s="27"/>
      <c r="E34" s="27"/>
      <c r="F34" s="31" t="b">
        <f t="shared" si="4"/>
        <v>0</v>
      </c>
      <c r="G34" s="32" t="b">
        <f t="shared" si="0"/>
        <v>0</v>
      </c>
      <c r="H34" s="27"/>
      <c r="I34" s="33" t="b">
        <f t="shared" si="5"/>
        <v>0</v>
      </c>
      <c r="J34" s="32" t="b">
        <f t="shared" si="1"/>
        <v>0</v>
      </c>
      <c r="K34" s="27"/>
      <c r="L34" s="33" t="b">
        <f t="shared" si="2"/>
        <v>0</v>
      </c>
      <c r="M34" s="40" t="e">
        <f t="shared" si="6"/>
        <v>#VALUE!</v>
      </c>
      <c r="N34" s="40" t="b">
        <f t="shared" si="7"/>
        <v>0</v>
      </c>
      <c r="O34" s="41" t="e">
        <f t="shared" si="8"/>
        <v>#VALUE!</v>
      </c>
      <c r="P34" s="41" t="b">
        <f t="shared" si="3"/>
        <v>0</v>
      </c>
      <c r="Q34" s="27"/>
      <c r="R34" s="27"/>
      <c r="S34" s="43"/>
      <c r="T34" s="27"/>
      <c r="U34" s="1"/>
      <c r="V34" s="1"/>
      <c r="W34" s="1"/>
      <c r="X34" s="1"/>
      <c r="Y34" s="1"/>
      <c r="Z34" s="15"/>
      <c r="AA34" s="15"/>
    </row>
    <row r="35" spans="1:27">
      <c r="A35" s="27"/>
      <c r="B35" s="26"/>
      <c r="C35" s="27"/>
      <c r="D35" s="27"/>
      <c r="E35" s="27"/>
      <c r="F35" s="31" t="b">
        <f t="shared" si="4"/>
        <v>0</v>
      </c>
      <c r="G35" s="32" t="b">
        <f t="shared" si="0"/>
        <v>0</v>
      </c>
      <c r="H35" s="27"/>
      <c r="I35" s="33" t="b">
        <f t="shared" si="5"/>
        <v>0</v>
      </c>
      <c r="J35" s="32" t="b">
        <f t="shared" si="1"/>
        <v>0</v>
      </c>
      <c r="K35" s="27"/>
      <c r="L35" s="33" t="b">
        <f t="shared" si="2"/>
        <v>0</v>
      </c>
      <c r="M35" s="40" t="e">
        <f t="shared" si="6"/>
        <v>#VALUE!</v>
      </c>
      <c r="N35" s="40" t="b">
        <f t="shared" si="7"/>
        <v>0</v>
      </c>
      <c r="O35" s="41" t="e">
        <f t="shared" si="8"/>
        <v>#VALUE!</v>
      </c>
      <c r="P35" s="41" t="b">
        <f t="shared" si="3"/>
        <v>0</v>
      </c>
      <c r="Q35" s="27"/>
      <c r="R35" s="27"/>
      <c r="S35" s="43"/>
      <c r="T35" s="27"/>
      <c r="U35" s="1"/>
      <c r="V35" s="1"/>
      <c r="W35" s="1"/>
      <c r="X35" s="1"/>
      <c r="Y35" s="1"/>
      <c r="Z35" s="15"/>
      <c r="AA35" s="15"/>
    </row>
    <row r="36" spans="1:27">
      <c r="A36" s="27"/>
      <c r="B36" s="26"/>
      <c r="C36" s="27"/>
      <c r="D36" s="27"/>
      <c r="E36" s="27"/>
      <c r="F36" s="31" t="b">
        <f t="shared" si="4"/>
        <v>0</v>
      </c>
      <c r="G36" s="32" t="b">
        <f t="shared" si="0"/>
        <v>0</v>
      </c>
      <c r="H36" s="27"/>
      <c r="I36" s="33" t="b">
        <f t="shared" si="5"/>
        <v>0</v>
      </c>
      <c r="J36" s="32" t="b">
        <f t="shared" si="1"/>
        <v>0</v>
      </c>
      <c r="K36" s="27"/>
      <c r="L36" s="33" t="b">
        <f t="shared" si="2"/>
        <v>0</v>
      </c>
      <c r="M36" s="40" t="e">
        <f t="shared" si="6"/>
        <v>#VALUE!</v>
      </c>
      <c r="N36" s="40" t="b">
        <f t="shared" si="7"/>
        <v>0</v>
      </c>
      <c r="O36" s="41" t="e">
        <f t="shared" si="8"/>
        <v>#VALUE!</v>
      </c>
      <c r="P36" s="41" t="b">
        <f t="shared" si="3"/>
        <v>0</v>
      </c>
      <c r="Q36" s="27"/>
      <c r="R36" s="27"/>
      <c r="S36" s="43"/>
      <c r="T36" s="27"/>
      <c r="U36" s="1"/>
      <c r="V36" s="1"/>
      <c r="W36" s="1"/>
      <c r="X36" s="1"/>
      <c r="Y36" s="1"/>
      <c r="Z36" s="15"/>
      <c r="AA36" s="15"/>
    </row>
    <row r="37" spans="1:27">
      <c r="A37" s="27"/>
      <c r="B37" s="26"/>
      <c r="C37" s="27"/>
      <c r="D37" s="27"/>
      <c r="E37" s="27"/>
      <c r="F37" s="31" t="b">
        <f t="shared" si="4"/>
        <v>0</v>
      </c>
      <c r="G37" s="32" t="b">
        <f t="shared" si="0"/>
        <v>0</v>
      </c>
      <c r="H37" s="27"/>
      <c r="I37" s="33" t="b">
        <f t="shared" si="5"/>
        <v>0</v>
      </c>
      <c r="J37" s="32" t="b">
        <f t="shared" si="1"/>
        <v>0</v>
      </c>
      <c r="K37" s="27"/>
      <c r="L37" s="33" t="b">
        <f t="shared" si="2"/>
        <v>0</v>
      </c>
      <c r="M37" s="40" t="e">
        <f t="shared" si="6"/>
        <v>#VALUE!</v>
      </c>
      <c r="N37" s="40" t="b">
        <f t="shared" si="7"/>
        <v>0</v>
      </c>
      <c r="O37" s="41" t="e">
        <f t="shared" si="8"/>
        <v>#VALUE!</v>
      </c>
      <c r="P37" s="41" t="b">
        <f t="shared" si="3"/>
        <v>0</v>
      </c>
      <c r="Q37" s="27"/>
      <c r="R37" s="27"/>
      <c r="S37" s="43"/>
      <c r="T37" s="27"/>
      <c r="U37" s="1"/>
      <c r="V37" s="1"/>
      <c r="W37" s="1"/>
      <c r="X37" s="1"/>
      <c r="Y37" s="1"/>
      <c r="Z37" s="15"/>
      <c r="AA37" s="15"/>
    </row>
    <row r="38" spans="1:27">
      <c r="A38" s="27"/>
      <c r="B38" s="26"/>
      <c r="C38" s="27"/>
      <c r="D38" s="27"/>
      <c r="E38" s="27"/>
      <c r="F38" s="31" t="b">
        <f t="shared" si="4"/>
        <v>0</v>
      </c>
      <c r="G38" s="32" t="b">
        <f t="shared" si="0"/>
        <v>0</v>
      </c>
      <c r="H38" s="27"/>
      <c r="I38" s="33" t="b">
        <f t="shared" si="5"/>
        <v>0</v>
      </c>
      <c r="J38" s="32" t="b">
        <f t="shared" si="1"/>
        <v>0</v>
      </c>
      <c r="K38" s="27"/>
      <c r="L38" s="33" t="b">
        <f t="shared" si="2"/>
        <v>0</v>
      </c>
      <c r="M38" s="40" t="e">
        <f t="shared" si="6"/>
        <v>#VALUE!</v>
      </c>
      <c r="N38" s="40" t="b">
        <f t="shared" si="7"/>
        <v>0</v>
      </c>
      <c r="O38" s="41" t="e">
        <f t="shared" si="8"/>
        <v>#VALUE!</v>
      </c>
      <c r="P38" s="41" t="b">
        <f t="shared" si="3"/>
        <v>0</v>
      </c>
      <c r="Q38" s="27"/>
      <c r="R38" s="27"/>
      <c r="S38" s="43"/>
      <c r="T38" s="27"/>
      <c r="U38" s="1"/>
      <c r="V38" s="1"/>
      <c r="W38" s="1"/>
      <c r="X38" s="1"/>
      <c r="Y38" s="1"/>
      <c r="Z38" s="15"/>
      <c r="AA38" s="15"/>
    </row>
    <row r="39" spans="1:27">
      <c r="A39" s="27"/>
      <c r="B39" s="26"/>
      <c r="C39" s="27"/>
      <c r="D39" s="27"/>
      <c r="E39" s="27"/>
      <c r="F39" s="31" t="b">
        <f t="shared" si="4"/>
        <v>0</v>
      </c>
      <c r="G39" s="32" t="b">
        <f t="shared" si="0"/>
        <v>0</v>
      </c>
      <c r="H39" s="27"/>
      <c r="I39" s="33" t="b">
        <f t="shared" si="5"/>
        <v>0</v>
      </c>
      <c r="J39" s="32" t="b">
        <f t="shared" si="1"/>
        <v>0</v>
      </c>
      <c r="K39" s="27"/>
      <c r="L39" s="33" t="b">
        <f t="shared" si="2"/>
        <v>0</v>
      </c>
      <c r="M39" s="40" t="e">
        <f t="shared" si="6"/>
        <v>#VALUE!</v>
      </c>
      <c r="N39" s="40" t="b">
        <f t="shared" si="7"/>
        <v>0</v>
      </c>
      <c r="O39" s="41" t="e">
        <f t="shared" si="8"/>
        <v>#VALUE!</v>
      </c>
      <c r="P39" s="41" t="b">
        <f t="shared" si="3"/>
        <v>0</v>
      </c>
      <c r="Q39" s="27"/>
      <c r="R39" s="27"/>
      <c r="S39" s="43"/>
      <c r="T39" s="27"/>
      <c r="U39" s="1"/>
      <c r="V39" s="1"/>
      <c r="W39" s="1"/>
      <c r="X39" s="1"/>
      <c r="Y39" s="1"/>
      <c r="Z39" s="15"/>
      <c r="AA39" s="15"/>
    </row>
    <row r="40" spans="1:27">
      <c r="A40" s="27"/>
      <c r="B40" s="26"/>
      <c r="C40" s="27"/>
      <c r="D40" s="27"/>
      <c r="E40" s="27"/>
      <c r="F40" s="31" t="b">
        <f t="shared" si="4"/>
        <v>0</v>
      </c>
      <c r="G40" s="32" t="b">
        <f t="shared" si="0"/>
        <v>0</v>
      </c>
      <c r="H40" s="27"/>
      <c r="I40" s="33" t="b">
        <f t="shared" si="5"/>
        <v>0</v>
      </c>
      <c r="J40" s="32" t="b">
        <f t="shared" si="1"/>
        <v>0</v>
      </c>
      <c r="K40" s="27"/>
      <c r="L40" s="33" t="b">
        <f t="shared" si="2"/>
        <v>0</v>
      </c>
      <c r="M40" s="40" t="e">
        <f t="shared" si="6"/>
        <v>#VALUE!</v>
      </c>
      <c r="N40" s="40" t="b">
        <f t="shared" si="7"/>
        <v>0</v>
      </c>
      <c r="O40" s="41" t="e">
        <f t="shared" si="8"/>
        <v>#VALUE!</v>
      </c>
      <c r="P40" s="41" t="b">
        <f t="shared" si="3"/>
        <v>0</v>
      </c>
      <c r="Q40" s="27"/>
      <c r="R40" s="27"/>
      <c r="S40" s="43"/>
      <c r="T40" s="27"/>
      <c r="U40" s="1"/>
      <c r="V40" s="1"/>
      <c r="W40" s="1"/>
      <c r="X40" s="1"/>
      <c r="Y40" s="1"/>
      <c r="Z40" s="15"/>
      <c r="AA40" s="15"/>
    </row>
    <row r="41" spans="1:27">
      <c r="A41" s="27"/>
      <c r="B41" s="26"/>
      <c r="C41" s="27"/>
      <c r="D41" s="27"/>
      <c r="E41" s="27"/>
      <c r="F41" s="31" t="b">
        <f t="shared" si="4"/>
        <v>0</v>
      </c>
      <c r="G41" s="32" t="b">
        <f t="shared" si="0"/>
        <v>0</v>
      </c>
      <c r="H41" s="27"/>
      <c r="I41" s="33" t="b">
        <f t="shared" si="5"/>
        <v>0</v>
      </c>
      <c r="J41" s="32" t="b">
        <f t="shared" si="1"/>
        <v>0</v>
      </c>
      <c r="K41" s="27"/>
      <c r="L41" s="33" t="b">
        <f t="shared" si="2"/>
        <v>0</v>
      </c>
      <c r="M41" s="40" t="e">
        <f t="shared" si="6"/>
        <v>#VALUE!</v>
      </c>
      <c r="N41" s="40" t="b">
        <f t="shared" si="7"/>
        <v>0</v>
      </c>
      <c r="O41" s="41" t="e">
        <f t="shared" si="8"/>
        <v>#VALUE!</v>
      </c>
      <c r="P41" s="41" t="b">
        <f t="shared" si="3"/>
        <v>0</v>
      </c>
      <c r="Q41" s="27"/>
      <c r="R41" s="27"/>
      <c r="S41" s="43"/>
      <c r="T41" s="27"/>
      <c r="U41" s="1"/>
      <c r="V41" s="1"/>
      <c r="W41" s="1"/>
      <c r="X41" s="1"/>
      <c r="Y41" s="1"/>
      <c r="Z41" s="15"/>
      <c r="AA41" s="15"/>
    </row>
    <row r="42" spans="1:27">
      <c r="A42" s="27"/>
      <c r="B42" s="26"/>
      <c r="C42" s="27"/>
      <c r="D42" s="27"/>
      <c r="E42" s="27"/>
      <c r="F42" s="31" t="b">
        <f t="shared" si="4"/>
        <v>0</v>
      </c>
      <c r="G42" s="32" t="b">
        <f t="shared" si="0"/>
        <v>0</v>
      </c>
      <c r="H42" s="27"/>
      <c r="I42" s="33" t="b">
        <f t="shared" si="5"/>
        <v>0</v>
      </c>
      <c r="J42" s="32" t="b">
        <f t="shared" si="1"/>
        <v>0</v>
      </c>
      <c r="K42" s="27"/>
      <c r="L42" s="33" t="b">
        <f t="shared" si="2"/>
        <v>0</v>
      </c>
      <c r="M42" s="40" t="e">
        <f t="shared" si="6"/>
        <v>#VALUE!</v>
      </c>
      <c r="N42" s="40" t="b">
        <f t="shared" si="7"/>
        <v>0</v>
      </c>
      <c r="O42" s="41" t="e">
        <f t="shared" si="8"/>
        <v>#VALUE!</v>
      </c>
      <c r="P42" s="41" t="b">
        <f t="shared" si="3"/>
        <v>0</v>
      </c>
      <c r="Q42" s="27"/>
      <c r="R42" s="27"/>
      <c r="S42" s="43"/>
      <c r="T42" s="27"/>
      <c r="U42" s="1"/>
      <c r="V42" s="1"/>
      <c r="W42" s="1"/>
      <c r="X42" s="1"/>
      <c r="Y42" s="1"/>
      <c r="Z42" s="15"/>
      <c r="AA42" s="15"/>
    </row>
    <row r="43" spans="1:27">
      <c r="A43" s="27"/>
      <c r="B43" s="26"/>
      <c r="C43" s="27"/>
      <c r="D43" s="27"/>
      <c r="E43" s="27"/>
      <c r="F43" s="31" t="b">
        <f t="shared" si="4"/>
        <v>0</v>
      </c>
      <c r="G43" s="32" t="b">
        <f t="shared" si="0"/>
        <v>0</v>
      </c>
      <c r="H43" s="27"/>
      <c r="I43" s="33" t="b">
        <f t="shared" si="5"/>
        <v>0</v>
      </c>
      <c r="J43" s="32" t="b">
        <f t="shared" si="1"/>
        <v>0</v>
      </c>
      <c r="K43" s="27"/>
      <c r="L43" s="33" t="b">
        <f t="shared" si="2"/>
        <v>0</v>
      </c>
      <c r="M43" s="40" t="e">
        <f t="shared" si="6"/>
        <v>#VALUE!</v>
      </c>
      <c r="N43" s="40" t="b">
        <f t="shared" si="7"/>
        <v>0</v>
      </c>
      <c r="O43" s="41" t="e">
        <f t="shared" si="8"/>
        <v>#VALUE!</v>
      </c>
      <c r="P43" s="41" t="b">
        <f t="shared" si="3"/>
        <v>0</v>
      </c>
      <c r="Q43" s="27"/>
      <c r="R43" s="27"/>
      <c r="S43" s="43"/>
      <c r="T43" s="27"/>
      <c r="U43" s="1"/>
      <c r="V43" s="1"/>
      <c r="W43" s="1"/>
      <c r="X43" s="1"/>
      <c r="Y43" s="1"/>
      <c r="Z43" s="15"/>
      <c r="AA43" s="15"/>
    </row>
    <row r="44" spans="1:27">
      <c r="A44" s="27"/>
      <c r="B44" s="26"/>
      <c r="C44" s="27"/>
      <c r="D44" s="27"/>
      <c r="E44" s="27"/>
      <c r="F44" s="31" t="b">
        <f t="shared" si="4"/>
        <v>0</v>
      </c>
      <c r="G44" s="32" t="b">
        <f t="shared" si="0"/>
        <v>0</v>
      </c>
      <c r="H44" s="27"/>
      <c r="I44" s="33" t="b">
        <f t="shared" si="5"/>
        <v>0</v>
      </c>
      <c r="J44" s="32" t="b">
        <f t="shared" si="1"/>
        <v>0</v>
      </c>
      <c r="K44" s="27"/>
      <c r="L44" s="33" t="b">
        <f t="shared" si="2"/>
        <v>0</v>
      </c>
      <c r="M44" s="40" t="e">
        <f t="shared" si="6"/>
        <v>#VALUE!</v>
      </c>
      <c r="N44" s="40" t="b">
        <f t="shared" si="7"/>
        <v>0</v>
      </c>
      <c r="O44" s="41" t="e">
        <f t="shared" si="8"/>
        <v>#VALUE!</v>
      </c>
      <c r="P44" s="41" t="b">
        <f t="shared" si="3"/>
        <v>0</v>
      </c>
      <c r="Q44" s="27"/>
      <c r="R44" s="27"/>
      <c r="S44" s="43"/>
      <c r="T44" s="27"/>
      <c r="U44" s="1"/>
      <c r="V44" s="1"/>
      <c r="W44" s="1"/>
      <c r="X44" s="1"/>
      <c r="Y44" s="1"/>
      <c r="Z44" s="15"/>
      <c r="AA44" s="15"/>
    </row>
    <row r="45" spans="1:27">
      <c r="A45" s="27"/>
      <c r="B45" s="26"/>
      <c r="C45" s="27"/>
      <c r="D45" s="27"/>
      <c r="E45" s="27"/>
      <c r="F45" s="31" t="b">
        <f t="shared" si="4"/>
        <v>0</v>
      </c>
      <c r="G45" s="32" t="b">
        <f t="shared" si="0"/>
        <v>0</v>
      </c>
      <c r="H45" s="27"/>
      <c r="I45" s="33" t="b">
        <f t="shared" si="5"/>
        <v>0</v>
      </c>
      <c r="J45" s="32" t="b">
        <f t="shared" si="1"/>
        <v>0</v>
      </c>
      <c r="K45" s="27"/>
      <c r="L45" s="33" t="b">
        <f t="shared" si="2"/>
        <v>0</v>
      </c>
      <c r="M45" s="40" t="e">
        <f t="shared" si="6"/>
        <v>#VALUE!</v>
      </c>
      <c r="N45" s="40" t="b">
        <f t="shared" si="7"/>
        <v>0</v>
      </c>
      <c r="O45" s="41" t="e">
        <f t="shared" si="8"/>
        <v>#VALUE!</v>
      </c>
      <c r="P45" s="41" t="b">
        <f t="shared" si="3"/>
        <v>0</v>
      </c>
      <c r="Q45" s="27"/>
      <c r="R45" s="27"/>
      <c r="S45" s="43"/>
      <c r="T45" s="27"/>
      <c r="U45" s="1"/>
      <c r="V45" s="1"/>
      <c r="W45" s="1"/>
      <c r="X45" s="1"/>
      <c r="Y45" s="1"/>
      <c r="Z45" s="15"/>
      <c r="AA45" s="15"/>
    </row>
    <row r="46" spans="1:27">
      <c r="A46" s="27"/>
      <c r="B46" s="26"/>
      <c r="C46" s="27"/>
      <c r="D46" s="27"/>
      <c r="E46" s="27"/>
      <c r="F46" s="31" t="b">
        <f t="shared" si="4"/>
        <v>0</v>
      </c>
      <c r="G46" s="32" t="b">
        <f t="shared" si="0"/>
        <v>0</v>
      </c>
      <c r="H46" s="27"/>
      <c r="I46" s="33" t="b">
        <f t="shared" si="5"/>
        <v>0</v>
      </c>
      <c r="J46" s="32" t="b">
        <f t="shared" si="1"/>
        <v>0</v>
      </c>
      <c r="K46" s="27"/>
      <c r="L46" s="33" t="b">
        <f t="shared" si="2"/>
        <v>0</v>
      </c>
      <c r="M46" s="40" t="e">
        <f t="shared" si="6"/>
        <v>#VALUE!</v>
      </c>
      <c r="N46" s="40" t="b">
        <f t="shared" si="7"/>
        <v>0</v>
      </c>
      <c r="O46" s="41" t="e">
        <f t="shared" si="8"/>
        <v>#VALUE!</v>
      </c>
      <c r="P46" s="41" t="b">
        <f t="shared" si="3"/>
        <v>0</v>
      </c>
      <c r="Q46" s="27"/>
      <c r="R46" s="27"/>
      <c r="S46" s="43"/>
      <c r="T46" s="27"/>
      <c r="U46" s="1"/>
      <c r="V46" s="1"/>
      <c r="W46" s="1"/>
      <c r="X46" s="1"/>
      <c r="Y46" s="1"/>
      <c r="Z46" s="15"/>
      <c r="AA46" s="15"/>
    </row>
    <row r="47" spans="1:27">
      <c r="A47" s="27"/>
      <c r="B47" s="26"/>
      <c r="C47" s="27"/>
      <c r="D47" s="27"/>
      <c r="E47" s="27"/>
      <c r="F47" s="31" t="b">
        <f t="shared" si="4"/>
        <v>0</v>
      </c>
      <c r="G47" s="32" t="b">
        <f t="shared" si="0"/>
        <v>0</v>
      </c>
      <c r="H47" s="27"/>
      <c r="I47" s="33" t="b">
        <f t="shared" si="5"/>
        <v>0</v>
      </c>
      <c r="J47" s="32" t="b">
        <f t="shared" si="1"/>
        <v>0</v>
      </c>
      <c r="K47" s="27"/>
      <c r="L47" s="33" t="b">
        <f t="shared" si="2"/>
        <v>0</v>
      </c>
      <c r="M47" s="40" t="e">
        <f t="shared" si="6"/>
        <v>#VALUE!</v>
      </c>
      <c r="N47" s="40" t="b">
        <f t="shared" si="7"/>
        <v>0</v>
      </c>
      <c r="O47" s="41" t="e">
        <f t="shared" si="8"/>
        <v>#VALUE!</v>
      </c>
      <c r="P47" s="41" t="b">
        <f t="shared" si="3"/>
        <v>0</v>
      </c>
      <c r="Q47" s="27"/>
      <c r="R47" s="27"/>
      <c r="S47" s="43"/>
      <c r="T47" s="27"/>
      <c r="U47" s="1"/>
      <c r="V47" s="1"/>
      <c r="W47" s="1"/>
      <c r="X47" s="1"/>
      <c r="Y47" s="1"/>
      <c r="Z47" s="15"/>
      <c r="AA47" s="15"/>
    </row>
    <row r="48" spans="1:27">
      <c r="A48" s="27"/>
      <c r="B48" s="26"/>
      <c r="C48" s="27"/>
      <c r="D48" s="27"/>
      <c r="E48" s="27"/>
      <c r="F48" s="31" t="b">
        <f t="shared" si="4"/>
        <v>0</v>
      </c>
      <c r="G48" s="32" t="b">
        <f t="shared" si="0"/>
        <v>0</v>
      </c>
      <c r="H48" s="27"/>
      <c r="I48" s="33" t="b">
        <f t="shared" si="5"/>
        <v>0</v>
      </c>
      <c r="J48" s="32" t="b">
        <f t="shared" si="1"/>
        <v>0</v>
      </c>
      <c r="K48" s="27"/>
      <c r="L48" s="33" t="b">
        <f t="shared" si="2"/>
        <v>0</v>
      </c>
      <c r="M48" s="40" t="e">
        <f t="shared" si="6"/>
        <v>#VALUE!</v>
      </c>
      <c r="N48" s="40" t="b">
        <f t="shared" si="7"/>
        <v>0</v>
      </c>
      <c r="O48" s="41" t="e">
        <f t="shared" si="8"/>
        <v>#VALUE!</v>
      </c>
      <c r="P48" s="41" t="b">
        <f t="shared" si="3"/>
        <v>0</v>
      </c>
      <c r="Q48" s="27"/>
      <c r="R48" s="27"/>
      <c r="S48" s="43"/>
      <c r="T48" s="27"/>
      <c r="U48" s="1"/>
      <c r="V48" s="1"/>
      <c r="W48" s="1"/>
      <c r="X48" s="1"/>
      <c r="Y48" s="1"/>
      <c r="Z48" s="15"/>
      <c r="AA48" s="15"/>
    </row>
    <row r="49" spans="1:27">
      <c r="A49" s="27"/>
      <c r="B49" s="26"/>
      <c r="C49" s="27"/>
      <c r="D49" s="27"/>
      <c r="E49" s="27"/>
      <c r="F49" s="31" t="b">
        <f t="shared" si="4"/>
        <v>0</v>
      </c>
      <c r="G49" s="32" t="b">
        <f t="shared" si="0"/>
        <v>0</v>
      </c>
      <c r="H49" s="27"/>
      <c r="I49" s="33" t="b">
        <f t="shared" si="5"/>
        <v>0</v>
      </c>
      <c r="J49" s="32" t="b">
        <f t="shared" si="1"/>
        <v>0</v>
      </c>
      <c r="K49" s="27"/>
      <c r="L49" s="33" t="b">
        <f t="shared" si="2"/>
        <v>0</v>
      </c>
      <c r="M49" s="40" t="e">
        <f t="shared" si="6"/>
        <v>#VALUE!</v>
      </c>
      <c r="N49" s="40" t="b">
        <f t="shared" si="7"/>
        <v>0</v>
      </c>
      <c r="O49" s="41" t="e">
        <f t="shared" si="8"/>
        <v>#VALUE!</v>
      </c>
      <c r="P49" s="41" t="b">
        <f t="shared" si="3"/>
        <v>0</v>
      </c>
      <c r="Q49" s="27"/>
      <c r="R49" s="27"/>
      <c r="S49" s="43"/>
      <c r="T49" s="27"/>
      <c r="U49" s="1"/>
      <c r="V49" s="1"/>
      <c r="W49" s="1"/>
      <c r="X49" s="1"/>
      <c r="Y49" s="1"/>
      <c r="Z49" s="15"/>
      <c r="AA49" s="15"/>
    </row>
    <row r="50" spans="1:27">
      <c r="A50" s="27"/>
      <c r="B50" s="26"/>
      <c r="C50" s="27"/>
      <c r="D50" s="27"/>
      <c r="E50" s="27"/>
      <c r="F50" s="31" t="b">
        <f t="shared" si="4"/>
        <v>0</v>
      </c>
      <c r="G50" s="32" t="b">
        <f t="shared" si="0"/>
        <v>0</v>
      </c>
      <c r="H50" s="27"/>
      <c r="I50" s="33" t="b">
        <f t="shared" si="5"/>
        <v>0</v>
      </c>
      <c r="J50" s="32" t="b">
        <f t="shared" si="1"/>
        <v>0</v>
      </c>
      <c r="K50" s="27"/>
      <c r="L50" s="33" t="b">
        <f t="shared" si="2"/>
        <v>0</v>
      </c>
      <c r="M50" s="40" t="e">
        <f t="shared" si="6"/>
        <v>#VALUE!</v>
      </c>
      <c r="N50" s="40" t="b">
        <f t="shared" si="7"/>
        <v>0</v>
      </c>
      <c r="O50" s="41" t="e">
        <f t="shared" si="8"/>
        <v>#VALUE!</v>
      </c>
      <c r="P50" s="41" t="b">
        <f t="shared" si="3"/>
        <v>0</v>
      </c>
      <c r="Q50" s="27"/>
      <c r="R50" s="27"/>
      <c r="S50" s="43"/>
      <c r="T50" s="27"/>
      <c r="U50" s="1"/>
      <c r="V50" s="1"/>
      <c r="W50" s="1"/>
      <c r="X50" s="1"/>
      <c r="Y50" s="1"/>
      <c r="Z50" s="15"/>
      <c r="AA50" s="15"/>
    </row>
    <row r="51" spans="1:27">
      <c r="A51" s="27"/>
      <c r="B51" s="26"/>
      <c r="C51" s="27"/>
      <c r="D51" s="27"/>
      <c r="E51" s="27"/>
      <c r="F51" s="31" t="b">
        <f t="shared" si="4"/>
        <v>0</v>
      </c>
      <c r="G51" s="32" t="b">
        <f t="shared" si="0"/>
        <v>0</v>
      </c>
      <c r="H51" s="27"/>
      <c r="I51" s="33" t="b">
        <f t="shared" si="5"/>
        <v>0</v>
      </c>
      <c r="J51" s="32" t="b">
        <f t="shared" si="1"/>
        <v>0</v>
      </c>
      <c r="K51" s="27"/>
      <c r="L51" s="33" t="b">
        <f t="shared" si="2"/>
        <v>0</v>
      </c>
      <c r="M51" s="40" t="e">
        <f t="shared" si="6"/>
        <v>#VALUE!</v>
      </c>
      <c r="N51" s="40" t="b">
        <f t="shared" si="7"/>
        <v>0</v>
      </c>
      <c r="O51" s="41" t="e">
        <f t="shared" si="8"/>
        <v>#VALUE!</v>
      </c>
      <c r="P51" s="41" t="b">
        <f t="shared" si="3"/>
        <v>0</v>
      </c>
      <c r="Q51" s="27"/>
      <c r="R51" s="27"/>
      <c r="S51" s="43"/>
      <c r="T51" s="27"/>
      <c r="U51" s="1"/>
      <c r="V51" s="1"/>
      <c r="W51" s="1"/>
      <c r="X51" s="1"/>
      <c r="Y51" s="1"/>
      <c r="Z51" s="15"/>
      <c r="AA51" s="15"/>
    </row>
    <row r="52" spans="1:27">
      <c r="A52" s="27"/>
      <c r="B52" s="26"/>
      <c r="C52" s="27"/>
      <c r="D52" s="27"/>
      <c r="E52" s="27"/>
      <c r="F52" s="31" t="b">
        <f t="shared" si="4"/>
        <v>0</v>
      </c>
      <c r="G52" s="32" t="b">
        <f t="shared" si="0"/>
        <v>0</v>
      </c>
      <c r="H52" s="27"/>
      <c r="I52" s="33" t="b">
        <f t="shared" si="5"/>
        <v>0</v>
      </c>
      <c r="J52" s="32" t="b">
        <f t="shared" si="1"/>
        <v>0</v>
      </c>
      <c r="K52" s="27"/>
      <c r="L52" s="33" t="b">
        <f t="shared" si="2"/>
        <v>0</v>
      </c>
      <c r="M52" s="40" t="e">
        <f t="shared" si="6"/>
        <v>#VALUE!</v>
      </c>
      <c r="N52" s="40" t="b">
        <f t="shared" si="7"/>
        <v>0</v>
      </c>
      <c r="O52" s="41" t="e">
        <f t="shared" si="8"/>
        <v>#VALUE!</v>
      </c>
      <c r="P52" s="41" t="b">
        <f t="shared" si="3"/>
        <v>0</v>
      </c>
      <c r="Q52" s="27"/>
      <c r="R52" s="27"/>
      <c r="S52" s="43"/>
      <c r="T52" s="27"/>
      <c r="U52" s="1"/>
      <c r="V52" s="1"/>
      <c r="W52" s="1"/>
      <c r="X52" s="1"/>
      <c r="Y52" s="1"/>
      <c r="Z52" s="15"/>
      <c r="AA52" s="15"/>
    </row>
    <row r="53" spans="1:27">
      <c r="A53" s="27"/>
      <c r="B53" s="26"/>
      <c r="C53" s="27"/>
      <c r="D53" s="27"/>
      <c r="E53" s="27"/>
      <c r="F53" s="31" t="b">
        <f t="shared" si="4"/>
        <v>0</v>
      </c>
      <c r="G53" s="32" t="b">
        <f t="shared" si="0"/>
        <v>0</v>
      </c>
      <c r="H53" s="27"/>
      <c r="I53" s="33" t="b">
        <f t="shared" si="5"/>
        <v>0</v>
      </c>
      <c r="J53" s="32" t="b">
        <f t="shared" si="1"/>
        <v>0</v>
      </c>
      <c r="K53" s="27"/>
      <c r="L53" s="33" t="b">
        <f t="shared" si="2"/>
        <v>0</v>
      </c>
      <c r="M53" s="40" t="e">
        <f t="shared" si="6"/>
        <v>#VALUE!</v>
      </c>
      <c r="N53" s="40" t="b">
        <f t="shared" si="7"/>
        <v>0</v>
      </c>
      <c r="O53" s="41" t="e">
        <f t="shared" si="8"/>
        <v>#VALUE!</v>
      </c>
      <c r="P53" s="41" t="b">
        <f t="shared" si="3"/>
        <v>0</v>
      </c>
      <c r="Q53" s="27"/>
      <c r="R53" s="27"/>
      <c r="S53" s="43"/>
      <c r="T53" s="27"/>
      <c r="U53" s="1"/>
      <c r="V53" s="1"/>
      <c r="W53" s="1"/>
      <c r="X53" s="1"/>
      <c r="Y53" s="1"/>
      <c r="Z53" s="15"/>
      <c r="AA53" s="15"/>
    </row>
    <row r="54" spans="1:27">
      <c r="A54" s="27"/>
      <c r="B54" s="26"/>
      <c r="C54" s="27"/>
      <c r="D54" s="27"/>
      <c r="E54" s="27"/>
      <c r="F54" s="31" t="b">
        <f t="shared" si="4"/>
        <v>0</v>
      </c>
      <c r="G54" s="32" t="b">
        <f t="shared" si="0"/>
        <v>0</v>
      </c>
      <c r="H54" s="27"/>
      <c r="I54" s="33" t="b">
        <f t="shared" si="5"/>
        <v>0</v>
      </c>
      <c r="J54" s="32" t="b">
        <f t="shared" si="1"/>
        <v>0</v>
      </c>
      <c r="K54" s="27"/>
      <c r="L54" s="33" t="b">
        <f t="shared" si="2"/>
        <v>0</v>
      </c>
      <c r="M54" s="40" t="e">
        <f t="shared" si="6"/>
        <v>#VALUE!</v>
      </c>
      <c r="N54" s="40" t="b">
        <f t="shared" si="7"/>
        <v>0</v>
      </c>
      <c r="O54" s="41" t="e">
        <f t="shared" si="8"/>
        <v>#VALUE!</v>
      </c>
      <c r="P54" s="41" t="b">
        <f t="shared" si="3"/>
        <v>0</v>
      </c>
      <c r="Q54" s="27"/>
      <c r="R54" s="27"/>
      <c r="S54" s="43"/>
      <c r="T54" s="27"/>
      <c r="U54" s="1"/>
      <c r="V54" s="1"/>
      <c r="W54" s="1"/>
      <c r="X54" s="1"/>
      <c r="Y54" s="1"/>
      <c r="Z54" s="15"/>
      <c r="AA54" s="15"/>
    </row>
    <row r="55" spans="1:27">
      <c r="A55" s="27"/>
      <c r="B55" s="26"/>
      <c r="C55" s="27"/>
      <c r="D55" s="27"/>
      <c r="E55" s="27"/>
      <c r="F55" s="31" t="b">
        <f t="shared" si="4"/>
        <v>0</v>
      </c>
      <c r="G55" s="32" t="b">
        <f t="shared" si="0"/>
        <v>0</v>
      </c>
      <c r="H55" s="27"/>
      <c r="I55" s="33" t="b">
        <f t="shared" si="5"/>
        <v>0</v>
      </c>
      <c r="J55" s="32" t="b">
        <f t="shared" si="1"/>
        <v>0</v>
      </c>
      <c r="K55" s="27"/>
      <c r="L55" s="33" t="b">
        <f t="shared" si="2"/>
        <v>0</v>
      </c>
      <c r="M55" s="40" t="e">
        <f t="shared" si="6"/>
        <v>#VALUE!</v>
      </c>
      <c r="N55" s="40" t="b">
        <f t="shared" si="7"/>
        <v>0</v>
      </c>
      <c r="O55" s="41" t="e">
        <f t="shared" si="8"/>
        <v>#VALUE!</v>
      </c>
      <c r="P55" s="41" t="b">
        <f t="shared" si="3"/>
        <v>0</v>
      </c>
      <c r="Q55" s="27"/>
      <c r="R55" s="27"/>
      <c r="S55" s="43"/>
      <c r="T55" s="27"/>
      <c r="U55" s="1"/>
      <c r="V55" s="1"/>
      <c r="W55" s="1"/>
      <c r="X55" s="1"/>
      <c r="Y55" s="1"/>
      <c r="Z55" s="15"/>
      <c r="AA55" s="15"/>
    </row>
    <row r="56" spans="1:27">
      <c r="A56" s="27"/>
      <c r="B56" s="26"/>
      <c r="C56" s="27"/>
      <c r="D56" s="27"/>
      <c r="E56" s="27"/>
      <c r="F56" s="31" t="b">
        <f t="shared" si="4"/>
        <v>0</v>
      </c>
      <c r="G56" s="32" t="b">
        <f t="shared" si="0"/>
        <v>0</v>
      </c>
      <c r="H56" s="27"/>
      <c r="I56" s="33" t="b">
        <f t="shared" si="5"/>
        <v>0</v>
      </c>
      <c r="J56" s="32" t="b">
        <f t="shared" si="1"/>
        <v>0</v>
      </c>
      <c r="K56" s="27"/>
      <c r="L56" s="33" t="b">
        <f t="shared" si="2"/>
        <v>0</v>
      </c>
      <c r="M56" s="40" t="e">
        <f t="shared" si="6"/>
        <v>#VALUE!</v>
      </c>
      <c r="N56" s="40" t="b">
        <f t="shared" si="7"/>
        <v>0</v>
      </c>
      <c r="O56" s="41" t="e">
        <f t="shared" si="8"/>
        <v>#VALUE!</v>
      </c>
      <c r="P56" s="41" t="b">
        <f t="shared" si="3"/>
        <v>0</v>
      </c>
      <c r="Q56" s="27"/>
      <c r="R56" s="27"/>
      <c r="S56" s="43"/>
      <c r="T56" s="27"/>
      <c r="U56" s="1"/>
      <c r="V56" s="1"/>
      <c r="W56" s="1"/>
      <c r="X56" s="1"/>
      <c r="Y56" s="1"/>
      <c r="Z56" s="15"/>
      <c r="AA56" s="15"/>
    </row>
    <row r="57" spans="1:27">
      <c r="A57" s="27"/>
      <c r="B57" s="26"/>
      <c r="C57" s="27"/>
      <c r="D57" s="27"/>
      <c r="E57" s="27"/>
      <c r="F57" s="31" t="b">
        <f t="shared" si="4"/>
        <v>0</v>
      </c>
      <c r="G57" s="32" t="b">
        <f t="shared" si="0"/>
        <v>0</v>
      </c>
      <c r="H57" s="27"/>
      <c r="I57" s="33" t="b">
        <f t="shared" si="5"/>
        <v>0</v>
      </c>
      <c r="J57" s="32" t="b">
        <f t="shared" si="1"/>
        <v>0</v>
      </c>
      <c r="K57" s="27"/>
      <c r="L57" s="33" t="b">
        <f t="shared" si="2"/>
        <v>0</v>
      </c>
      <c r="M57" s="40" t="e">
        <f t="shared" si="6"/>
        <v>#VALUE!</v>
      </c>
      <c r="N57" s="40" t="b">
        <f t="shared" si="7"/>
        <v>0</v>
      </c>
      <c r="O57" s="41" t="e">
        <f t="shared" si="8"/>
        <v>#VALUE!</v>
      </c>
      <c r="P57" s="41" t="b">
        <f t="shared" si="3"/>
        <v>0</v>
      </c>
      <c r="Q57" s="27"/>
      <c r="R57" s="27"/>
      <c r="S57" s="43"/>
      <c r="T57" s="27"/>
      <c r="U57" s="1"/>
      <c r="V57" s="1"/>
      <c r="W57" s="1"/>
      <c r="X57" s="1"/>
      <c r="Y57" s="1"/>
      <c r="Z57" s="15"/>
      <c r="AA57" s="15"/>
    </row>
    <row r="58" spans="1:27">
      <c r="A58" s="27"/>
      <c r="B58" s="26"/>
      <c r="C58" s="27"/>
      <c r="D58" s="27"/>
      <c r="E58" s="27"/>
      <c r="F58" s="31" t="b">
        <f t="shared" si="4"/>
        <v>0</v>
      </c>
      <c r="G58" s="32" t="b">
        <f t="shared" si="0"/>
        <v>0</v>
      </c>
      <c r="H58" s="27"/>
      <c r="I58" s="33" t="b">
        <f t="shared" si="5"/>
        <v>0</v>
      </c>
      <c r="J58" s="32" t="b">
        <f t="shared" si="1"/>
        <v>0</v>
      </c>
      <c r="K58" s="27"/>
      <c r="L58" s="33" t="b">
        <f t="shared" si="2"/>
        <v>0</v>
      </c>
      <c r="M58" s="40" t="e">
        <f t="shared" si="6"/>
        <v>#VALUE!</v>
      </c>
      <c r="N58" s="40" t="b">
        <f t="shared" si="7"/>
        <v>0</v>
      </c>
      <c r="O58" s="41" t="e">
        <f t="shared" si="8"/>
        <v>#VALUE!</v>
      </c>
      <c r="P58" s="41" t="b">
        <f t="shared" si="3"/>
        <v>0</v>
      </c>
      <c r="Q58" s="27"/>
      <c r="R58" s="27"/>
      <c r="S58" s="43"/>
      <c r="T58" s="27"/>
      <c r="U58" s="1"/>
      <c r="V58" s="1"/>
      <c r="W58" s="1"/>
      <c r="X58" s="1"/>
      <c r="Y58" s="1"/>
      <c r="Z58" s="15"/>
      <c r="AA58" s="15"/>
    </row>
    <row r="59" spans="1:27">
      <c r="A59" s="27"/>
      <c r="B59" s="26"/>
      <c r="C59" s="27"/>
      <c r="D59" s="27"/>
      <c r="E59" s="27"/>
      <c r="F59" s="31" t="b">
        <f t="shared" si="4"/>
        <v>0</v>
      </c>
      <c r="G59" s="32" t="b">
        <f t="shared" si="0"/>
        <v>0</v>
      </c>
      <c r="H59" s="27"/>
      <c r="I59" s="33" t="b">
        <f t="shared" si="5"/>
        <v>0</v>
      </c>
      <c r="J59" s="32" t="b">
        <f t="shared" si="1"/>
        <v>0</v>
      </c>
      <c r="K59" s="27"/>
      <c r="L59" s="33" t="b">
        <f t="shared" si="2"/>
        <v>0</v>
      </c>
      <c r="M59" s="40" t="e">
        <f t="shared" si="6"/>
        <v>#VALUE!</v>
      </c>
      <c r="N59" s="40" t="b">
        <f t="shared" si="7"/>
        <v>0</v>
      </c>
      <c r="O59" s="41" t="e">
        <f t="shared" si="8"/>
        <v>#VALUE!</v>
      </c>
      <c r="P59" s="41" t="b">
        <f t="shared" si="3"/>
        <v>0</v>
      </c>
      <c r="Q59" s="27"/>
      <c r="R59" s="27"/>
      <c r="S59" s="43"/>
      <c r="T59" s="27"/>
      <c r="U59" s="1"/>
      <c r="V59" s="1"/>
      <c r="W59" s="1"/>
      <c r="X59" s="1"/>
      <c r="Y59" s="1"/>
      <c r="Z59" s="15"/>
      <c r="AA59" s="15"/>
    </row>
    <row r="60" spans="1:27">
      <c r="A60" s="27"/>
      <c r="B60" s="26"/>
      <c r="C60" s="27"/>
      <c r="D60" s="27"/>
      <c r="E60" s="27"/>
      <c r="F60" s="31" t="b">
        <f t="shared" si="4"/>
        <v>0</v>
      </c>
      <c r="G60" s="32" t="b">
        <f t="shared" si="0"/>
        <v>0</v>
      </c>
      <c r="H60" s="27"/>
      <c r="I60" s="33" t="b">
        <f t="shared" si="5"/>
        <v>0</v>
      </c>
      <c r="J60" s="32" t="b">
        <f t="shared" si="1"/>
        <v>0</v>
      </c>
      <c r="K60" s="27"/>
      <c r="L60" s="33" t="b">
        <f t="shared" si="2"/>
        <v>0</v>
      </c>
      <c r="M60" s="40" t="e">
        <f t="shared" si="6"/>
        <v>#VALUE!</v>
      </c>
      <c r="N60" s="40" t="b">
        <f t="shared" si="7"/>
        <v>0</v>
      </c>
      <c r="O60" s="41" t="e">
        <f t="shared" si="8"/>
        <v>#VALUE!</v>
      </c>
      <c r="P60" s="41" t="b">
        <f t="shared" si="3"/>
        <v>0</v>
      </c>
      <c r="Q60" s="27"/>
      <c r="R60" s="27"/>
      <c r="S60" s="43"/>
      <c r="T60" s="27"/>
      <c r="U60" s="1"/>
      <c r="V60" s="1"/>
      <c r="W60" s="1"/>
      <c r="X60" s="1"/>
      <c r="Y60" s="1"/>
      <c r="Z60" s="15"/>
      <c r="AA60" s="15"/>
    </row>
    <row r="61" spans="1:27">
      <c r="A61" s="27"/>
      <c r="B61" s="26"/>
      <c r="C61" s="27"/>
      <c r="D61" s="27"/>
      <c r="E61" s="27"/>
      <c r="F61" s="31" t="b">
        <f t="shared" si="4"/>
        <v>0</v>
      </c>
      <c r="G61" s="32" t="b">
        <f t="shared" si="0"/>
        <v>0</v>
      </c>
      <c r="H61" s="27"/>
      <c r="I61" s="33" t="b">
        <f t="shared" si="5"/>
        <v>0</v>
      </c>
      <c r="J61" s="32" t="b">
        <f t="shared" si="1"/>
        <v>0</v>
      </c>
      <c r="K61" s="27"/>
      <c r="L61" s="33" t="b">
        <f t="shared" si="2"/>
        <v>0</v>
      </c>
      <c r="M61" s="40" t="e">
        <f t="shared" si="6"/>
        <v>#VALUE!</v>
      </c>
      <c r="N61" s="40" t="b">
        <f t="shared" si="7"/>
        <v>0</v>
      </c>
      <c r="O61" s="41" t="e">
        <f t="shared" si="8"/>
        <v>#VALUE!</v>
      </c>
      <c r="P61" s="41" t="b">
        <f t="shared" si="3"/>
        <v>0</v>
      </c>
      <c r="Q61" s="27"/>
      <c r="R61" s="27"/>
      <c r="S61" s="43"/>
      <c r="T61" s="27"/>
      <c r="U61" s="1"/>
      <c r="V61" s="1"/>
      <c r="W61" s="1"/>
      <c r="X61" s="1"/>
      <c r="Y61" s="1"/>
      <c r="Z61" s="15"/>
      <c r="AA61" s="15"/>
    </row>
    <row r="62" spans="1:27">
      <c r="A62" s="27"/>
      <c r="B62" s="26"/>
      <c r="C62" s="27"/>
      <c r="D62" s="27"/>
      <c r="E62" s="27"/>
      <c r="F62" s="31" t="b">
        <f t="shared" si="4"/>
        <v>0</v>
      </c>
      <c r="G62" s="32" t="b">
        <f t="shared" si="0"/>
        <v>0</v>
      </c>
      <c r="H62" s="27"/>
      <c r="I62" s="33" t="b">
        <f t="shared" si="5"/>
        <v>0</v>
      </c>
      <c r="J62" s="32" t="b">
        <f t="shared" si="1"/>
        <v>0</v>
      </c>
      <c r="K62" s="27"/>
      <c r="L62" s="33" t="b">
        <f t="shared" si="2"/>
        <v>0</v>
      </c>
      <c r="M62" s="40" t="e">
        <f t="shared" si="6"/>
        <v>#VALUE!</v>
      </c>
      <c r="N62" s="40" t="b">
        <f t="shared" si="7"/>
        <v>0</v>
      </c>
      <c r="O62" s="41" t="e">
        <f t="shared" si="8"/>
        <v>#VALUE!</v>
      </c>
      <c r="P62" s="41" t="b">
        <f t="shared" si="3"/>
        <v>0</v>
      </c>
      <c r="Q62" s="27"/>
      <c r="R62" s="27"/>
      <c r="S62" s="43"/>
      <c r="T62" s="27"/>
      <c r="U62" s="1"/>
      <c r="V62" s="1"/>
      <c r="W62" s="1"/>
      <c r="X62" s="1"/>
      <c r="Y62" s="1"/>
      <c r="Z62" s="15"/>
      <c r="AA62" s="15"/>
    </row>
    <row r="63" spans="1:27">
      <c r="A63" s="27"/>
      <c r="B63" s="26"/>
      <c r="C63" s="27"/>
      <c r="D63" s="27"/>
      <c r="E63" s="27"/>
      <c r="F63" s="31" t="b">
        <f t="shared" si="4"/>
        <v>0</v>
      </c>
      <c r="G63" s="32" t="b">
        <f t="shared" si="0"/>
        <v>0</v>
      </c>
      <c r="H63" s="27"/>
      <c r="I63" s="33" t="b">
        <f t="shared" si="5"/>
        <v>0</v>
      </c>
      <c r="J63" s="32" t="b">
        <f t="shared" si="1"/>
        <v>0</v>
      </c>
      <c r="K63" s="27"/>
      <c r="L63" s="33" t="b">
        <f t="shared" si="2"/>
        <v>0</v>
      </c>
      <c r="M63" s="40" t="e">
        <f t="shared" si="6"/>
        <v>#VALUE!</v>
      </c>
      <c r="N63" s="40" t="b">
        <f t="shared" si="7"/>
        <v>0</v>
      </c>
      <c r="O63" s="41" t="e">
        <f t="shared" si="8"/>
        <v>#VALUE!</v>
      </c>
      <c r="P63" s="41" t="b">
        <f t="shared" si="3"/>
        <v>0</v>
      </c>
      <c r="Q63" s="27"/>
      <c r="R63" s="27"/>
      <c r="S63" s="43"/>
      <c r="T63" s="27"/>
      <c r="U63" s="1"/>
      <c r="V63" s="1"/>
      <c r="W63" s="1"/>
      <c r="X63" s="1"/>
      <c r="Y63" s="1"/>
      <c r="Z63" s="15"/>
      <c r="AA63" s="15"/>
    </row>
    <row r="64" spans="1:27">
      <c r="A64" s="27"/>
      <c r="B64" s="26"/>
      <c r="C64" s="27"/>
      <c r="D64" s="27"/>
      <c r="E64" s="27"/>
      <c r="F64" s="31" t="b">
        <f t="shared" si="4"/>
        <v>0</v>
      </c>
      <c r="G64" s="32" t="b">
        <f t="shared" si="0"/>
        <v>0</v>
      </c>
      <c r="H64" s="27"/>
      <c r="I64" s="33" t="b">
        <f t="shared" si="5"/>
        <v>0</v>
      </c>
      <c r="J64" s="32" t="b">
        <f t="shared" si="1"/>
        <v>0</v>
      </c>
      <c r="K64" s="27"/>
      <c r="L64" s="33" t="b">
        <f t="shared" si="2"/>
        <v>0</v>
      </c>
      <c r="M64" s="40" t="e">
        <f t="shared" si="6"/>
        <v>#VALUE!</v>
      </c>
      <c r="N64" s="40" t="b">
        <f t="shared" si="7"/>
        <v>0</v>
      </c>
      <c r="O64" s="41" t="e">
        <f t="shared" si="8"/>
        <v>#VALUE!</v>
      </c>
      <c r="P64" s="41" t="b">
        <f t="shared" si="3"/>
        <v>0</v>
      </c>
      <c r="Q64" s="27"/>
      <c r="R64" s="27"/>
      <c r="S64" s="43"/>
      <c r="T64" s="27"/>
      <c r="U64" s="1"/>
      <c r="V64" s="1"/>
      <c r="W64" s="1"/>
      <c r="X64" s="1"/>
      <c r="Y64" s="1"/>
      <c r="Z64" s="15"/>
      <c r="AA64" s="15"/>
    </row>
    <row r="65" spans="1:27">
      <c r="A65" s="27"/>
      <c r="B65" s="26"/>
      <c r="C65" s="27"/>
      <c r="D65" s="27"/>
      <c r="E65" s="27"/>
      <c r="F65" s="31" t="b">
        <f t="shared" si="4"/>
        <v>0</v>
      </c>
      <c r="G65" s="32" t="b">
        <f t="shared" si="0"/>
        <v>0</v>
      </c>
      <c r="H65" s="27"/>
      <c r="I65" s="33" t="b">
        <f t="shared" si="5"/>
        <v>0</v>
      </c>
      <c r="J65" s="32" t="b">
        <f t="shared" si="1"/>
        <v>0</v>
      </c>
      <c r="K65" s="27"/>
      <c r="L65" s="33" t="b">
        <f t="shared" si="2"/>
        <v>0</v>
      </c>
      <c r="M65" s="40" t="e">
        <f t="shared" si="6"/>
        <v>#VALUE!</v>
      </c>
      <c r="N65" s="40" t="b">
        <f t="shared" si="7"/>
        <v>0</v>
      </c>
      <c r="O65" s="41" t="e">
        <f t="shared" si="8"/>
        <v>#VALUE!</v>
      </c>
      <c r="P65" s="41" t="b">
        <f t="shared" si="3"/>
        <v>0</v>
      </c>
      <c r="Q65" s="27"/>
      <c r="R65" s="27"/>
      <c r="S65" s="43"/>
      <c r="T65" s="27"/>
      <c r="U65" s="1"/>
      <c r="V65" s="1"/>
      <c r="W65" s="1"/>
      <c r="X65" s="1"/>
      <c r="Y65" s="1"/>
      <c r="Z65" s="15"/>
      <c r="AA65" s="15"/>
    </row>
    <row r="66" spans="1:27">
      <c r="A66" s="27"/>
      <c r="B66" s="26"/>
      <c r="C66" s="27"/>
      <c r="D66" s="27"/>
      <c r="E66" s="27"/>
      <c r="F66" s="31" t="b">
        <f t="shared" si="4"/>
        <v>0</v>
      </c>
      <c r="G66" s="32" t="b">
        <f t="shared" si="0"/>
        <v>0</v>
      </c>
      <c r="H66" s="27"/>
      <c r="I66" s="33" t="b">
        <f t="shared" si="5"/>
        <v>0</v>
      </c>
      <c r="J66" s="32" t="b">
        <f t="shared" si="1"/>
        <v>0</v>
      </c>
      <c r="K66" s="27"/>
      <c r="L66" s="33" t="b">
        <f t="shared" si="2"/>
        <v>0</v>
      </c>
      <c r="M66" s="40" t="e">
        <f t="shared" si="6"/>
        <v>#VALUE!</v>
      </c>
      <c r="N66" s="40" t="b">
        <f t="shared" si="7"/>
        <v>0</v>
      </c>
      <c r="O66" s="41" t="e">
        <f t="shared" si="8"/>
        <v>#VALUE!</v>
      </c>
      <c r="P66" s="41" t="b">
        <f t="shared" si="3"/>
        <v>0</v>
      </c>
      <c r="Q66" s="27"/>
      <c r="R66" s="27"/>
      <c r="S66" s="43"/>
      <c r="T66" s="27"/>
      <c r="U66" s="1"/>
      <c r="V66" s="1"/>
      <c r="W66" s="1"/>
      <c r="X66" s="1"/>
      <c r="Y66" s="1"/>
      <c r="Z66" s="15"/>
      <c r="AA66" s="15"/>
    </row>
    <row r="67" spans="1:27">
      <c r="A67" s="27"/>
      <c r="B67" s="26"/>
      <c r="C67" s="27"/>
      <c r="D67" s="27"/>
      <c r="E67" s="27"/>
      <c r="F67" s="31" t="b">
        <f t="shared" si="4"/>
        <v>0</v>
      </c>
      <c r="G67" s="32" t="b">
        <f t="shared" si="0"/>
        <v>0</v>
      </c>
      <c r="H67" s="27"/>
      <c r="I67" s="33" t="b">
        <f t="shared" si="5"/>
        <v>0</v>
      </c>
      <c r="J67" s="32" t="b">
        <f t="shared" si="1"/>
        <v>0</v>
      </c>
      <c r="K67" s="27"/>
      <c r="L67" s="33" t="b">
        <f t="shared" si="2"/>
        <v>0</v>
      </c>
      <c r="M67" s="40" t="e">
        <f t="shared" si="6"/>
        <v>#VALUE!</v>
      </c>
      <c r="N67" s="40" t="b">
        <f t="shared" si="7"/>
        <v>0</v>
      </c>
      <c r="O67" s="41" t="e">
        <f t="shared" si="8"/>
        <v>#VALUE!</v>
      </c>
      <c r="P67" s="41" t="b">
        <f t="shared" si="3"/>
        <v>0</v>
      </c>
      <c r="Q67" s="27"/>
      <c r="R67" s="27"/>
      <c r="S67" s="43"/>
      <c r="T67" s="27"/>
      <c r="U67" s="1"/>
      <c r="V67" s="1"/>
      <c r="W67" s="1"/>
      <c r="X67" s="1"/>
      <c r="Y67" s="1"/>
      <c r="Z67" s="15"/>
      <c r="AA67" s="15"/>
    </row>
    <row r="68" spans="1:27">
      <c r="A68" s="27"/>
      <c r="B68" s="26"/>
      <c r="C68" s="27"/>
      <c r="D68" s="27"/>
      <c r="E68" s="27"/>
      <c r="F68" s="31" t="b">
        <f t="shared" ref="F68:F101" si="9">IF(B68="BUY",(C68*(1-2%)),IF(B68="SELL",(C68*(1+2%))))</f>
        <v>0</v>
      </c>
      <c r="G68" s="32" t="b">
        <f t="shared" si="0"/>
        <v>0</v>
      </c>
      <c r="H68" s="27"/>
      <c r="I68" s="33" t="b">
        <f t="shared" si="5"/>
        <v>0</v>
      </c>
      <c r="J68" s="32" t="b">
        <f t="shared" si="1"/>
        <v>0</v>
      </c>
      <c r="K68" s="27"/>
      <c r="L68" s="33" t="b">
        <f t="shared" si="2"/>
        <v>0</v>
      </c>
      <c r="M68" s="40" t="e">
        <f t="shared" si="6"/>
        <v>#VALUE!</v>
      </c>
      <c r="N68" s="40" t="b">
        <f t="shared" si="7"/>
        <v>0</v>
      </c>
      <c r="O68" s="41" t="e">
        <f t="shared" si="8"/>
        <v>#VALUE!</v>
      </c>
      <c r="P68" s="41" t="b">
        <f t="shared" si="3"/>
        <v>0</v>
      </c>
      <c r="Q68" s="27"/>
      <c r="R68" s="27"/>
      <c r="S68" s="43"/>
      <c r="T68" s="27"/>
      <c r="U68" s="1"/>
      <c r="V68" s="1"/>
      <c r="W68" s="1"/>
      <c r="X68" s="1"/>
      <c r="Y68" s="1"/>
      <c r="Z68" s="15"/>
      <c r="AA68" s="15"/>
    </row>
    <row r="69" spans="1:27">
      <c r="A69" s="27"/>
      <c r="B69" s="26"/>
      <c r="C69" s="27"/>
      <c r="D69" s="27"/>
      <c r="E69" s="27"/>
      <c r="F69" s="31" t="b">
        <f t="shared" si="9"/>
        <v>0</v>
      </c>
      <c r="G69" s="32" t="b">
        <f t="shared" si="0"/>
        <v>0</v>
      </c>
      <c r="H69" s="27"/>
      <c r="I69" s="33" t="b">
        <f t="shared" si="5"/>
        <v>0</v>
      </c>
      <c r="J69" s="32" t="b">
        <f t="shared" si="1"/>
        <v>0</v>
      </c>
      <c r="K69" s="27"/>
      <c r="L69" s="33" t="b">
        <f t="shared" si="2"/>
        <v>0</v>
      </c>
      <c r="M69" s="40" t="e">
        <f t="shared" si="6"/>
        <v>#VALUE!</v>
      </c>
      <c r="N69" s="40" t="b">
        <f t="shared" si="7"/>
        <v>0</v>
      </c>
      <c r="O69" s="41" t="e">
        <f t="shared" si="8"/>
        <v>#VALUE!</v>
      </c>
      <c r="P69" s="41" t="b">
        <f t="shared" si="3"/>
        <v>0</v>
      </c>
      <c r="Q69" s="27"/>
      <c r="R69" s="27"/>
      <c r="S69" s="43"/>
      <c r="T69" s="27"/>
      <c r="U69" s="1"/>
      <c r="V69" s="1"/>
      <c r="W69" s="1"/>
      <c r="X69" s="1"/>
      <c r="Y69" s="1"/>
      <c r="Z69" s="15"/>
      <c r="AA69" s="15"/>
    </row>
    <row r="70" spans="1:27">
      <c r="A70" s="27"/>
      <c r="B70" s="26"/>
      <c r="C70" s="27"/>
      <c r="D70" s="27"/>
      <c r="E70" s="27"/>
      <c r="F70" s="31" t="b">
        <f t="shared" si="9"/>
        <v>0</v>
      </c>
      <c r="G70" s="32" t="b">
        <f t="shared" si="0"/>
        <v>0</v>
      </c>
      <c r="H70" s="27"/>
      <c r="I70" s="33" t="b">
        <f t="shared" si="5"/>
        <v>0</v>
      </c>
      <c r="J70" s="32" t="b">
        <f t="shared" si="1"/>
        <v>0</v>
      </c>
      <c r="K70" s="27"/>
      <c r="L70" s="33" t="b">
        <f t="shared" si="2"/>
        <v>0</v>
      </c>
      <c r="M70" s="40" t="e">
        <f t="shared" si="6"/>
        <v>#VALUE!</v>
      </c>
      <c r="N70" s="40" t="b">
        <f t="shared" si="7"/>
        <v>0</v>
      </c>
      <c r="O70" s="41" t="e">
        <f t="shared" si="8"/>
        <v>#VALUE!</v>
      </c>
      <c r="P70" s="41" t="b">
        <f t="shared" si="3"/>
        <v>0</v>
      </c>
      <c r="Q70" s="27"/>
      <c r="R70" s="27"/>
      <c r="S70" s="43"/>
      <c r="T70" s="27"/>
      <c r="U70" s="1"/>
      <c r="V70" s="1"/>
      <c r="W70" s="1"/>
      <c r="X70" s="1"/>
      <c r="Y70" s="1"/>
      <c r="Z70" s="15"/>
      <c r="AA70" s="15"/>
    </row>
    <row r="71" spans="1:27">
      <c r="A71" s="27"/>
      <c r="B71" s="26"/>
      <c r="C71" s="27"/>
      <c r="D71" s="27"/>
      <c r="E71" s="27"/>
      <c r="F71" s="31" t="b">
        <f t="shared" si="9"/>
        <v>0</v>
      </c>
      <c r="G71" s="32" t="b">
        <f t="shared" si="0"/>
        <v>0</v>
      </c>
      <c r="H71" s="27"/>
      <c r="I71" s="33" t="b">
        <f t="shared" si="5"/>
        <v>0</v>
      </c>
      <c r="J71" s="32" t="b">
        <f t="shared" si="1"/>
        <v>0</v>
      </c>
      <c r="K71" s="27"/>
      <c r="L71" s="33" t="b">
        <f t="shared" si="2"/>
        <v>0</v>
      </c>
      <c r="M71" s="40" t="e">
        <f t="shared" si="6"/>
        <v>#VALUE!</v>
      </c>
      <c r="N71" s="40" t="b">
        <f t="shared" si="7"/>
        <v>0</v>
      </c>
      <c r="O71" s="41" t="e">
        <f t="shared" si="8"/>
        <v>#VALUE!</v>
      </c>
      <c r="P71" s="41" t="b">
        <f t="shared" si="3"/>
        <v>0</v>
      </c>
      <c r="Q71" s="27"/>
      <c r="R71" s="27"/>
      <c r="S71" s="43"/>
      <c r="T71" s="27"/>
      <c r="U71" s="1"/>
      <c r="V71" s="1"/>
      <c r="W71" s="1"/>
      <c r="X71" s="1"/>
      <c r="Y71" s="1"/>
      <c r="Z71" s="15"/>
      <c r="AA71" s="15"/>
    </row>
    <row r="72" spans="1:27">
      <c r="A72" s="27"/>
      <c r="B72" s="26"/>
      <c r="C72" s="27"/>
      <c r="D72" s="27"/>
      <c r="E72" s="27"/>
      <c r="F72" s="31" t="b">
        <f t="shared" si="9"/>
        <v>0</v>
      </c>
      <c r="G72" s="32" t="b">
        <f t="shared" si="0"/>
        <v>0</v>
      </c>
      <c r="H72" s="27"/>
      <c r="I72" s="33" t="b">
        <f t="shared" si="5"/>
        <v>0</v>
      </c>
      <c r="J72" s="32" t="b">
        <f t="shared" si="1"/>
        <v>0</v>
      </c>
      <c r="K72" s="27"/>
      <c r="L72" s="33" t="b">
        <f t="shared" si="2"/>
        <v>0</v>
      </c>
      <c r="M72" s="40" t="e">
        <f t="shared" si="6"/>
        <v>#VALUE!</v>
      </c>
      <c r="N72" s="40" t="b">
        <f t="shared" si="7"/>
        <v>0</v>
      </c>
      <c r="O72" s="41" t="e">
        <f t="shared" si="8"/>
        <v>#VALUE!</v>
      </c>
      <c r="P72" s="41" t="b">
        <f t="shared" si="3"/>
        <v>0</v>
      </c>
      <c r="Q72" s="27"/>
      <c r="R72" s="27"/>
      <c r="S72" s="43"/>
      <c r="T72" s="27"/>
      <c r="U72" s="1"/>
      <c r="V72" s="1"/>
      <c r="W72" s="1"/>
      <c r="X72" s="1"/>
      <c r="Y72" s="1"/>
      <c r="Z72" s="15"/>
      <c r="AA72" s="15"/>
    </row>
    <row r="73" spans="1:27">
      <c r="A73" s="27"/>
      <c r="B73" s="26"/>
      <c r="C73" s="27"/>
      <c r="D73" s="27"/>
      <c r="E73" s="27"/>
      <c r="F73" s="31" t="b">
        <f t="shared" si="9"/>
        <v>0</v>
      </c>
      <c r="G73" s="32" t="b">
        <f t="shared" si="0"/>
        <v>0</v>
      </c>
      <c r="H73" s="27"/>
      <c r="I73" s="33" t="b">
        <f t="shared" si="5"/>
        <v>0</v>
      </c>
      <c r="J73" s="32" t="b">
        <f t="shared" si="1"/>
        <v>0</v>
      </c>
      <c r="K73" s="27"/>
      <c r="L73" s="33" t="b">
        <f t="shared" si="2"/>
        <v>0</v>
      </c>
      <c r="M73" s="40" t="e">
        <f t="shared" si="6"/>
        <v>#VALUE!</v>
      </c>
      <c r="N73" s="40" t="b">
        <f t="shared" si="7"/>
        <v>0</v>
      </c>
      <c r="O73" s="41" t="e">
        <f t="shared" si="8"/>
        <v>#VALUE!</v>
      </c>
      <c r="P73" s="41" t="b">
        <f t="shared" si="3"/>
        <v>0</v>
      </c>
      <c r="Q73" s="27"/>
      <c r="R73" s="27"/>
      <c r="S73" s="43"/>
      <c r="T73" s="27"/>
      <c r="U73" s="1"/>
      <c r="V73" s="1"/>
      <c r="W73" s="1"/>
      <c r="X73" s="1"/>
      <c r="Y73" s="1"/>
      <c r="Z73" s="15"/>
      <c r="AA73" s="15"/>
    </row>
    <row r="74" spans="1:27">
      <c r="A74" s="27"/>
      <c r="B74" s="26"/>
      <c r="C74" s="27"/>
      <c r="D74" s="27"/>
      <c r="E74" s="27"/>
      <c r="F74" s="31" t="b">
        <f t="shared" si="9"/>
        <v>0</v>
      </c>
      <c r="G74" s="32" t="b">
        <f t="shared" si="0"/>
        <v>0</v>
      </c>
      <c r="H74" s="27"/>
      <c r="I74" s="33" t="b">
        <f t="shared" si="5"/>
        <v>0</v>
      </c>
      <c r="J74" s="32" t="b">
        <f t="shared" si="1"/>
        <v>0</v>
      </c>
      <c r="K74" s="27"/>
      <c r="L74" s="33" t="b">
        <f t="shared" si="2"/>
        <v>0</v>
      </c>
      <c r="M74" s="40" t="e">
        <f t="shared" si="6"/>
        <v>#VALUE!</v>
      </c>
      <c r="N74" s="40" t="b">
        <f t="shared" si="7"/>
        <v>0</v>
      </c>
      <c r="O74" s="41" t="e">
        <f t="shared" si="8"/>
        <v>#VALUE!</v>
      </c>
      <c r="P74" s="41" t="b">
        <f t="shared" si="3"/>
        <v>0</v>
      </c>
      <c r="Q74" s="27"/>
      <c r="R74" s="27"/>
      <c r="S74" s="43"/>
      <c r="T74" s="27"/>
      <c r="U74" s="1"/>
      <c r="V74" s="1"/>
      <c r="W74" s="1"/>
      <c r="X74" s="1"/>
      <c r="Y74" s="1"/>
      <c r="Z74" s="15"/>
      <c r="AA74" s="15"/>
    </row>
    <row r="75" spans="1:27">
      <c r="A75" s="27"/>
      <c r="B75" s="26"/>
      <c r="C75" s="27"/>
      <c r="D75" s="27"/>
      <c r="E75" s="27"/>
      <c r="F75" s="31" t="b">
        <f t="shared" si="9"/>
        <v>0</v>
      </c>
      <c r="G75" s="32" t="b">
        <f t="shared" si="0"/>
        <v>0</v>
      </c>
      <c r="H75" s="27"/>
      <c r="I75" s="33" t="b">
        <f t="shared" si="5"/>
        <v>0</v>
      </c>
      <c r="J75" s="32" t="b">
        <f t="shared" si="1"/>
        <v>0</v>
      </c>
      <c r="K75" s="27"/>
      <c r="L75" s="33" t="b">
        <f t="shared" si="2"/>
        <v>0</v>
      </c>
      <c r="M75" s="40" t="e">
        <f t="shared" si="6"/>
        <v>#VALUE!</v>
      </c>
      <c r="N75" s="40" t="b">
        <f t="shared" si="7"/>
        <v>0</v>
      </c>
      <c r="O75" s="41" t="e">
        <f t="shared" si="8"/>
        <v>#VALUE!</v>
      </c>
      <c r="P75" s="41" t="b">
        <f t="shared" si="3"/>
        <v>0</v>
      </c>
      <c r="Q75" s="27"/>
      <c r="R75" s="27"/>
      <c r="S75" s="43"/>
      <c r="T75" s="27"/>
      <c r="U75" s="1"/>
      <c r="V75" s="1"/>
      <c r="W75" s="1"/>
      <c r="X75" s="1"/>
      <c r="Y75" s="1"/>
      <c r="Z75" s="15"/>
      <c r="AA75" s="15"/>
    </row>
    <row r="76" spans="1:27">
      <c r="A76" s="27"/>
      <c r="B76" s="26"/>
      <c r="C76" s="27"/>
      <c r="D76" s="27"/>
      <c r="E76" s="27"/>
      <c r="F76" s="31" t="b">
        <f t="shared" si="9"/>
        <v>0</v>
      </c>
      <c r="G76" s="32" t="b">
        <f t="shared" si="0"/>
        <v>0</v>
      </c>
      <c r="H76" s="27"/>
      <c r="I76" s="33" t="b">
        <f t="shared" si="5"/>
        <v>0</v>
      </c>
      <c r="J76" s="32" t="b">
        <f t="shared" si="1"/>
        <v>0</v>
      </c>
      <c r="K76" s="27"/>
      <c r="L76" s="33" t="b">
        <f t="shared" si="2"/>
        <v>0</v>
      </c>
      <c r="M76" s="40" t="e">
        <f t="shared" si="6"/>
        <v>#VALUE!</v>
      </c>
      <c r="N76" s="40" t="b">
        <f t="shared" si="7"/>
        <v>0</v>
      </c>
      <c r="O76" s="41" t="e">
        <f t="shared" si="8"/>
        <v>#VALUE!</v>
      </c>
      <c r="P76" s="41" t="b">
        <f t="shared" si="3"/>
        <v>0</v>
      </c>
      <c r="Q76" s="27"/>
      <c r="R76" s="27"/>
      <c r="S76" s="43"/>
      <c r="T76" s="27"/>
      <c r="U76" s="1"/>
      <c r="V76" s="1"/>
      <c r="W76" s="1"/>
      <c r="X76" s="1"/>
      <c r="Y76" s="1"/>
      <c r="Z76" s="15"/>
      <c r="AA76" s="15"/>
    </row>
    <row r="77" spans="1:27">
      <c r="A77" s="27"/>
      <c r="B77" s="26"/>
      <c r="C77" s="27"/>
      <c r="D77" s="27"/>
      <c r="E77" s="27"/>
      <c r="F77" s="31" t="b">
        <f t="shared" si="9"/>
        <v>0</v>
      </c>
      <c r="G77" s="32" t="b">
        <f t="shared" si="0"/>
        <v>0</v>
      </c>
      <c r="H77" s="27"/>
      <c r="I77" s="33" t="b">
        <f t="shared" si="5"/>
        <v>0</v>
      </c>
      <c r="J77" s="32" t="b">
        <f t="shared" si="1"/>
        <v>0</v>
      </c>
      <c r="K77" s="27"/>
      <c r="L77" s="33" t="b">
        <f t="shared" si="2"/>
        <v>0</v>
      </c>
      <c r="M77" s="40" t="e">
        <f t="shared" si="6"/>
        <v>#VALUE!</v>
      </c>
      <c r="N77" s="40" t="b">
        <f t="shared" si="7"/>
        <v>0</v>
      </c>
      <c r="O77" s="41" t="e">
        <f t="shared" si="8"/>
        <v>#VALUE!</v>
      </c>
      <c r="P77" s="41" t="b">
        <f t="shared" si="3"/>
        <v>0</v>
      </c>
      <c r="Q77" s="27"/>
      <c r="R77" s="27"/>
      <c r="S77" s="43"/>
      <c r="T77" s="27"/>
      <c r="U77" s="1"/>
      <c r="V77" s="1"/>
      <c r="W77" s="1"/>
      <c r="X77" s="1"/>
      <c r="Y77" s="1"/>
      <c r="Z77" s="15"/>
      <c r="AA77" s="15"/>
    </row>
    <row r="78" spans="1:27">
      <c r="A78" s="27"/>
      <c r="B78" s="26"/>
      <c r="C78" s="27"/>
      <c r="D78" s="27"/>
      <c r="E78" s="27"/>
      <c r="F78" s="31" t="b">
        <f t="shared" si="9"/>
        <v>0</v>
      </c>
      <c r="G78" s="32" t="b">
        <f t="shared" si="0"/>
        <v>0</v>
      </c>
      <c r="H78" s="27"/>
      <c r="I78" s="33" t="b">
        <f t="shared" si="5"/>
        <v>0</v>
      </c>
      <c r="J78" s="32" t="b">
        <f t="shared" si="1"/>
        <v>0</v>
      </c>
      <c r="K78" s="27"/>
      <c r="L78" s="33" t="b">
        <f t="shared" si="2"/>
        <v>0</v>
      </c>
      <c r="M78" s="40" t="e">
        <f t="shared" si="6"/>
        <v>#VALUE!</v>
      </c>
      <c r="N78" s="40" t="b">
        <f t="shared" si="7"/>
        <v>0</v>
      </c>
      <c r="O78" s="41" t="e">
        <f t="shared" si="8"/>
        <v>#VALUE!</v>
      </c>
      <c r="P78" s="41" t="b">
        <f t="shared" si="3"/>
        <v>0</v>
      </c>
      <c r="Q78" s="27"/>
      <c r="R78" s="27"/>
      <c r="S78" s="43"/>
      <c r="T78" s="27"/>
      <c r="U78" s="1"/>
      <c r="V78" s="1"/>
      <c r="W78" s="1"/>
      <c r="X78" s="1"/>
      <c r="Y78" s="1"/>
      <c r="Z78" s="15"/>
      <c r="AA78" s="15"/>
    </row>
    <row r="79" spans="1:27">
      <c r="A79" s="27"/>
      <c r="B79" s="26"/>
      <c r="C79" s="27"/>
      <c r="D79" s="27"/>
      <c r="E79" s="27"/>
      <c r="F79" s="31" t="b">
        <f t="shared" si="9"/>
        <v>0</v>
      </c>
      <c r="G79" s="32" t="b">
        <f t="shared" si="0"/>
        <v>0</v>
      </c>
      <c r="H79" s="27"/>
      <c r="I79" s="33" t="b">
        <f t="shared" si="5"/>
        <v>0</v>
      </c>
      <c r="J79" s="32" t="b">
        <f t="shared" si="1"/>
        <v>0</v>
      </c>
      <c r="K79" s="27"/>
      <c r="L79" s="33" t="b">
        <f t="shared" si="2"/>
        <v>0</v>
      </c>
      <c r="M79" s="40" t="e">
        <f t="shared" si="6"/>
        <v>#VALUE!</v>
      </c>
      <c r="N79" s="40" t="b">
        <f t="shared" si="7"/>
        <v>0</v>
      </c>
      <c r="O79" s="41" t="e">
        <f t="shared" si="8"/>
        <v>#VALUE!</v>
      </c>
      <c r="P79" s="41" t="b">
        <f t="shared" si="3"/>
        <v>0</v>
      </c>
      <c r="Q79" s="27"/>
      <c r="R79" s="27"/>
      <c r="S79" s="43"/>
      <c r="T79" s="27"/>
      <c r="U79" s="1"/>
      <c r="V79" s="1"/>
      <c r="W79" s="1"/>
      <c r="X79" s="1"/>
      <c r="Y79" s="1"/>
      <c r="Z79" s="15"/>
      <c r="AA79" s="15"/>
    </row>
    <row r="80" spans="1:27">
      <c r="A80" s="27"/>
      <c r="B80" s="26"/>
      <c r="C80" s="27"/>
      <c r="D80" s="27"/>
      <c r="E80" s="27"/>
      <c r="F80" s="31" t="b">
        <f t="shared" si="9"/>
        <v>0</v>
      </c>
      <c r="G80" s="32" t="b">
        <f t="shared" si="0"/>
        <v>0</v>
      </c>
      <c r="H80" s="27"/>
      <c r="I80" s="33" t="b">
        <f t="shared" si="5"/>
        <v>0</v>
      </c>
      <c r="J80" s="32" t="b">
        <f t="shared" si="1"/>
        <v>0</v>
      </c>
      <c r="K80" s="27"/>
      <c r="L80" s="33" t="b">
        <f t="shared" si="2"/>
        <v>0</v>
      </c>
      <c r="M80" s="40" t="e">
        <f t="shared" si="6"/>
        <v>#VALUE!</v>
      </c>
      <c r="N80" s="40" t="b">
        <f t="shared" si="7"/>
        <v>0</v>
      </c>
      <c r="O80" s="41" t="e">
        <f t="shared" si="8"/>
        <v>#VALUE!</v>
      </c>
      <c r="P80" s="41" t="b">
        <f t="shared" si="3"/>
        <v>0</v>
      </c>
      <c r="Q80" s="27"/>
      <c r="R80" s="27"/>
      <c r="S80" s="43"/>
      <c r="T80" s="27"/>
      <c r="U80" s="1"/>
      <c r="V80" s="1"/>
      <c r="W80" s="1"/>
      <c r="X80" s="1"/>
      <c r="Y80" s="1"/>
      <c r="Z80" s="15"/>
      <c r="AA80" s="15"/>
    </row>
    <row r="81" spans="1:27">
      <c r="A81" s="27"/>
      <c r="B81" s="26"/>
      <c r="C81" s="27"/>
      <c r="D81" s="27"/>
      <c r="E81" s="27"/>
      <c r="F81" s="31" t="b">
        <f t="shared" si="9"/>
        <v>0</v>
      </c>
      <c r="G81" s="32" t="b">
        <f t="shared" si="0"/>
        <v>0</v>
      </c>
      <c r="H81" s="27"/>
      <c r="I81" s="33" t="b">
        <f t="shared" si="5"/>
        <v>0</v>
      </c>
      <c r="J81" s="32" t="b">
        <f t="shared" si="1"/>
        <v>0</v>
      </c>
      <c r="K81" s="27"/>
      <c r="L81" s="33" t="b">
        <f t="shared" si="2"/>
        <v>0</v>
      </c>
      <c r="M81" s="40" t="e">
        <f t="shared" si="6"/>
        <v>#VALUE!</v>
      </c>
      <c r="N81" s="40" t="b">
        <f t="shared" si="7"/>
        <v>0</v>
      </c>
      <c r="O81" s="41" t="e">
        <f t="shared" si="8"/>
        <v>#VALUE!</v>
      </c>
      <c r="P81" s="41" t="b">
        <f t="shared" si="3"/>
        <v>0</v>
      </c>
      <c r="Q81" s="27"/>
      <c r="R81" s="27"/>
      <c r="S81" s="43"/>
      <c r="T81" s="27"/>
      <c r="U81" s="1"/>
      <c r="V81" s="1"/>
      <c r="W81" s="1"/>
      <c r="X81" s="1"/>
      <c r="Y81" s="1"/>
      <c r="Z81" s="15"/>
      <c r="AA81" s="15"/>
    </row>
    <row r="82" spans="1:27">
      <c r="A82" s="27"/>
      <c r="B82" s="26"/>
      <c r="C82" s="27"/>
      <c r="D82" s="27"/>
      <c r="E82" s="27"/>
      <c r="F82" s="31" t="b">
        <f t="shared" si="9"/>
        <v>0</v>
      </c>
      <c r="G82" s="32" t="b">
        <f t="shared" si="0"/>
        <v>0</v>
      </c>
      <c r="H82" s="27"/>
      <c r="I82" s="33" t="b">
        <f t="shared" si="5"/>
        <v>0</v>
      </c>
      <c r="J82" s="32" t="b">
        <f t="shared" si="1"/>
        <v>0</v>
      </c>
      <c r="K82" s="27"/>
      <c r="L82" s="33" t="b">
        <f t="shared" si="2"/>
        <v>0</v>
      </c>
      <c r="M82" s="40" t="e">
        <f t="shared" si="6"/>
        <v>#VALUE!</v>
      </c>
      <c r="N82" s="40" t="b">
        <f t="shared" si="7"/>
        <v>0</v>
      </c>
      <c r="O82" s="41" t="e">
        <f t="shared" si="8"/>
        <v>#VALUE!</v>
      </c>
      <c r="P82" s="41" t="b">
        <f t="shared" si="3"/>
        <v>0</v>
      </c>
      <c r="Q82" s="27"/>
      <c r="R82" s="27"/>
      <c r="S82" s="43"/>
      <c r="T82" s="27"/>
      <c r="U82" s="1"/>
      <c r="V82" s="1"/>
      <c r="W82" s="1"/>
      <c r="X82" s="1"/>
      <c r="Y82" s="1"/>
      <c r="Z82" s="15"/>
      <c r="AA82" s="15"/>
    </row>
    <row r="83" spans="1:27">
      <c r="A83" s="27"/>
      <c r="B83" s="26"/>
      <c r="C83" s="27"/>
      <c r="D83" s="27"/>
      <c r="E83" s="27"/>
      <c r="F83" s="31" t="b">
        <f t="shared" si="9"/>
        <v>0</v>
      </c>
      <c r="G83" s="32" t="b">
        <f t="shared" si="0"/>
        <v>0</v>
      </c>
      <c r="H83" s="27"/>
      <c r="I83" s="33" t="b">
        <f t="shared" si="5"/>
        <v>0</v>
      </c>
      <c r="J83" s="32" t="b">
        <f t="shared" si="1"/>
        <v>0</v>
      </c>
      <c r="K83" s="27"/>
      <c r="L83" s="33" t="b">
        <f t="shared" si="2"/>
        <v>0</v>
      </c>
      <c r="M83" s="40" t="e">
        <f t="shared" si="6"/>
        <v>#VALUE!</v>
      </c>
      <c r="N83" s="40" t="b">
        <f t="shared" si="7"/>
        <v>0</v>
      </c>
      <c r="O83" s="41" t="e">
        <f t="shared" si="8"/>
        <v>#VALUE!</v>
      </c>
      <c r="P83" s="41" t="b">
        <f t="shared" si="3"/>
        <v>0</v>
      </c>
      <c r="Q83" s="27"/>
      <c r="R83" s="27"/>
      <c r="S83" s="43"/>
      <c r="T83" s="27"/>
      <c r="U83" s="1"/>
      <c r="V83" s="1"/>
      <c r="W83" s="1"/>
      <c r="X83" s="1"/>
      <c r="Y83" s="1"/>
      <c r="Z83" s="15"/>
      <c r="AA83" s="15"/>
    </row>
    <row r="84" spans="1:27">
      <c r="A84" s="27"/>
      <c r="B84" s="26"/>
      <c r="C84" s="27"/>
      <c r="D84" s="27"/>
      <c r="E84" s="27"/>
      <c r="F84" s="31" t="b">
        <f t="shared" si="9"/>
        <v>0</v>
      </c>
      <c r="G84" s="32" t="b">
        <f t="shared" si="0"/>
        <v>0</v>
      </c>
      <c r="H84" s="27"/>
      <c r="I84" s="33" t="b">
        <f t="shared" si="5"/>
        <v>0</v>
      </c>
      <c r="J84" s="32" t="b">
        <f t="shared" si="1"/>
        <v>0</v>
      </c>
      <c r="K84" s="27"/>
      <c r="L84" s="33" t="b">
        <f t="shared" si="2"/>
        <v>0</v>
      </c>
      <c r="M84" s="40" t="e">
        <f t="shared" si="6"/>
        <v>#VALUE!</v>
      </c>
      <c r="N84" s="40" t="b">
        <f t="shared" si="7"/>
        <v>0</v>
      </c>
      <c r="O84" s="41" t="e">
        <f t="shared" si="8"/>
        <v>#VALUE!</v>
      </c>
      <c r="P84" s="41" t="b">
        <f t="shared" si="3"/>
        <v>0</v>
      </c>
      <c r="Q84" s="27"/>
      <c r="R84" s="27"/>
      <c r="S84" s="43"/>
      <c r="T84" s="27"/>
      <c r="U84" s="1"/>
      <c r="V84" s="1"/>
      <c r="W84" s="1"/>
      <c r="X84" s="1"/>
      <c r="Y84" s="1"/>
      <c r="Z84" s="15"/>
      <c r="AA84" s="15"/>
    </row>
    <row r="85" spans="1:27">
      <c r="A85" s="27"/>
      <c r="B85" s="26"/>
      <c r="C85" s="27"/>
      <c r="D85" s="27"/>
      <c r="E85" s="27"/>
      <c r="F85" s="31" t="b">
        <f t="shared" si="9"/>
        <v>0</v>
      </c>
      <c r="G85" s="32" t="b">
        <f t="shared" si="0"/>
        <v>0</v>
      </c>
      <c r="H85" s="27"/>
      <c r="I85" s="33" t="b">
        <f t="shared" si="5"/>
        <v>0</v>
      </c>
      <c r="J85" s="32" t="b">
        <f t="shared" si="1"/>
        <v>0</v>
      </c>
      <c r="K85" s="27"/>
      <c r="L85" s="33" t="b">
        <f t="shared" si="2"/>
        <v>0</v>
      </c>
      <c r="M85" s="40" t="e">
        <f t="shared" si="6"/>
        <v>#VALUE!</v>
      </c>
      <c r="N85" s="40" t="b">
        <f t="shared" si="7"/>
        <v>0</v>
      </c>
      <c r="O85" s="41" t="e">
        <f t="shared" si="8"/>
        <v>#VALUE!</v>
      </c>
      <c r="P85" s="41" t="b">
        <f t="shared" si="3"/>
        <v>0</v>
      </c>
      <c r="Q85" s="27"/>
      <c r="R85" s="27"/>
      <c r="S85" s="43"/>
      <c r="T85" s="27"/>
      <c r="U85" s="1"/>
      <c r="V85" s="1"/>
      <c r="W85" s="1"/>
      <c r="X85" s="1"/>
      <c r="Y85" s="1"/>
      <c r="Z85" s="15"/>
      <c r="AA85" s="15"/>
    </row>
    <row r="86" spans="1:27">
      <c r="A86" s="27"/>
      <c r="B86" s="26"/>
      <c r="C86" s="27"/>
      <c r="D86" s="27"/>
      <c r="E86" s="27"/>
      <c r="F86" s="31" t="b">
        <f t="shared" si="9"/>
        <v>0</v>
      </c>
      <c r="G86" s="32" t="b">
        <f t="shared" si="0"/>
        <v>0</v>
      </c>
      <c r="H86" s="27"/>
      <c r="I86" s="33" t="b">
        <f t="shared" si="5"/>
        <v>0</v>
      </c>
      <c r="J86" s="32" t="b">
        <f t="shared" si="1"/>
        <v>0</v>
      </c>
      <c r="K86" s="27"/>
      <c r="L86" s="33" t="b">
        <f t="shared" si="2"/>
        <v>0</v>
      </c>
      <c r="M86" s="40" t="e">
        <f t="shared" si="6"/>
        <v>#VALUE!</v>
      </c>
      <c r="N86" s="40" t="b">
        <f t="shared" si="7"/>
        <v>0</v>
      </c>
      <c r="O86" s="41" t="e">
        <f t="shared" si="8"/>
        <v>#VALUE!</v>
      </c>
      <c r="P86" s="41" t="b">
        <f t="shared" si="3"/>
        <v>0</v>
      </c>
      <c r="Q86" s="27"/>
      <c r="R86" s="27"/>
      <c r="S86" s="43"/>
      <c r="T86" s="27"/>
      <c r="U86" s="1"/>
      <c r="V86" s="1"/>
      <c r="W86" s="1"/>
      <c r="X86" s="1"/>
      <c r="Y86" s="1"/>
      <c r="Z86" s="15"/>
      <c r="AA86" s="15"/>
    </row>
    <row r="87" spans="1:27">
      <c r="A87" s="27"/>
      <c r="B87" s="26"/>
      <c r="C87" s="27"/>
      <c r="D87" s="27"/>
      <c r="E87" s="27"/>
      <c r="F87" s="31" t="b">
        <f t="shared" si="9"/>
        <v>0</v>
      </c>
      <c r="G87" s="32" t="b">
        <f t="shared" si="0"/>
        <v>0</v>
      </c>
      <c r="H87" s="27"/>
      <c r="I87" s="33" t="b">
        <f t="shared" si="5"/>
        <v>0</v>
      </c>
      <c r="J87" s="32" t="b">
        <f t="shared" si="1"/>
        <v>0</v>
      </c>
      <c r="K87" s="27"/>
      <c r="L87" s="33" t="b">
        <f t="shared" si="2"/>
        <v>0</v>
      </c>
      <c r="M87" s="40" t="e">
        <f t="shared" si="6"/>
        <v>#VALUE!</v>
      </c>
      <c r="N87" s="40" t="b">
        <f t="shared" si="7"/>
        <v>0</v>
      </c>
      <c r="O87" s="41" t="e">
        <f t="shared" si="8"/>
        <v>#VALUE!</v>
      </c>
      <c r="P87" s="41" t="b">
        <f t="shared" si="3"/>
        <v>0</v>
      </c>
      <c r="Q87" s="27"/>
      <c r="R87" s="27"/>
      <c r="S87" s="43"/>
      <c r="T87" s="27"/>
      <c r="U87" s="1"/>
      <c r="V87" s="1"/>
      <c r="W87" s="1"/>
      <c r="X87" s="1"/>
      <c r="Y87" s="1"/>
      <c r="Z87" s="15"/>
      <c r="AA87" s="15"/>
    </row>
    <row r="88" spans="1:27">
      <c r="A88" s="27"/>
      <c r="B88" s="26"/>
      <c r="C88" s="27"/>
      <c r="D88" s="27"/>
      <c r="E88" s="27"/>
      <c r="F88" s="31" t="b">
        <f t="shared" si="9"/>
        <v>0</v>
      </c>
      <c r="G88" s="32" t="b">
        <f t="shared" si="0"/>
        <v>0</v>
      </c>
      <c r="H88" s="27"/>
      <c r="I88" s="33" t="b">
        <f t="shared" si="5"/>
        <v>0</v>
      </c>
      <c r="J88" s="32" t="b">
        <f t="shared" si="1"/>
        <v>0</v>
      </c>
      <c r="K88" s="27"/>
      <c r="L88" s="33" t="b">
        <f t="shared" si="2"/>
        <v>0</v>
      </c>
      <c r="M88" s="40" t="e">
        <f t="shared" si="6"/>
        <v>#VALUE!</v>
      </c>
      <c r="N88" s="40" t="b">
        <f t="shared" si="7"/>
        <v>0</v>
      </c>
      <c r="O88" s="41" t="e">
        <f t="shared" si="8"/>
        <v>#VALUE!</v>
      </c>
      <c r="P88" s="41" t="b">
        <f t="shared" si="3"/>
        <v>0</v>
      </c>
      <c r="Q88" s="27"/>
      <c r="R88" s="27"/>
      <c r="S88" s="43"/>
      <c r="T88" s="27"/>
      <c r="U88" s="1"/>
      <c r="V88" s="1"/>
      <c r="W88" s="1"/>
      <c r="X88" s="1"/>
      <c r="Y88" s="1"/>
      <c r="Z88" s="15"/>
      <c r="AA88" s="15"/>
    </row>
    <row r="89" spans="1:27">
      <c r="A89" s="27"/>
      <c r="B89" s="26"/>
      <c r="C89" s="27"/>
      <c r="D89" s="27"/>
      <c r="E89" s="27"/>
      <c r="F89" s="31" t="b">
        <f t="shared" si="9"/>
        <v>0</v>
      </c>
      <c r="G89" s="32" t="b">
        <f t="shared" si="0"/>
        <v>0</v>
      </c>
      <c r="H89" s="27"/>
      <c r="I89" s="33" t="b">
        <f t="shared" si="5"/>
        <v>0</v>
      </c>
      <c r="J89" s="32" t="b">
        <f t="shared" si="1"/>
        <v>0</v>
      </c>
      <c r="K89" s="27"/>
      <c r="L89" s="33" t="b">
        <f t="shared" si="2"/>
        <v>0</v>
      </c>
      <c r="M89" s="40" t="e">
        <f t="shared" si="6"/>
        <v>#VALUE!</v>
      </c>
      <c r="N89" s="40" t="b">
        <f t="shared" si="7"/>
        <v>0</v>
      </c>
      <c r="O89" s="41" t="e">
        <f t="shared" si="8"/>
        <v>#VALUE!</v>
      </c>
      <c r="P89" s="41" t="b">
        <f t="shared" si="3"/>
        <v>0</v>
      </c>
      <c r="Q89" s="27"/>
      <c r="R89" s="27"/>
      <c r="S89" s="43"/>
      <c r="T89" s="27"/>
      <c r="U89" s="1"/>
      <c r="V89" s="1"/>
      <c r="W89" s="1"/>
      <c r="X89" s="1"/>
      <c r="Y89" s="1"/>
      <c r="Z89" s="15"/>
      <c r="AA89" s="15"/>
    </row>
    <row r="90" spans="1:27">
      <c r="A90" s="27"/>
      <c r="B90" s="26"/>
      <c r="C90" s="27"/>
      <c r="D90" s="27"/>
      <c r="E90" s="27"/>
      <c r="F90" s="31" t="b">
        <f t="shared" si="9"/>
        <v>0</v>
      </c>
      <c r="G90" s="32" t="b">
        <f t="shared" si="0"/>
        <v>0</v>
      </c>
      <c r="H90" s="27"/>
      <c r="I90" s="33" t="b">
        <f t="shared" si="5"/>
        <v>0</v>
      </c>
      <c r="J90" s="32" t="b">
        <f t="shared" si="1"/>
        <v>0</v>
      </c>
      <c r="K90" s="27"/>
      <c r="L90" s="33" t="b">
        <f t="shared" si="2"/>
        <v>0</v>
      </c>
      <c r="M90" s="40" t="e">
        <f t="shared" si="6"/>
        <v>#VALUE!</v>
      </c>
      <c r="N90" s="40" t="b">
        <f t="shared" si="7"/>
        <v>0</v>
      </c>
      <c r="O90" s="41" t="e">
        <f t="shared" si="8"/>
        <v>#VALUE!</v>
      </c>
      <c r="P90" s="41" t="b">
        <f t="shared" si="3"/>
        <v>0</v>
      </c>
      <c r="Q90" s="27"/>
      <c r="R90" s="27"/>
      <c r="S90" s="43"/>
      <c r="T90" s="27"/>
      <c r="U90" s="1"/>
      <c r="V90" s="1"/>
      <c r="W90" s="1"/>
      <c r="X90" s="1"/>
      <c r="Y90" s="1"/>
      <c r="Z90" s="15"/>
      <c r="AA90" s="15"/>
    </row>
    <row r="91" spans="1:27">
      <c r="A91" s="27"/>
      <c r="B91" s="26"/>
      <c r="C91" s="27"/>
      <c r="D91" s="27"/>
      <c r="E91" s="27"/>
      <c r="F91" s="31" t="b">
        <f t="shared" si="9"/>
        <v>0</v>
      </c>
      <c r="G91" s="32" t="b">
        <f t="shared" si="0"/>
        <v>0</v>
      </c>
      <c r="H91" s="27"/>
      <c r="I91" s="33" t="b">
        <f t="shared" si="5"/>
        <v>0</v>
      </c>
      <c r="J91" s="32" t="b">
        <f t="shared" si="1"/>
        <v>0</v>
      </c>
      <c r="K91" s="27"/>
      <c r="L91" s="33" t="b">
        <f t="shared" si="2"/>
        <v>0</v>
      </c>
      <c r="M91" s="40" t="e">
        <f t="shared" si="6"/>
        <v>#VALUE!</v>
      </c>
      <c r="N91" s="40" t="b">
        <f t="shared" si="7"/>
        <v>0</v>
      </c>
      <c r="O91" s="41" t="e">
        <f t="shared" si="8"/>
        <v>#VALUE!</v>
      </c>
      <c r="P91" s="41" t="b">
        <f t="shared" si="3"/>
        <v>0</v>
      </c>
      <c r="Q91" s="27"/>
      <c r="R91" s="27"/>
      <c r="S91" s="43"/>
      <c r="T91" s="27"/>
      <c r="U91" s="1"/>
      <c r="V91" s="1"/>
      <c r="W91" s="1"/>
      <c r="X91" s="1"/>
      <c r="Y91" s="1"/>
      <c r="Z91" s="15"/>
      <c r="AA91" s="15"/>
    </row>
    <row r="92" spans="1:27">
      <c r="A92" s="27"/>
      <c r="B92" s="26"/>
      <c r="C92" s="27"/>
      <c r="D92" s="27"/>
      <c r="E92" s="27"/>
      <c r="F92" s="31" t="b">
        <f t="shared" si="9"/>
        <v>0</v>
      </c>
      <c r="G92" s="32" t="b">
        <f t="shared" si="0"/>
        <v>0</v>
      </c>
      <c r="H92" s="27"/>
      <c r="I92" s="33" t="b">
        <f t="shared" si="5"/>
        <v>0</v>
      </c>
      <c r="J92" s="32" t="b">
        <f t="shared" si="1"/>
        <v>0</v>
      </c>
      <c r="K92" s="27"/>
      <c r="L92" s="33" t="b">
        <f t="shared" si="2"/>
        <v>0</v>
      </c>
      <c r="M92" s="40" t="e">
        <f t="shared" si="6"/>
        <v>#VALUE!</v>
      </c>
      <c r="N92" s="40" t="b">
        <f t="shared" si="7"/>
        <v>0</v>
      </c>
      <c r="O92" s="41" t="e">
        <f t="shared" si="8"/>
        <v>#VALUE!</v>
      </c>
      <c r="P92" s="41" t="b">
        <f t="shared" si="3"/>
        <v>0</v>
      </c>
      <c r="Q92" s="27"/>
      <c r="R92" s="27"/>
      <c r="S92" s="43"/>
      <c r="T92" s="27"/>
      <c r="U92" s="1"/>
      <c r="V92" s="1"/>
      <c r="W92" s="1"/>
      <c r="X92" s="1"/>
      <c r="Y92" s="1"/>
      <c r="Z92" s="15"/>
      <c r="AA92" s="15"/>
    </row>
    <row r="93" spans="1:27">
      <c r="A93" s="27"/>
      <c r="B93" s="26"/>
      <c r="C93" s="27"/>
      <c r="D93" s="27"/>
      <c r="E93" s="27"/>
      <c r="F93" s="31" t="b">
        <f t="shared" si="9"/>
        <v>0</v>
      </c>
      <c r="G93" s="32" t="b">
        <f t="shared" si="0"/>
        <v>0</v>
      </c>
      <c r="H93" s="27"/>
      <c r="I93" s="33" t="b">
        <f t="shared" si="5"/>
        <v>0</v>
      </c>
      <c r="J93" s="32" t="b">
        <f t="shared" si="1"/>
        <v>0</v>
      </c>
      <c r="K93" s="27"/>
      <c r="L93" s="33" t="b">
        <f t="shared" si="2"/>
        <v>0</v>
      </c>
      <c r="M93" s="40" t="e">
        <f t="shared" si="6"/>
        <v>#VALUE!</v>
      </c>
      <c r="N93" s="40" t="b">
        <f t="shared" si="7"/>
        <v>0</v>
      </c>
      <c r="O93" s="41" t="e">
        <f t="shared" si="8"/>
        <v>#VALUE!</v>
      </c>
      <c r="P93" s="41" t="b">
        <f t="shared" si="3"/>
        <v>0</v>
      </c>
      <c r="Q93" s="27"/>
      <c r="R93" s="27"/>
      <c r="S93" s="43"/>
      <c r="T93" s="27"/>
      <c r="U93" s="1"/>
      <c r="V93" s="1"/>
      <c r="W93" s="1"/>
      <c r="X93" s="1"/>
      <c r="Y93" s="1"/>
      <c r="Z93" s="15"/>
      <c r="AA93" s="15"/>
    </row>
    <row r="94" spans="1:27">
      <c r="A94" s="27"/>
      <c r="B94" s="26"/>
      <c r="C94" s="27"/>
      <c r="D94" s="27"/>
      <c r="E94" s="27"/>
      <c r="F94" s="31" t="b">
        <f t="shared" si="9"/>
        <v>0</v>
      </c>
      <c r="G94" s="32" t="b">
        <f t="shared" si="0"/>
        <v>0</v>
      </c>
      <c r="H94" s="27"/>
      <c r="I94" s="33" t="b">
        <f t="shared" si="5"/>
        <v>0</v>
      </c>
      <c r="J94" s="32" t="b">
        <f t="shared" si="1"/>
        <v>0</v>
      </c>
      <c r="K94" s="27"/>
      <c r="L94" s="33" t="b">
        <f t="shared" si="2"/>
        <v>0</v>
      </c>
      <c r="M94" s="40" t="e">
        <f t="shared" si="6"/>
        <v>#VALUE!</v>
      </c>
      <c r="N94" s="40" t="b">
        <f t="shared" si="7"/>
        <v>0</v>
      </c>
      <c r="O94" s="41" t="e">
        <f t="shared" si="8"/>
        <v>#VALUE!</v>
      </c>
      <c r="P94" s="41" t="b">
        <f t="shared" si="3"/>
        <v>0</v>
      </c>
      <c r="Q94" s="27"/>
      <c r="R94" s="27"/>
      <c r="S94" s="43"/>
      <c r="T94" s="27"/>
      <c r="U94" s="1"/>
      <c r="V94" s="1"/>
      <c r="W94" s="1"/>
      <c r="X94" s="1"/>
      <c r="Y94" s="1"/>
      <c r="Z94" s="15"/>
      <c r="AA94" s="15"/>
    </row>
    <row r="95" spans="1:27">
      <c r="A95" s="27"/>
      <c r="B95" s="26"/>
      <c r="C95" s="27"/>
      <c r="D95" s="27"/>
      <c r="E95" s="27"/>
      <c r="F95" s="31" t="b">
        <f t="shared" si="9"/>
        <v>0</v>
      </c>
      <c r="G95" s="32" t="b">
        <f t="shared" si="0"/>
        <v>0</v>
      </c>
      <c r="H95" s="27"/>
      <c r="I95" s="33" t="b">
        <f t="shared" si="5"/>
        <v>0</v>
      </c>
      <c r="J95" s="32" t="b">
        <f t="shared" si="1"/>
        <v>0</v>
      </c>
      <c r="K95" s="27"/>
      <c r="L95" s="33" t="b">
        <f t="shared" si="2"/>
        <v>0</v>
      </c>
      <c r="M95" s="40" t="e">
        <f t="shared" si="6"/>
        <v>#VALUE!</v>
      </c>
      <c r="N95" s="40" t="b">
        <f t="shared" si="7"/>
        <v>0</v>
      </c>
      <c r="O95" s="41" t="e">
        <f t="shared" si="8"/>
        <v>#VALUE!</v>
      </c>
      <c r="P95" s="41" t="b">
        <f t="shared" si="3"/>
        <v>0</v>
      </c>
      <c r="Q95" s="27"/>
      <c r="R95" s="27"/>
      <c r="S95" s="43"/>
      <c r="T95" s="27"/>
      <c r="U95" s="1"/>
      <c r="V95" s="1"/>
      <c r="W95" s="1"/>
      <c r="X95" s="1"/>
      <c r="Y95" s="1"/>
      <c r="Z95" s="15"/>
      <c r="AA95" s="15"/>
    </row>
    <row r="96" spans="1:27">
      <c r="A96" s="27"/>
      <c r="B96" s="26"/>
      <c r="C96" s="27"/>
      <c r="D96" s="27"/>
      <c r="E96" s="27"/>
      <c r="F96" s="31" t="b">
        <f t="shared" si="9"/>
        <v>0</v>
      </c>
      <c r="G96" s="32" t="b">
        <f t="shared" si="0"/>
        <v>0</v>
      </c>
      <c r="H96" s="27"/>
      <c r="I96" s="33" t="b">
        <f t="shared" si="5"/>
        <v>0</v>
      </c>
      <c r="J96" s="32" t="b">
        <f t="shared" si="1"/>
        <v>0</v>
      </c>
      <c r="K96" s="27"/>
      <c r="L96" s="33" t="b">
        <f t="shared" si="2"/>
        <v>0</v>
      </c>
      <c r="M96" s="40" t="e">
        <f t="shared" si="6"/>
        <v>#VALUE!</v>
      </c>
      <c r="N96" s="40" t="b">
        <f t="shared" si="7"/>
        <v>0</v>
      </c>
      <c r="O96" s="41" t="e">
        <f t="shared" si="8"/>
        <v>#VALUE!</v>
      </c>
      <c r="P96" s="41" t="b">
        <f t="shared" si="3"/>
        <v>0</v>
      </c>
      <c r="Q96" s="27"/>
      <c r="R96" s="27"/>
      <c r="S96" s="43"/>
      <c r="T96" s="27"/>
      <c r="U96" s="1"/>
      <c r="V96" s="1"/>
      <c r="W96" s="1"/>
      <c r="X96" s="1"/>
      <c r="Y96" s="1"/>
      <c r="Z96" s="15"/>
      <c r="AA96" s="15"/>
    </row>
    <row r="97" spans="1:27">
      <c r="A97" s="27"/>
      <c r="B97" s="26"/>
      <c r="C97" s="27"/>
      <c r="D97" s="27"/>
      <c r="E97" s="27"/>
      <c r="F97" s="31" t="b">
        <f t="shared" si="9"/>
        <v>0</v>
      </c>
      <c r="G97" s="32" t="b">
        <f t="shared" si="0"/>
        <v>0</v>
      </c>
      <c r="H97" s="27"/>
      <c r="I97" s="33" t="b">
        <f t="shared" si="5"/>
        <v>0</v>
      </c>
      <c r="J97" s="32" t="b">
        <f t="shared" si="1"/>
        <v>0</v>
      </c>
      <c r="K97" s="27"/>
      <c r="L97" s="33" t="b">
        <f t="shared" si="2"/>
        <v>0</v>
      </c>
      <c r="M97" s="40" t="e">
        <f t="shared" si="6"/>
        <v>#VALUE!</v>
      </c>
      <c r="N97" s="40" t="b">
        <f t="shared" si="7"/>
        <v>0</v>
      </c>
      <c r="O97" s="41" t="e">
        <f t="shared" si="8"/>
        <v>#VALUE!</v>
      </c>
      <c r="P97" s="41" t="b">
        <f t="shared" si="3"/>
        <v>0</v>
      </c>
      <c r="Q97" s="27"/>
      <c r="R97" s="27"/>
      <c r="S97" s="43"/>
      <c r="T97" s="27"/>
      <c r="U97" s="1"/>
      <c r="V97" s="1"/>
      <c r="W97" s="1"/>
      <c r="X97" s="1"/>
      <c r="Y97" s="1"/>
      <c r="Z97" s="15"/>
      <c r="AA97" s="15"/>
    </row>
    <row r="98" spans="1:27">
      <c r="A98" s="27"/>
      <c r="B98" s="26"/>
      <c r="C98" s="27"/>
      <c r="D98" s="27"/>
      <c r="E98" s="27"/>
      <c r="F98" s="31" t="b">
        <f t="shared" si="9"/>
        <v>0</v>
      </c>
      <c r="G98" s="32" t="b">
        <f t="shared" si="0"/>
        <v>0</v>
      </c>
      <c r="H98" s="27"/>
      <c r="I98" s="33" t="b">
        <f t="shared" si="5"/>
        <v>0</v>
      </c>
      <c r="J98" s="32" t="b">
        <f t="shared" si="1"/>
        <v>0</v>
      </c>
      <c r="K98" s="27"/>
      <c r="L98" s="33" t="b">
        <f t="shared" si="2"/>
        <v>0</v>
      </c>
      <c r="M98" s="40" t="e">
        <f t="shared" si="6"/>
        <v>#VALUE!</v>
      </c>
      <c r="N98" s="40" t="b">
        <f t="shared" si="7"/>
        <v>0</v>
      </c>
      <c r="O98" s="41" t="e">
        <f t="shared" si="8"/>
        <v>#VALUE!</v>
      </c>
      <c r="P98" s="41" t="b">
        <f t="shared" si="3"/>
        <v>0</v>
      </c>
      <c r="Q98" s="27"/>
      <c r="R98" s="27"/>
      <c r="S98" s="43"/>
      <c r="T98" s="27"/>
      <c r="U98" s="1"/>
      <c r="V98" s="1"/>
      <c r="W98" s="1"/>
      <c r="X98" s="1"/>
      <c r="Y98" s="1"/>
      <c r="Z98" s="15"/>
      <c r="AA98" s="15"/>
    </row>
    <row r="99" spans="1:27">
      <c r="A99" s="27"/>
      <c r="B99" s="26"/>
      <c r="C99" s="27"/>
      <c r="D99" s="27"/>
      <c r="E99" s="27"/>
      <c r="F99" s="31" t="b">
        <f t="shared" si="9"/>
        <v>0</v>
      </c>
      <c r="G99" s="32" t="b">
        <f t="shared" si="0"/>
        <v>0</v>
      </c>
      <c r="H99" s="27"/>
      <c r="I99" s="33" t="b">
        <f t="shared" si="5"/>
        <v>0</v>
      </c>
      <c r="J99" s="32" t="b">
        <f t="shared" si="1"/>
        <v>0</v>
      </c>
      <c r="K99" s="27"/>
      <c r="L99" s="33" t="b">
        <f t="shared" si="2"/>
        <v>0</v>
      </c>
      <c r="M99" s="40" t="e">
        <f t="shared" si="6"/>
        <v>#VALUE!</v>
      </c>
      <c r="N99" s="40" t="b">
        <f t="shared" si="7"/>
        <v>0</v>
      </c>
      <c r="O99" s="41" t="e">
        <f t="shared" si="8"/>
        <v>#VALUE!</v>
      </c>
      <c r="P99" s="41" t="b">
        <f t="shared" si="3"/>
        <v>0</v>
      </c>
      <c r="Q99" s="27"/>
      <c r="R99" s="27"/>
      <c r="S99" s="43"/>
      <c r="T99" s="27"/>
      <c r="U99" s="1"/>
      <c r="V99" s="1"/>
      <c r="W99" s="1"/>
      <c r="X99" s="1"/>
      <c r="Y99" s="1"/>
      <c r="Z99" s="15"/>
      <c r="AA99" s="15"/>
    </row>
    <row r="100" spans="1:27">
      <c r="A100" s="27"/>
      <c r="B100" s="26"/>
      <c r="C100" s="27"/>
      <c r="D100" s="27"/>
      <c r="E100" s="27"/>
      <c r="F100" s="31" t="b">
        <f t="shared" si="9"/>
        <v>0</v>
      </c>
      <c r="G100" s="32" t="b">
        <f t="shared" si="0"/>
        <v>0</v>
      </c>
      <c r="H100" s="27"/>
      <c r="I100" s="33" t="b">
        <f t="shared" si="5"/>
        <v>0</v>
      </c>
      <c r="J100" s="32" t="b">
        <f t="shared" si="1"/>
        <v>0</v>
      </c>
      <c r="K100" s="27"/>
      <c r="L100" s="33" t="b">
        <f t="shared" si="2"/>
        <v>0</v>
      </c>
      <c r="M100" s="40" t="e">
        <f t="shared" si="6"/>
        <v>#VALUE!</v>
      </c>
      <c r="N100" s="40" t="b">
        <f t="shared" si="7"/>
        <v>0</v>
      </c>
      <c r="O100" s="41" t="e">
        <f t="shared" si="8"/>
        <v>#VALUE!</v>
      </c>
      <c r="P100" s="41" t="b">
        <f t="shared" si="3"/>
        <v>0</v>
      </c>
      <c r="Q100" s="27"/>
      <c r="R100" s="27"/>
      <c r="S100" s="43"/>
      <c r="T100" s="27"/>
      <c r="U100" s="1"/>
      <c r="V100" s="1"/>
      <c r="W100" s="1"/>
      <c r="X100" s="1"/>
      <c r="Y100" s="1"/>
      <c r="Z100" s="15"/>
      <c r="AA100" s="15"/>
    </row>
    <row r="101" spans="1:27">
      <c r="A101" s="27"/>
      <c r="B101" s="26"/>
      <c r="C101" s="27"/>
      <c r="D101" s="27"/>
      <c r="E101" s="27"/>
      <c r="F101" s="31" t="b">
        <f t="shared" si="9"/>
        <v>0</v>
      </c>
      <c r="G101" s="32" t="b">
        <f t="shared" si="0"/>
        <v>0</v>
      </c>
      <c r="H101" s="27"/>
      <c r="I101" s="33" t="b">
        <f t="shared" si="5"/>
        <v>0</v>
      </c>
      <c r="J101" s="32" t="b">
        <f t="shared" si="1"/>
        <v>0</v>
      </c>
      <c r="K101" s="27"/>
      <c r="L101" s="33" t="b">
        <f t="shared" si="2"/>
        <v>0</v>
      </c>
      <c r="M101" s="40" t="e">
        <f t="shared" si="6"/>
        <v>#VALUE!</v>
      </c>
      <c r="N101" s="40" t="b">
        <f t="shared" si="7"/>
        <v>0</v>
      </c>
      <c r="O101" s="41" t="e">
        <f t="shared" si="8"/>
        <v>#VALUE!</v>
      </c>
      <c r="P101" s="41" t="b">
        <f t="shared" si="3"/>
        <v>0</v>
      </c>
      <c r="Q101" s="27"/>
      <c r="R101" s="27"/>
      <c r="S101" s="43"/>
      <c r="T101" s="27"/>
      <c r="U101" s="1"/>
      <c r="V101" s="1"/>
      <c r="W101" s="1"/>
      <c r="X101" s="1"/>
      <c r="Y101" s="1"/>
      <c r="Z101" s="15"/>
      <c r="AA101" s="15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4" t="s">
        <v>17</v>
      </c>
      <c r="R102" s="45"/>
      <c r="S102" s="46">
        <f>SUM(S3:S101)</f>
        <v>0</v>
      </c>
      <c r="T102" s="1"/>
      <c r="U102" s="1"/>
      <c r="V102" s="1"/>
      <c r="W102" s="1"/>
      <c r="X102" s="1"/>
      <c r="Y102" s="1"/>
      <c r="Z102" s="15"/>
      <c r="AA102" s="15"/>
    </row>
    <row r="103" spans="1:27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2:3">
      <c r="B104" s="16"/>
      <c r="C104" s="16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5">
      <c r="A108" s="17"/>
      <c r="B108" s="18"/>
      <c r="C108" s="18"/>
      <c r="D108" s="17"/>
      <c r="E108" s="17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Shk+kpgk9q396C+usGbMQ//4DBTCpbMqXqOe+q6nTov/KA3tX3lvG+8KONVGmas4eLIoejroewpxy/s8CpaLww==" saltValue="rTqHuEm5tAiL+2KxmjlurA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ErrorMessage="1" sqref="B3:B101">
      <formula1>$W$2:$W$3</formula1>
    </dataValidation>
  </dataValidations>
  <pageMargins left="0.699305555555556" right="0.699305555555556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5"/>
  <sheetViews>
    <sheetView zoomScale="85" zoomScaleNormal="85" workbookViewId="0">
      <selection activeCell="V16" sqref="V16"/>
    </sheetView>
  </sheetViews>
  <sheetFormatPr defaultColWidth="9" defaultRowHeight="17.6"/>
  <cols>
    <col min="1" max="2" width="12.6607142857143" customWidth="1"/>
    <col min="3" max="3" width="12.3303571428571" customWidth="1"/>
    <col min="4" max="5" width="13" customWidth="1"/>
    <col min="6" max="6" width="9.16071428571429" hidden="1" customWidth="1"/>
    <col min="7" max="8" width="13.1607142857143" customWidth="1"/>
    <col min="9" max="9" width="13.5" hidden="1" customWidth="1"/>
    <col min="10" max="10" width="12.8303571428571" customWidth="1"/>
    <col min="11" max="11" width="12.6607142857143" customWidth="1"/>
    <col min="12" max="12" width="14.1607142857143" hidden="1" customWidth="1"/>
    <col min="13" max="14" width="13" customWidth="1"/>
    <col min="15" max="15" width="12.8303571428571" customWidth="1"/>
    <col min="16" max="16" width="13.1607142857143" customWidth="1"/>
    <col min="17" max="17" width="13" customWidth="1"/>
    <col min="18" max="20" width="12.6607142857143" customWidth="1"/>
    <col min="23" max="23" width="7.83035714285714" customWidth="1"/>
  </cols>
  <sheetData>
    <row r="1" spans="1:25">
      <c r="A1" s="1"/>
      <c r="B1" s="1"/>
      <c r="C1" s="1"/>
      <c r="D1" s="1"/>
      <c r="E1" s="1"/>
      <c r="F1" s="1"/>
      <c r="G1" s="28" t="s">
        <v>25</v>
      </c>
      <c r="H1" s="29"/>
      <c r="I1" s="29"/>
      <c r="J1" s="28" t="s">
        <v>26</v>
      </c>
      <c r="K1" s="29"/>
      <c r="L1" s="29"/>
      <c r="M1" s="34" t="s">
        <v>0</v>
      </c>
      <c r="N1" s="35"/>
      <c r="O1" s="36" t="s">
        <v>1</v>
      </c>
      <c r="P1" s="37"/>
      <c r="Q1" s="42"/>
      <c r="R1" s="1"/>
      <c r="S1" s="1"/>
      <c r="T1" s="1"/>
      <c r="U1" s="1"/>
      <c r="V1" s="1"/>
      <c r="W1" s="1"/>
      <c r="X1" s="1"/>
      <c r="Y1" s="17"/>
    </row>
    <row r="2" spans="1:2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30" t="s">
        <v>8</v>
      </c>
      <c r="H2" s="30" t="s">
        <v>9</v>
      </c>
      <c r="I2" s="30" t="s">
        <v>10</v>
      </c>
      <c r="J2" s="30" t="s">
        <v>27</v>
      </c>
      <c r="K2" s="30" t="s">
        <v>9</v>
      </c>
      <c r="L2" s="30" t="s">
        <v>10</v>
      </c>
      <c r="M2" s="38" t="s">
        <v>28</v>
      </c>
      <c r="N2" s="38" t="s">
        <v>29</v>
      </c>
      <c r="O2" s="39" t="s">
        <v>30</v>
      </c>
      <c r="P2" s="39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/>
      <c r="W2" s="1"/>
      <c r="X2" s="1"/>
      <c r="Y2" s="17"/>
    </row>
    <row r="3" spans="1:25">
      <c r="A3" s="47"/>
      <c r="B3" s="48"/>
      <c r="C3" s="49"/>
      <c r="D3" s="49"/>
      <c r="E3" s="49"/>
      <c r="F3" s="31" t="b">
        <f>IF(B3="BUY",(C3*(1-2%)),IF(B3="SELL",(C3*(1+2%))))</f>
        <v>0</v>
      </c>
      <c r="G3" s="32" t="b">
        <f t="shared" ref="G3:G101" si="0">IF(B3="BUY","2DLL",IF(B3="SELL","2DHH"))</f>
        <v>0</v>
      </c>
      <c r="H3" s="51"/>
      <c r="I3" s="33" t="b">
        <f>IF(G3="2DHH",(H3*(1+0.12%)),IF(G3="2DLL",(H3*(1-0.12%))))</f>
        <v>0</v>
      </c>
      <c r="J3" s="32" t="b">
        <f t="shared" ref="J3:J101" si="1">IF(B3="BUY","4DLL",IF(B3="SELL","4DHH"))</f>
        <v>0</v>
      </c>
      <c r="K3" s="51"/>
      <c r="L3" s="33" t="b">
        <f t="shared" ref="L3:L101" si="2">IF(J3="4DHH",(K3*(1+0.12%)),IF(J3="4DLL",(K3*(1-0.12%))))</f>
        <v>0</v>
      </c>
      <c r="M3" s="40" t="e">
        <f>MROUND(IF(B3="BUY",MAX(F3,I3),IF(B3="SELL",MIN(F3,I3))),1)</f>
        <v>#VALUE!</v>
      </c>
      <c r="N3" s="40" t="e">
        <f>MROUND(IF(B3="BUY",(M3*(1-0.1%)),IF(B3="SELL",(M3*(1+0.1%)))),1)</f>
        <v>#VALUE!</v>
      </c>
      <c r="O3" s="41" t="e">
        <f>MROUND(IF(B3="BUY",MAX(F3,L3),IF(B3="SELL",MIN(F3,L3))),1)</f>
        <v>#VALUE!</v>
      </c>
      <c r="P3" s="41" t="b">
        <f t="shared" ref="P3:P101" si="3">IF(B3="BUY",(O3*(1-0.1%)),IF(B3="SELL",(O3*(1+0.1%))))</f>
        <v>0</v>
      </c>
      <c r="Q3" s="51">
        <f>(D3-C3)*5</f>
        <v>0</v>
      </c>
      <c r="R3" s="51"/>
      <c r="S3" s="52">
        <f>Q3+R3</f>
        <v>0</v>
      </c>
      <c r="T3" s="51"/>
      <c r="U3" s="1"/>
      <c r="V3" s="1"/>
      <c r="W3" s="1"/>
      <c r="X3" s="1"/>
      <c r="Y3" s="17"/>
    </row>
    <row r="4" spans="1:25">
      <c r="A4" s="50"/>
      <c r="B4" s="48"/>
      <c r="C4" s="51"/>
      <c r="D4" s="51"/>
      <c r="E4" s="51"/>
      <c r="F4" s="31" t="b">
        <f t="shared" ref="F4:F67" si="4">IF(B4="BUY",(C4*(1-2%)),IF(B4="SELL",(C4*(1+2%))))</f>
        <v>0</v>
      </c>
      <c r="G4" s="32" t="b">
        <f t="shared" si="0"/>
        <v>0</v>
      </c>
      <c r="H4" s="51"/>
      <c r="I4" s="33" t="b">
        <f t="shared" ref="I4:I101" si="5">IF(G4="2DHH",(H4*(1+0.12%)),IF(G4="2DLL",(H4*(1-0.12%))))</f>
        <v>0</v>
      </c>
      <c r="J4" s="32" t="b">
        <f t="shared" si="1"/>
        <v>0</v>
      </c>
      <c r="K4" s="51"/>
      <c r="L4" s="33" t="b">
        <f t="shared" si="2"/>
        <v>0</v>
      </c>
      <c r="M4" s="40" t="e">
        <f t="shared" ref="M4:M101" si="6">MROUND(IF(B4="BUY",MAX(F4,I4),IF(B4="SELL",MIN(F4,I4))),1)</f>
        <v>#VALUE!</v>
      </c>
      <c r="N4" s="40" t="b">
        <f t="shared" ref="N4:N101" si="7">IF(B4="BUY",(M4*(1-0.1%)),IF(B4="SELL",(M4*(1+0.1%))))</f>
        <v>0</v>
      </c>
      <c r="O4" s="41" t="e">
        <f t="shared" ref="O4:O101" si="8">MROUND(IF(B4="BUY",MAX(F4,L4),IF(B4="SELL",MIN(F4,L4))),1)</f>
        <v>#VALUE!</v>
      </c>
      <c r="P4" s="41" t="b">
        <f t="shared" si="3"/>
        <v>0</v>
      </c>
      <c r="Q4" s="51"/>
      <c r="R4" s="51"/>
      <c r="S4" s="52"/>
      <c r="T4" s="51"/>
      <c r="U4" s="1"/>
      <c r="V4" s="1"/>
      <c r="W4" s="1"/>
      <c r="X4" s="1"/>
      <c r="Y4" s="17"/>
    </row>
    <row r="5" spans="1:25">
      <c r="A5" s="50"/>
      <c r="B5" s="48"/>
      <c r="C5" s="51"/>
      <c r="D5" s="51"/>
      <c r="E5" s="51"/>
      <c r="F5" s="31" t="b">
        <f t="shared" si="4"/>
        <v>0</v>
      </c>
      <c r="G5" s="32" t="b">
        <f t="shared" si="0"/>
        <v>0</v>
      </c>
      <c r="H5" s="51"/>
      <c r="I5" s="33" t="b">
        <f t="shared" si="5"/>
        <v>0</v>
      </c>
      <c r="J5" s="32" t="b">
        <f t="shared" si="1"/>
        <v>0</v>
      </c>
      <c r="K5" s="51"/>
      <c r="L5" s="33" t="b">
        <f t="shared" si="2"/>
        <v>0</v>
      </c>
      <c r="M5" s="40" t="e">
        <f t="shared" si="6"/>
        <v>#VALUE!</v>
      </c>
      <c r="N5" s="40" t="b">
        <f t="shared" si="7"/>
        <v>0</v>
      </c>
      <c r="O5" s="41" t="e">
        <f t="shared" si="8"/>
        <v>#VALUE!</v>
      </c>
      <c r="P5" s="41" t="b">
        <f t="shared" si="3"/>
        <v>0</v>
      </c>
      <c r="Q5" s="51"/>
      <c r="R5" s="51"/>
      <c r="S5" s="52"/>
      <c r="T5" s="51"/>
      <c r="U5" s="1"/>
      <c r="V5" s="1"/>
      <c r="W5" s="1"/>
      <c r="X5" s="1"/>
      <c r="Y5" s="17"/>
    </row>
    <row r="6" spans="1:25">
      <c r="A6" s="50"/>
      <c r="B6" s="48"/>
      <c r="C6" s="51"/>
      <c r="D6" s="51"/>
      <c r="E6" s="51"/>
      <c r="F6" s="31" t="b">
        <f t="shared" si="4"/>
        <v>0</v>
      </c>
      <c r="G6" s="32" t="b">
        <f t="shared" si="0"/>
        <v>0</v>
      </c>
      <c r="H6" s="51"/>
      <c r="I6" s="33" t="b">
        <f t="shared" si="5"/>
        <v>0</v>
      </c>
      <c r="J6" s="32" t="b">
        <f t="shared" si="1"/>
        <v>0</v>
      </c>
      <c r="K6" s="51"/>
      <c r="L6" s="33" t="b">
        <f t="shared" si="2"/>
        <v>0</v>
      </c>
      <c r="M6" s="40" t="e">
        <f t="shared" si="6"/>
        <v>#VALUE!</v>
      </c>
      <c r="N6" s="40" t="b">
        <f t="shared" si="7"/>
        <v>0</v>
      </c>
      <c r="O6" s="41" t="e">
        <f t="shared" si="8"/>
        <v>#VALUE!</v>
      </c>
      <c r="P6" s="41" t="b">
        <f t="shared" si="3"/>
        <v>0</v>
      </c>
      <c r="Q6" s="51"/>
      <c r="R6" s="51"/>
      <c r="S6" s="52"/>
      <c r="T6" s="51"/>
      <c r="U6" s="1"/>
      <c r="V6" s="1"/>
      <c r="W6" s="1"/>
      <c r="X6" s="1"/>
      <c r="Y6" s="17"/>
    </row>
    <row r="7" spans="1:25">
      <c r="A7" s="50"/>
      <c r="B7" s="48"/>
      <c r="C7" s="51"/>
      <c r="D7" s="51"/>
      <c r="E7" s="51"/>
      <c r="F7" s="31" t="b">
        <f t="shared" si="4"/>
        <v>0</v>
      </c>
      <c r="G7" s="32" t="b">
        <f t="shared" si="0"/>
        <v>0</v>
      </c>
      <c r="H7" s="51"/>
      <c r="I7" s="33" t="b">
        <f t="shared" si="5"/>
        <v>0</v>
      </c>
      <c r="J7" s="32" t="b">
        <f t="shared" si="1"/>
        <v>0</v>
      </c>
      <c r="K7" s="51"/>
      <c r="L7" s="33" t="b">
        <f t="shared" si="2"/>
        <v>0</v>
      </c>
      <c r="M7" s="40" t="e">
        <f t="shared" si="6"/>
        <v>#VALUE!</v>
      </c>
      <c r="N7" s="40" t="b">
        <f t="shared" si="7"/>
        <v>0</v>
      </c>
      <c r="O7" s="41" t="e">
        <f t="shared" si="8"/>
        <v>#VALUE!</v>
      </c>
      <c r="P7" s="41" t="b">
        <f t="shared" si="3"/>
        <v>0</v>
      </c>
      <c r="Q7" s="51"/>
      <c r="R7" s="51"/>
      <c r="S7" s="52"/>
      <c r="T7" s="51"/>
      <c r="U7" s="1"/>
      <c r="V7" s="1"/>
      <c r="W7" s="1"/>
      <c r="X7" s="1"/>
      <c r="Y7" s="17"/>
    </row>
    <row r="8" spans="1:25">
      <c r="A8" s="50"/>
      <c r="B8" s="48"/>
      <c r="C8" s="51"/>
      <c r="D8" s="51"/>
      <c r="E8" s="51"/>
      <c r="F8" s="31" t="b">
        <f t="shared" si="4"/>
        <v>0</v>
      </c>
      <c r="G8" s="32" t="b">
        <f t="shared" si="0"/>
        <v>0</v>
      </c>
      <c r="H8" s="51"/>
      <c r="I8" s="33" t="b">
        <f t="shared" si="5"/>
        <v>0</v>
      </c>
      <c r="J8" s="32" t="b">
        <f t="shared" si="1"/>
        <v>0</v>
      </c>
      <c r="K8" s="51"/>
      <c r="L8" s="33" t="b">
        <f t="shared" si="2"/>
        <v>0</v>
      </c>
      <c r="M8" s="40" t="e">
        <f t="shared" si="6"/>
        <v>#VALUE!</v>
      </c>
      <c r="N8" s="40" t="b">
        <f t="shared" si="7"/>
        <v>0</v>
      </c>
      <c r="O8" s="41" t="e">
        <f t="shared" si="8"/>
        <v>#VALUE!</v>
      </c>
      <c r="P8" s="41" t="b">
        <f t="shared" si="3"/>
        <v>0</v>
      </c>
      <c r="Q8" s="51"/>
      <c r="R8" s="51"/>
      <c r="S8" s="52"/>
      <c r="T8" s="51"/>
      <c r="U8" s="1"/>
      <c r="V8" s="1"/>
      <c r="W8" s="1"/>
      <c r="X8" s="1"/>
      <c r="Y8" s="17"/>
    </row>
    <row r="9" spans="1:25">
      <c r="A9" s="50"/>
      <c r="B9" s="48"/>
      <c r="C9" s="51"/>
      <c r="D9" s="51"/>
      <c r="E9" s="51"/>
      <c r="F9" s="31" t="b">
        <f t="shared" si="4"/>
        <v>0</v>
      </c>
      <c r="G9" s="32" t="b">
        <f t="shared" si="0"/>
        <v>0</v>
      </c>
      <c r="H9" s="51"/>
      <c r="I9" s="33" t="b">
        <f t="shared" si="5"/>
        <v>0</v>
      </c>
      <c r="J9" s="32" t="b">
        <f t="shared" si="1"/>
        <v>0</v>
      </c>
      <c r="K9" s="51"/>
      <c r="L9" s="33" t="b">
        <f t="shared" si="2"/>
        <v>0</v>
      </c>
      <c r="M9" s="40" t="e">
        <f t="shared" si="6"/>
        <v>#VALUE!</v>
      </c>
      <c r="N9" s="40" t="b">
        <f t="shared" si="7"/>
        <v>0</v>
      </c>
      <c r="O9" s="41" t="e">
        <f t="shared" si="8"/>
        <v>#VALUE!</v>
      </c>
      <c r="P9" s="41" t="b">
        <f t="shared" si="3"/>
        <v>0</v>
      </c>
      <c r="Q9" s="51"/>
      <c r="R9" s="51"/>
      <c r="S9" s="52"/>
      <c r="T9" s="51"/>
      <c r="U9" s="1"/>
      <c r="V9" s="1"/>
      <c r="W9" s="1"/>
      <c r="X9" s="1"/>
      <c r="Y9" s="17"/>
    </row>
    <row r="10" spans="1:25">
      <c r="A10" s="50"/>
      <c r="B10" s="48"/>
      <c r="C10" s="51"/>
      <c r="D10" s="51"/>
      <c r="E10" s="51"/>
      <c r="F10" s="31" t="b">
        <f t="shared" si="4"/>
        <v>0</v>
      </c>
      <c r="G10" s="32" t="b">
        <f t="shared" si="0"/>
        <v>0</v>
      </c>
      <c r="H10" s="51"/>
      <c r="I10" s="33" t="b">
        <f t="shared" si="5"/>
        <v>0</v>
      </c>
      <c r="J10" s="32" t="b">
        <f t="shared" si="1"/>
        <v>0</v>
      </c>
      <c r="K10" s="51"/>
      <c r="L10" s="33" t="b">
        <f t="shared" si="2"/>
        <v>0</v>
      </c>
      <c r="M10" s="40" t="e">
        <f t="shared" si="6"/>
        <v>#VALUE!</v>
      </c>
      <c r="N10" s="40" t="b">
        <f t="shared" si="7"/>
        <v>0</v>
      </c>
      <c r="O10" s="41" t="e">
        <f t="shared" si="8"/>
        <v>#VALUE!</v>
      </c>
      <c r="P10" s="41" t="b">
        <f t="shared" si="3"/>
        <v>0</v>
      </c>
      <c r="Q10" s="51"/>
      <c r="R10" s="51"/>
      <c r="S10" s="52"/>
      <c r="T10" s="51"/>
      <c r="U10" s="1"/>
      <c r="V10" s="1"/>
      <c r="W10" s="1"/>
      <c r="X10" s="1"/>
      <c r="Y10" s="17"/>
    </row>
    <row r="11" spans="1:25">
      <c r="A11" s="50"/>
      <c r="B11" s="48"/>
      <c r="C11" s="51"/>
      <c r="D11" s="51"/>
      <c r="E11" s="51"/>
      <c r="F11" s="31" t="b">
        <f t="shared" si="4"/>
        <v>0</v>
      </c>
      <c r="G11" s="32" t="b">
        <f t="shared" si="0"/>
        <v>0</v>
      </c>
      <c r="H11" s="51"/>
      <c r="I11" s="33" t="b">
        <f t="shared" si="5"/>
        <v>0</v>
      </c>
      <c r="J11" s="32" t="b">
        <f t="shared" si="1"/>
        <v>0</v>
      </c>
      <c r="K11" s="51"/>
      <c r="L11" s="33" t="b">
        <f t="shared" si="2"/>
        <v>0</v>
      </c>
      <c r="M11" s="40" t="e">
        <f t="shared" si="6"/>
        <v>#VALUE!</v>
      </c>
      <c r="N11" s="40" t="b">
        <f t="shared" si="7"/>
        <v>0</v>
      </c>
      <c r="O11" s="41" t="e">
        <f t="shared" si="8"/>
        <v>#VALUE!</v>
      </c>
      <c r="P11" s="41" t="b">
        <f t="shared" si="3"/>
        <v>0</v>
      </c>
      <c r="Q11" s="51"/>
      <c r="R11" s="51"/>
      <c r="S11" s="52"/>
      <c r="T11" s="51"/>
      <c r="U11" s="1"/>
      <c r="V11" s="1"/>
      <c r="W11" s="1"/>
      <c r="X11" s="1"/>
      <c r="Y11" s="17"/>
    </row>
    <row r="12" spans="1:25">
      <c r="A12" s="50"/>
      <c r="B12" s="48"/>
      <c r="C12" s="51"/>
      <c r="D12" s="51"/>
      <c r="E12" s="51"/>
      <c r="F12" s="31" t="b">
        <f t="shared" si="4"/>
        <v>0</v>
      </c>
      <c r="G12" s="32" t="b">
        <f t="shared" si="0"/>
        <v>0</v>
      </c>
      <c r="H12" s="51"/>
      <c r="I12" s="33" t="b">
        <f t="shared" si="5"/>
        <v>0</v>
      </c>
      <c r="J12" s="32" t="b">
        <f t="shared" si="1"/>
        <v>0</v>
      </c>
      <c r="K12" s="51"/>
      <c r="L12" s="33" t="b">
        <f t="shared" si="2"/>
        <v>0</v>
      </c>
      <c r="M12" s="40" t="e">
        <f t="shared" si="6"/>
        <v>#VALUE!</v>
      </c>
      <c r="N12" s="40" t="b">
        <f t="shared" si="7"/>
        <v>0</v>
      </c>
      <c r="O12" s="41" t="e">
        <f t="shared" si="8"/>
        <v>#VALUE!</v>
      </c>
      <c r="P12" s="41" t="b">
        <f t="shared" si="3"/>
        <v>0</v>
      </c>
      <c r="Q12" s="51"/>
      <c r="R12" s="51"/>
      <c r="S12" s="52"/>
      <c r="T12" s="51"/>
      <c r="U12" s="1"/>
      <c r="V12" s="1"/>
      <c r="W12" s="1"/>
      <c r="X12" s="1"/>
      <c r="Y12" s="17"/>
    </row>
    <row r="13" spans="1:25">
      <c r="A13" s="50"/>
      <c r="B13" s="48"/>
      <c r="C13" s="51"/>
      <c r="D13" s="51"/>
      <c r="E13" s="51"/>
      <c r="F13" s="31" t="b">
        <f t="shared" si="4"/>
        <v>0</v>
      </c>
      <c r="G13" s="32" t="b">
        <f t="shared" si="0"/>
        <v>0</v>
      </c>
      <c r="H13" s="51"/>
      <c r="I13" s="33" t="b">
        <f t="shared" si="5"/>
        <v>0</v>
      </c>
      <c r="J13" s="32" t="b">
        <f t="shared" si="1"/>
        <v>0</v>
      </c>
      <c r="K13" s="51"/>
      <c r="L13" s="33" t="b">
        <f t="shared" si="2"/>
        <v>0</v>
      </c>
      <c r="M13" s="40" t="e">
        <f t="shared" si="6"/>
        <v>#VALUE!</v>
      </c>
      <c r="N13" s="40" t="b">
        <f t="shared" si="7"/>
        <v>0</v>
      </c>
      <c r="O13" s="41" t="e">
        <f t="shared" si="8"/>
        <v>#VALUE!</v>
      </c>
      <c r="P13" s="41" t="b">
        <f t="shared" si="3"/>
        <v>0</v>
      </c>
      <c r="Q13" s="51"/>
      <c r="R13" s="51"/>
      <c r="S13" s="52"/>
      <c r="T13" s="51"/>
      <c r="U13" s="1"/>
      <c r="V13" s="1"/>
      <c r="W13" s="1"/>
      <c r="X13" s="1"/>
      <c r="Y13" s="17"/>
    </row>
    <row r="14" spans="1:25">
      <c r="A14" s="50"/>
      <c r="B14" s="48"/>
      <c r="C14" s="51"/>
      <c r="D14" s="51"/>
      <c r="E14" s="51"/>
      <c r="F14" s="31" t="b">
        <f t="shared" si="4"/>
        <v>0</v>
      </c>
      <c r="G14" s="32" t="b">
        <f t="shared" si="0"/>
        <v>0</v>
      </c>
      <c r="H14" s="51"/>
      <c r="I14" s="33" t="b">
        <f t="shared" si="5"/>
        <v>0</v>
      </c>
      <c r="J14" s="32" t="b">
        <f t="shared" si="1"/>
        <v>0</v>
      </c>
      <c r="K14" s="51"/>
      <c r="L14" s="33" t="b">
        <f t="shared" si="2"/>
        <v>0</v>
      </c>
      <c r="M14" s="40" t="e">
        <f t="shared" si="6"/>
        <v>#VALUE!</v>
      </c>
      <c r="N14" s="40" t="b">
        <f t="shared" si="7"/>
        <v>0</v>
      </c>
      <c r="O14" s="41" t="e">
        <f t="shared" si="8"/>
        <v>#VALUE!</v>
      </c>
      <c r="P14" s="41" t="b">
        <f t="shared" si="3"/>
        <v>0</v>
      </c>
      <c r="Q14" s="51"/>
      <c r="R14" s="51"/>
      <c r="S14" s="52"/>
      <c r="T14" s="51"/>
      <c r="U14" s="1"/>
      <c r="V14" s="1"/>
      <c r="W14" s="1"/>
      <c r="X14" s="1"/>
      <c r="Y14" s="17"/>
    </row>
    <row r="15" spans="1:25">
      <c r="A15" s="50"/>
      <c r="B15" s="48"/>
      <c r="C15" s="51"/>
      <c r="D15" s="51"/>
      <c r="E15" s="51"/>
      <c r="F15" s="31" t="b">
        <f t="shared" si="4"/>
        <v>0</v>
      </c>
      <c r="G15" s="32" t="b">
        <f t="shared" si="0"/>
        <v>0</v>
      </c>
      <c r="H15" s="51"/>
      <c r="I15" s="33" t="b">
        <f t="shared" si="5"/>
        <v>0</v>
      </c>
      <c r="J15" s="32" t="b">
        <f t="shared" si="1"/>
        <v>0</v>
      </c>
      <c r="K15" s="51"/>
      <c r="L15" s="33" t="b">
        <f t="shared" si="2"/>
        <v>0</v>
      </c>
      <c r="M15" s="40" t="e">
        <f t="shared" si="6"/>
        <v>#VALUE!</v>
      </c>
      <c r="N15" s="40" t="b">
        <f t="shared" si="7"/>
        <v>0</v>
      </c>
      <c r="O15" s="41" t="e">
        <f t="shared" si="8"/>
        <v>#VALUE!</v>
      </c>
      <c r="P15" s="41" t="b">
        <f t="shared" si="3"/>
        <v>0</v>
      </c>
      <c r="Q15" s="51"/>
      <c r="R15" s="51"/>
      <c r="S15" s="52"/>
      <c r="T15" s="51"/>
      <c r="U15" s="1"/>
      <c r="V15" s="1"/>
      <c r="W15" s="1"/>
      <c r="X15" s="1"/>
      <c r="Y15" s="17"/>
    </row>
    <row r="16" spans="1:25">
      <c r="A16" s="50"/>
      <c r="B16" s="48"/>
      <c r="C16" s="51"/>
      <c r="D16" s="51"/>
      <c r="E16" s="51"/>
      <c r="F16" s="31" t="b">
        <f t="shared" si="4"/>
        <v>0</v>
      </c>
      <c r="G16" s="32" t="b">
        <f t="shared" si="0"/>
        <v>0</v>
      </c>
      <c r="H16" s="51"/>
      <c r="I16" s="33" t="b">
        <f t="shared" si="5"/>
        <v>0</v>
      </c>
      <c r="J16" s="32" t="b">
        <f t="shared" si="1"/>
        <v>0</v>
      </c>
      <c r="K16" s="51"/>
      <c r="L16" s="33" t="b">
        <f t="shared" si="2"/>
        <v>0</v>
      </c>
      <c r="M16" s="40" t="e">
        <f t="shared" si="6"/>
        <v>#VALUE!</v>
      </c>
      <c r="N16" s="40" t="b">
        <f t="shared" si="7"/>
        <v>0</v>
      </c>
      <c r="O16" s="41" t="e">
        <f t="shared" si="8"/>
        <v>#VALUE!</v>
      </c>
      <c r="P16" s="41" t="b">
        <f t="shared" si="3"/>
        <v>0</v>
      </c>
      <c r="Q16" s="51"/>
      <c r="R16" s="51"/>
      <c r="S16" s="52"/>
      <c r="T16" s="51"/>
      <c r="U16" s="1"/>
      <c r="V16" s="1"/>
      <c r="W16" s="1"/>
      <c r="X16" s="1"/>
      <c r="Y16" s="17"/>
    </row>
    <row r="17" spans="1:25">
      <c r="A17" s="50"/>
      <c r="B17" s="48"/>
      <c r="C17" s="51"/>
      <c r="D17" s="51"/>
      <c r="E17" s="51"/>
      <c r="F17" s="31" t="b">
        <f t="shared" si="4"/>
        <v>0</v>
      </c>
      <c r="G17" s="32" t="b">
        <f t="shared" si="0"/>
        <v>0</v>
      </c>
      <c r="H17" s="51"/>
      <c r="I17" s="33" t="b">
        <f t="shared" si="5"/>
        <v>0</v>
      </c>
      <c r="J17" s="32" t="b">
        <f t="shared" si="1"/>
        <v>0</v>
      </c>
      <c r="K17" s="51"/>
      <c r="L17" s="33" t="b">
        <f t="shared" si="2"/>
        <v>0</v>
      </c>
      <c r="M17" s="40" t="e">
        <f t="shared" si="6"/>
        <v>#VALUE!</v>
      </c>
      <c r="N17" s="40" t="b">
        <f t="shared" si="7"/>
        <v>0</v>
      </c>
      <c r="O17" s="41" t="e">
        <f t="shared" si="8"/>
        <v>#VALUE!</v>
      </c>
      <c r="P17" s="41" t="b">
        <f t="shared" si="3"/>
        <v>0</v>
      </c>
      <c r="Q17" s="51"/>
      <c r="R17" s="51"/>
      <c r="S17" s="52"/>
      <c r="T17" s="51"/>
      <c r="U17" s="1"/>
      <c r="V17" s="1"/>
      <c r="W17" s="1"/>
      <c r="X17" s="1"/>
      <c r="Y17" s="17"/>
    </row>
    <row r="18" spans="1:25">
      <c r="A18" s="50"/>
      <c r="B18" s="48"/>
      <c r="C18" s="51"/>
      <c r="D18" s="51"/>
      <c r="E18" s="51"/>
      <c r="F18" s="31" t="b">
        <f t="shared" si="4"/>
        <v>0</v>
      </c>
      <c r="G18" s="32" t="b">
        <f t="shared" si="0"/>
        <v>0</v>
      </c>
      <c r="H18" s="51"/>
      <c r="I18" s="33" t="b">
        <f t="shared" si="5"/>
        <v>0</v>
      </c>
      <c r="J18" s="32" t="b">
        <f t="shared" si="1"/>
        <v>0</v>
      </c>
      <c r="K18" s="51"/>
      <c r="L18" s="33" t="b">
        <f t="shared" si="2"/>
        <v>0</v>
      </c>
      <c r="M18" s="40" t="e">
        <f t="shared" si="6"/>
        <v>#VALUE!</v>
      </c>
      <c r="N18" s="40" t="b">
        <f t="shared" si="7"/>
        <v>0</v>
      </c>
      <c r="O18" s="41" t="e">
        <f t="shared" si="8"/>
        <v>#VALUE!</v>
      </c>
      <c r="P18" s="41" t="b">
        <f t="shared" si="3"/>
        <v>0</v>
      </c>
      <c r="Q18" s="51"/>
      <c r="R18" s="51"/>
      <c r="S18" s="52"/>
      <c r="T18" s="51"/>
      <c r="U18" s="1"/>
      <c r="V18" s="1"/>
      <c r="W18" s="1"/>
      <c r="X18" s="1"/>
      <c r="Y18" s="17"/>
    </row>
    <row r="19" spans="1:25">
      <c r="A19" s="50"/>
      <c r="B19" s="48"/>
      <c r="C19" s="51"/>
      <c r="D19" s="51"/>
      <c r="E19" s="51"/>
      <c r="F19" s="31" t="b">
        <f t="shared" si="4"/>
        <v>0</v>
      </c>
      <c r="G19" s="32" t="b">
        <f t="shared" si="0"/>
        <v>0</v>
      </c>
      <c r="H19" s="51"/>
      <c r="I19" s="33" t="b">
        <f t="shared" si="5"/>
        <v>0</v>
      </c>
      <c r="J19" s="32" t="b">
        <f t="shared" si="1"/>
        <v>0</v>
      </c>
      <c r="K19" s="51"/>
      <c r="L19" s="33" t="b">
        <f t="shared" si="2"/>
        <v>0</v>
      </c>
      <c r="M19" s="40" t="e">
        <f t="shared" si="6"/>
        <v>#VALUE!</v>
      </c>
      <c r="N19" s="40" t="b">
        <f t="shared" si="7"/>
        <v>0</v>
      </c>
      <c r="O19" s="41" t="e">
        <f t="shared" si="8"/>
        <v>#VALUE!</v>
      </c>
      <c r="P19" s="41" t="b">
        <f t="shared" si="3"/>
        <v>0</v>
      </c>
      <c r="Q19" s="51"/>
      <c r="R19" s="51"/>
      <c r="S19" s="52"/>
      <c r="T19" s="51"/>
      <c r="U19" s="1"/>
      <c r="V19" s="1"/>
      <c r="W19" s="1"/>
      <c r="X19" s="1"/>
      <c r="Y19" s="17"/>
    </row>
    <row r="20" spans="1:25">
      <c r="A20" s="50"/>
      <c r="B20" s="48"/>
      <c r="C20" s="51"/>
      <c r="D20" s="51"/>
      <c r="E20" s="51"/>
      <c r="F20" s="31" t="b">
        <f t="shared" si="4"/>
        <v>0</v>
      </c>
      <c r="G20" s="32" t="b">
        <f t="shared" si="0"/>
        <v>0</v>
      </c>
      <c r="H20" s="51"/>
      <c r="I20" s="33" t="b">
        <f t="shared" si="5"/>
        <v>0</v>
      </c>
      <c r="J20" s="32" t="b">
        <f t="shared" si="1"/>
        <v>0</v>
      </c>
      <c r="K20" s="51"/>
      <c r="L20" s="33" t="b">
        <f t="shared" si="2"/>
        <v>0</v>
      </c>
      <c r="M20" s="40" t="e">
        <f t="shared" si="6"/>
        <v>#VALUE!</v>
      </c>
      <c r="N20" s="40" t="b">
        <f t="shared" si="7"/>
        <v>0</v>
      </c>
      <c r="O20" s="41" t="e">
        <f t="shared" si="8"/>
        <v>#VALUE!</v>
      </c>
      <c r="P20" s="41" t="b">
        <f t="shared" si="3"/>
        <v>0</v>
      </c>
      <c r="Q20" s="51"/>
      <c r="R20" s="51"/>
      <c r="S20" s="52"/>
      <c r="T20" s="51"/>
      <c r="U20" s="1"/>
      <c r="V20" s="1"/>
      <c r="W20" s="1"/>
      <c r="X20" s="1"/>
      <c r="Y20" s="17"/>
    </row>
    <row r="21" spans="1:25">
      <c r="A21" s="50"/>
      <c r="B21" s="48"/>
      <c r="C21" s="51"/>
      <c r="D21" s="51"/>
      <c r="E21" s="51"/>
      <c r="F21" s="31" t="b">
        <f t="shared" si="4"/>
        <v>0</v>
      </c>
      <c r="G21" s="32" t="b">
        <f t="shared" si="0"/>
        <v>0</v>
      </c>
      <c r="H21" s="51"/>
      <c r="I21" s="33" t="b">
        <f t="shared" si="5"/>
        <v>0</v>
      </c>
      <c r="J21" s="32" t="b">
        <f t="shared" si="1"/>
        <v>0</v>
      </c>
      <c r="K21" s="51"/>
      <c r="L21" s="33" t="b">
        <f t="shared" si="2"/>
        <v>0</v>
      </c>
      <c r="M21" s="40" t="e">
        <f t="shared" si="6"/>
        <v>#VALUE!</v>
      </c>
      <c r="N21" s="40" t="b">
        <f t="shared" si="7"/>
        <v>0</v>
      </c>
      <c r="O21" s="41" t="e">
        <f t="shared" si="8"/>
        <v>#VALUE!</v>
      </c>
      <c r="P21" s="41" t="b">
        <f t="shared" si="3"/>
        <v>0</v>
      </c>
      <c r="Q21" s="51"/>
      <c r="R21" s="51"/>
      <c r="S21" s="52"/>
      <c r="T21" s="51"/>
      <c r="U21" s="1"/>
      <c r="V21" s="1"/>
      <c r="W21" s="1"/>
      <c r="X21" s="1"/>
      <c r="Y21" s="17"/>
    </row>
    <row r="22" spans="1:25">
      <c r="A22" s="50"/>
      <c r="B22" s="48"/>
      <c r="C22" s="51"/>
      <c r="D22" s="51"/>
      <c r="E22" s="51"/>
      <c r="F22" s="31" t="b">
        <f t="shared" si="4"/>
        <v>0</v>
      </c>
      <c r="G22" s="32" t="b">
        <f t="shared" si="0"/>
        <v>0</v>
      </c>
      <c r="H22" s="51"/>
      <c r="I22" s="33" t="b">
        <f t="shared" si="5"/>
        <v>0</v>
      </c>
      <c r="J22" s="32" t="b">
        <f t="shared" si="1"/>
        <v>0</v>
      </c>
      <c r="K22" s="51"/>
      <c r="L22" s="33" t="b">
        <f t="shared" si="2"/>
        <v>0</v>
      </c>
      <c r="M22" s="40" t="e">
        <f t="shared" si="6"/>
        <v>#VALUE!</v>
      </c>
      <c r="N22" s="40" t="b">
        <f t="shared" si="7"/>
        <v>0</v>
      </c>
      <c r="O22" s="41" t="e">
        <f t="shared" si="8"/>
        <v>#VALUE!</v>
      </c>
      <c r="P22" s="41" t="b">
        <f t="shared" si="3"/>
        <v>0</v>
      </c>
      <c r="Q22" s="51"/>
      <c r="R22" s="51"/>
      <c r="S22" s="52"/>
      <c r="T22" s="51"/>
      <c r="U22" s="1"/>
      <c r="V22" s="1"/>
      <c r="W22" s="1"/>
      <c r="X22" s="1"/>
      <c r="Y22" s="17"/>
    </row>
    <row r="23" spans="1:25">
      <c r="A23" s="50"/>
      <c r="B23" s="48"/>
      <c r="C23" s="51"/>
      <c r="D23" s="51"/>
      <c r="E23" s="51"/>
      <c r="F23" s="31" t="b">
        <f t="shared" si="4"/>
        <v>0</v>
      </c>
      <c r="G23" s="32" t="b">
        <f t="shared" si="0"/>
        <v>0</v>
      </c>
      <c r="H23" s="51"/>
      <c r="I23" s="33" t="b">
        <f t="shared" si="5"/>
        <v>0</v>
      </c>
      <c r="J23" s="32" t="b">
        <f t="shared" si="1"/>
        <v>0</v>
      </c>
      <c r="K23" s="51"/>
      <c r="L23" s="33" t="b">
        <f t="shared" si="2"/>
        <v>0</v>
      </c>
      <c r="M23" s="40" t="e">
        <f t="shared" si="6"/>
        <v>#VALUE!</v>
      </c>
      <c r="N23" s="40" t="b">
        <f t="shared" si="7"/>
        <v>0</v>
      </c>
      <c r="O23" s="41" t="e">
        <f t="shared" si="8"/>
        <v>#VALUE!</v>
      </c>
      <c r="P23" s="41" t="b">
        <f t="shared" si="3"/>
        <v>0</v>
      </c>
      <c r="Q23" s="51"/>
      <c r="R23" s="51"/>
      <c r="S23" s="52"/>
      <c r="T23" s="51"/>
      <c r="U23" s="1"/>
      <c r="V23" s="1"/>
      <c r="W23" s="1"/>
      <c r="X23" s="1"/>
      <c r="Y23" s="17"/>
    </row>
    <row r="24" spans="1:25">
      <c r="A24" s="50"/>
      <c r="B24" s="48"/>
      <c r="C24" s="51"/>
      <c r="D24" s="51"/>
      <c r="E24" s="51"/>
      <c r="F24" s="31" t="b">
        <f t="shared" si="4"/>
        <v>0</v>
      </c>
      <c r="G24" s="32" t="b">
        <f t="shared" si="0"/>
        <v>0</v>
      </c>
      <c r="H24" s="51"/>
      <c r="I24" s="33" t="b">
        <f t="shared" si="5"/>
        <v>0</v>
      </c>
      <c r="J24" s="32" t="b">
        <f t="shared" si="1"/>
        <v>0</v>
      </c>
      <c r="K24" s="51"/>
      <c r="L24" s="33" t="b">
        <f t="shared" si="2"/>
        <v>0</v>
      </c>
      <c r="M24" s="40" t="e">
        <f t="shared" si="6"/>
        <v>#VALUE!</v>
      </c>
      <c r="N24" s="40" t="b">
        <f t="shared" si="7"/>
        <v>0</v>
      </c>
      <c r="O24" s="41" t="e">
        <f t="shared" si="8"/>
        <v>#VALUE!</v>
      </c>
      <c r="P24" s="41" t="b">
        <f t="shared" si="3"/>
        <v>0</v>
      </c>
      <c r="Q24" s="51"/>
      <c r="R24" s="51"/>
      <c r="S24" s="52"/>
      <c r="T24" s="51"/>
      <c r="U24" s="1"/>
      <c r="V24" s="1"/>
      <c r="W24" s="1"/>
      <c r="X24" s="1"/>
      <c r="Y24" s="17"/>
    </row>
    <row r="25" spans="1:25">
      <c r="A25" s="50"/>
      <c r="B25" s="48"/>
      <c r="C25" s="51"/>
      <c r="D25" s="51"/>
      <c r="E25" s="51"/>
      <c r="F25" s="31" t="b">
        <f t="shared" si="4"/>
        <v>0</v>
      </c>
      <c r="G25" s="32" t="b">
        <f t="shared" si="0"/>
        <v>0</v>
      </c>
      <c r="H25" s="51"/>
      <c r="I25" s="33" t="b">
        <f t="shared" si="5"/>
        <v>0</v>
      </c>
      <c r="J25" s="32" t="b">
        <f t="shared" si="1"/>
        <v>0</v>
      </c>
      <c r="K25" s="51"/>
      <c r="L25" s="33" t="b">
        <f t="shared" si="2"/>
        <v>0</v>
      </c>
      <c r="M25" s="40" t="e">
        <f t="shared" si="6"/>
        <v>#VALUE!</v>
      </c>
      <c r="N25" s="40" t="b">
        <f t="shared" si="7"/>
        <v>0</v>
      </c>
      <c r="O25" s="41" t="e">
        <f t="shared" si="8"/>
        <v>#VALUE!</v>
      </c>
      <c r="P25" s="41" t="b">
        <f t="shared" si="3"/>
        <v>0</v>
      </c>
      <c r="Q25" s="51"/>
      <c r="R25" s="51"/>
      <c r="S25" s="52"/>
      <c r="T25" s="51"/>
      <c r="U25" s="1"/>
      <c r="V25" s="1"/>
      <c r="W25" s="1"/>
      <c r="X25" s="1"/>
      <c r="Y25" s="17"/>
    </row>
    <row r="26" spans="1:25">
      <c r="A26" s="50"/>
      <c r="B26" s="48"/>
      <c r="C26" s="51"/>
      <c r="D26" s="51"/>
      <c r="E26" s="51"/>
      <c r="F26" s="31" t="b">
        <f t="shared" si="4"/>
        <v>0</v>
      </c>
      <c r="G26" s="32" t="b">
        <f t="shared" si="0"/>
        <v>0</v>
      </c>
      <c r="H26" s="51"/>
      <c r="I26" s="33" t="b">
        <f t="shared" si="5"/>
        <v>0</v>
      </c>
      <c r="J26" s="32" t="b">
        <f t="shared" si="1"/>
        <v>0</v>
      </c>
      <c r="K26" s="51"/>
      <c r="L26" s="33" t="b">
        <f t="shared" si="2"/>
        <v>0</v>
      </c>
      <c r="M26" s="40" t="e">
        <f t="shared" si="6"/>
        <v>#VALUE!</v>
      </c>
      <c r="N26" s="40" t="b">
        <f t="shared" si="7"/>
        <v>0</v>
      </c>
      <c r="O26" s="41" t="e">
        <f t="shared" si="8"/>
        <v>#VALUE!</v>
      </c>
      <c r="P26" s="41" t="b">
        <f t="shared" si="3"/>
        <v>0</v>
      </c>
      <c r="Q26" s="51"/>
      <c r="R26" s="51"/>
      <c r="S26" s="52"/>
      <c r="T26" s="51"/>
      <c r="U26" s="1"/>
      <c r="V26" s="1"/>
      <c r="W26" s="1"/>
      <c r="X26" s="1"/>
      <c r="Y26" s="17"/>
    </row>
    <row r="27" spans="1:25">
      <c r="A27" s="50"/>
      <c r="B27" s="48"/>
      <c r="C27" s="51"/>
      <c r="D27" s="51"/>
      <c r="E27" s="51"/>
      <c r="F27" s="31" t="b">
        <f t="shared" si="4"/>
        <v>0</v>
      </c>
      <c r="G27" s="32" t="b">
        <f t="shared" si="0"/>
        <v>0</v>
      </c>
      <c r="H27" s="51"/>
      <c r="I27" s="33" t="b">
        <f t="shared" si="5"/>
        <v>0</v>
      </c>
      <c r="J27" s="32" t="b">
        <f t="shared" si="1"/>
        <v>0</v>
      </c>
      <c r="K27" s="51"/>
      <c r="L27" s="33" t="b">
        <f t="shared" si="2"/>
        <v>0</v>
      </c>
      <c r="M27" s="40" t="e">
        <f t="shared" si="6"/>
        <v>#VALUE!</v>
      </c>
      <c r="N27" s="40" t="b">
        <f t="shared" si="7"/>
        <v>0</v>
      </c>
      <c r="O27" s="41" t="e">
        <f t="shared" si="8"/>
        <v>#VALUE!</v>
      </c>
      <c r="P27" s="41" t="b">
        <f t="shared" si="3"/>
        <v>0</v>
      </c>
      <c r="Q27" s="51"/>
      <c r="R27" s="51"/>
      <c r="S27" s="52"/>
      <c r="T27" s="51"/>
      <c r="U27" s="1"/>
      <c r="V27" s="1"/>
      <c r="W27" s="1"/>
      <c r="X27" s="1"/>
      <c r="Y27" s="17"/>
    </row>
    <row r="28" spans="1:25">
      <c r="A28" s="50"/>
      <c r="B28" s="48"/>
      <c r="C28" s="51"/>
      <c r="D28" s="51"/>
      <c r="E28" s="51"/>
      <c r="F28" s="31" t="b">
        <f t="shared" si="4"/>
        <v>0</v>
      </c>
      <c r="G28" s="32" t="b">
        <f t="shared" si="0"/>
        <v>0</v>
      </c>
      <c r="H28" s="51"/>
      <c r="I28" s="33" t="b">
        <f t="shared" si="5"/>
        <v>0</v>
      </c>
      <c r="J28" s="32" t="b">
        <f t="shared" si="1"/>
        <v>0</v>
      </c>
      <c r="K28" s="51"/>
      <c r="L28" s="33" t="b">
        <f t="shared" si="2"/>
        <v>0</v>
      </c>
      <c r="M28" s="40" t="e">
        <f t="shared" si="6"/>
        <v>#VALUE!</v>
      </c>
      <c r="N28" s="40" t="b">
        <f t="shared" si="7"/>
        <v>0</v>
      </c>
      <c r="O28" s="41" t="e">
        <f t="shared" si="8"/>
        <v>#VALUE!</v>
      </c>
      <c r="P28" s="41" t="b">
        <f t="shared" si="3"/>
        <v>0</v>
      </c>
      <c r="Q28" s="51"/>
      <c r="R28" s="51"/>
      <c r="S28" s="52"/>
      <c r="T28" s="51"/>
      <c r="U28" s="1"/>
      <c r="V28" s="1"/>
      <c r="W28" s="1"/>
      <c r="X28" s="1"/>
      <c r="Y28" s="17"/>
    </row>
    <row r="29" spans="1:25">
      <c r="A29" s="50"/>
      <c r="B29" s="48"/>
      <c r="C29" s="51"/>
      <c r="D29" s="51"/>
      <c r="E29" s="51"/>
      <c r="F29" s="31" t="b">
        <f t="shared" si="4"/>
        <v>0</v>
      </c>
      <c r="G29" s="32" t="b">
        <f t="shared" si="0"/>
        <v>0</v>
      </c>
      <c r="H29" s="51"/>
      <c r="I29" s="33" t="b">
        <f t="shared" si="5"/>
        <v>0</v>
      </c>
      <c r="J29" s="32" t="b">
        <f t="shared" si="1"/>
        <v>0</v>
      </c>
      <c r="K29" s="51"/>
      <c r="L29" s="33" t="b">
        <f t="shared" si="2"/>
        <v>0</v>
      </c>
      <c r="M29" s="40" t="e">
        <f t="shared" si="6"/>
        <v>#VALUE!</v>
      </c>
      <c r="N29" s="40" t="b">
        <f t="shared" si="7"/>
        <v>0</v>
      </c>
      <c r="O29" s="41" t="e">
        <f t="shared" si="8"/>
        <v>#VALUE!</v>
      </c>
      <c r="P29" s="41" t="b">
        <f t="shared" si="3"/>
        <v>0</v>
      </c>
      <c r="Q29" s="51"/>
      <c r="R29" s="51"/>
      <c r="S29" s="52"/>
      <c r="T29" s="51"/>
      <c r="U29" s="1"/>
      <c r="V29" s="1"/>
      <c r="W29" s="1"/>
      <c r="X29" s="1"/>
      <c r="Y29" s="17"/>
    </row>
    <row r="30" spans="1:25">
      <c r="A30" s="50"/>
      <c r="B30" s="48"/>
      <c r="C30" s="51"/>
      <c r="D30" s="51"/>
      <c r="E30" s="51"/>
      <c r="F30" s="31" t="b">
        <f t="shared" si="4"/>
        <v>0</v>
      </c>
      <c r="G30" s="32" t="b">
        <f t="shared" si="0"/>
        <v>0</v>
      </c>
      <c r="H30" s="51"/>
      <c r="I30" s="33" t="b">
        <f t="shared" si="5"/>
        <v>0</v>
      </c>
      <c r="J30" s="32" t="b">
        <f t="shared" si="1"/>
        <v>0</v>
      </c>
      <c r="K30" s="51"/>
      <c r="L30" s="33" t="b">
        <f t="shared" si="2"/>
        <v>0</v>
      </c>
      <c r="M30" s="40" t="e">
        <f t="shared" si="6"/>
        <v>#VALUE!</v>
      </c>
      <c r="N30" s="40" t="b">
        <f t="shared" si="7"/>
        <v>0</v>
      </c>
      <c r="O30" s="41" t="e">
        <f t="shared" si="8"/>
        <v>#VALUE!</v>
      </c>
      <c r="P30" s="41" t="b">
        <f t="shared" si="3"/>
        <v>0</v>
      </c>
      <c r="Q30" s="51"/>
      <c r="R30" s="51"/>
      <c r="S30" s="52"/>
      <c r="T30" s="51"/>
      <c r="U30" s="1"/>
      <c r="V30" s="1"/>
      <c r="W30" s="1"/>
      <c r="X30" s="1"/>
      <c r="Y30" s="17"/>
    </row>
    <row r="31" spans="1:25">
      <c r="A31" s="50"/>
      <c r="B31" s="48"/>
      <c r="C31" s="51"/>
      <c r="D31" s="51"/>
      <c r="E31" s="51"/>
      <c r="F31" s="31" t="b">
        <f t="shared" si="4"/>
        <v>0</v>
      </c>
      <c r="G31" s="32" t="b">
        <f t="shared" si="0"/>
        <v>0</v>
      </c>
      <c r="H31" s="51"/>
      <c r="I31" s="33" t="b">
        <f t="shared" si="5"/>
        <v>0</v>
      </c>
      <c r="J31" s="32" t="b">
        <f t="shared" si="1"/>
        <v>0</v>
      </c>
      <c r="K31" s="51"/>
      <c r="L31" s="33" t="b">
        <f t="shared" si="2"/>
        <v>0</v>
      </c>
      <c r="M31" s="40" t="e">
        <f t="shared" si="6"/>
        <v>#VALUE!</v>
      </c>
      <c r="N31" s="40" t="b">
        <f t="shared" si="7"/>
        <v>0</v>
      </c>
      <c r="O31" s="41" t="e">
        <f t="shared" si="8"/>
        <v>#VALUE!</v>
      </c>
      <c r="P31" s="41" t="b">
        <f t="shared" si="3"/>
        <v>0</v>
      </c>
      <c r="Q31" s="51"/>
      <c r="R31" s="51"/>
      <c r="S31" s="52"/>
      <c r="T31" s="51"/>
      <c r="U31" s="1"/>
      <c r="V31" s="1"/>
      <c r="W31" s="1"/>
      <c r="X31" s="1"/>
      <c r="Y31" s="17"/>
    </row>
    <row r="32" spans="1:25">
      <c r="A32" s="50"/>
      <c r="B32" s="48"/>
      <c r="C32" s="51"/>
      <c r="D32" s="51"/>
      <c r="E32" s="51"/>
      <c r="F32" s="31" t="b">
        <f t="shared" si="4"/>
        <v>0</v>
      </c>
      <c r="G32" s="32" t="b">
        <f t="shared" si="0"/>
        <v>0</v>
      </c>
      <c r="H32" s="51"/>
      <c r="I32" s="33" t="b">
        <f t="shared" si="5"/>
        <v>0</v>
      </c>
      <c r="J32" s="32" t="b">
        <f t="shared" si="1"/>
        <v>0</v>
      </c>
      <c r="K32" s="51"/>
      <c r="L32" s="33" t="b">
        <f t="shared" si="2"/>
        <v>0</v>
      </c>
      <c r="M32" s="40" t="e">
        <f t="shared" si="6"/>
        <v>#VALUE!</v>
      </c>
      <c r="N32" s="40" t="b">
        <f t="shared" si="7"/>
        <v>0</v>
      </c>
      <c r="O32" s="41" t="e">
        <f t="shared" si="8"/>
        <v>#VALUE!</v>
      </c>
      <c r="P32" s="41" t="b">
        <f t="shared" si="3"/>
        <v>0</v>
      </c>
      <c r="Q32" s="51"/>
      <c r="R32" s="51"/>
      <c r="S32" s="52"/>
      <c r="T32" s="51"/>
      <c r="U32" s="1"/>
      <c r="V32" s="1"/>
      <c r="W32" s="1"/>
      <c r="X32" s="1"/>
      <c r="Y32" s="17"/>
    </row>
    <row r="33" spans="1:25">
      <c r="A33" s="50"/>
      <c r="B33" s="48"/>
      <c r="C33" s="51"/>
      <c r="D33" s="51"/>
      <c r="E33" s="51"/>
      <c r="F33" s="31" t="b">
        <f t="shared" si="4"/>
        <v>0</v>
      </c>
      <c r="G33" s="32" t="b">
        <f t="shared" si="0"/>
        <v>0</v>
      </c>
      <c r="H33" s="51"/>
      <c r="I33" s="33" t="b">
        <f t="shared" si="5"/>
        <v>0</v>
      </c>
      <c r="J33" s="32" t="b">
        <f t="shared" si="1"/>
        <v>0</v>
      </c>
      <c r="K33" s="51"/>
      <c r="L33" s="33" t="b">
        <f t="shared" si="2"/>
        <v>0</v>
      </c>
      <c r="M33" s="40" t="e">
        <f t="shared" si="6"/>
        <v>#VALUE!</v>
      </c>
      <c r="N33" s="40" t="b">
        <f t="shared" si="7"/>
        <v>0</v>
      </c>
      <c r="O33" s="41" t="e">
        <f t="shared" si="8"/>
        <v>#VALUE!</v>
      </c>
      <c r="P33" s="41" t="b">
        <f t="shared" si="3"/>
        <v>0</v>
      </c>
      <c r="Q33" s="51"/>
      <c r="R33" s="51"/>
      <c r="S33" s="52"/>
      <c r="T33" s="51"/>
      <c r="U33" s="1"/>
      <c r="V33" s="1"/>
      <c r="W33" s="1"/>
      <c r="X33" s="1"/>
      <c r="Y33" s="17"/>
    </row>
    <row r="34" spans="1:25">
      <c r="A34" s="50"/>
      <c r="B34" s="48"/>
      <c r="C34" s="51"/>
      <c r="D34" s="51"/>
      <c r="E34" s="51"/>
      <c r="F34" s="31" t="b">
        <f t="shared" si="4"/>
        <v>0</v>
      </c>
      <c r="G34" s="32" t="b">
        <f t="shared" si="0"/>
        <v>0</v>
      </c>
      <c r="H34" s="51"/>
      <c r="I34" s="33" t="b">
        <f t="shared" si="5"/>
        <v>0</v>
      </c>
      <c r="J34" s="32" t="b">
        <f t="shared" si="1"/>
        <v>0</v>
      </c>
      <c r="K34" s="51"/>
      <c r="L34" s="33" t="b">
        <f t="shared" si="2"/>
        <v>0</v>
      </c>
      <c r="M34" s="40" t="e">
        <f t="shared" si="6"/>
        <v>#VALUE!</v>
      </c>
      <c r="N34" s="40" t="b">
        <f t="shared" si="7"/>
        <v>0</v>
      </c>
      <c r="O34" s="41" t="e">
        <f t="shared" si="8"/>
        <v>#VALUE!</v>
      </c>
      <c r="P34" s="41" t="b">
        <f t="shared" si="3"/>
        <v>0</v>
      </c>
      <c r="Q34" s="51"/>
      <c r="R34" s="51"/>
      <c r="S34" s="52"/>
      <c r="T34" s="51"/>
      <c r="U34" s="1"/>
      <c r="V34" s="1"/>
      <c r="W34" s="1"/>
      <c r="X34" s="1"/>
      <c r="Y34" s="17"/>
    </row>
    <row r="35" spans="1:25">
      <c r="A35" s="50"/>
      <c r="B35" s="48"/>
      <c r="C35" s="51"/>
      <c r="D35" s="51"/>
      <c r="E35" s="51"/>
      <c r="F35" s="31" t="b">
        <f t="shared" si="4"/>
        <v>0</v>
      </c>
      <c r="G35" s="32" t="b">
        <f t="shared" si="0"/>
        <v>0</v>
      </c>
      <c r="H35" s="51"/>
      <c r="I35" s="33" t="b">
        <f t="shared" si="5"/>
        <v>0</v>
      </c>
      <c r="J35" s="32" t="b">
        <f t="shared" si="1"/>
        <v>0</v>
      </c>
      <c r="K35" s="51"/>
      <c r="L35" s="33" t="b">
        <f t="shared" si="2"/>
        <v>0</v>
      </c>
      <c r="M35" s="40" t="e">
        <f t="shared" si="6"/>
        <v>#VALUE!</v>
      </c>
      <c r="N35" s="40" t="b">
        <f t="shared" si="7"/>
        <v>0</v>
      </c>
      <c r="O35" s="41" t="e">
        <f t="shared" si="8"/>
        <v>#VALUE!</v>
      </c>
      <c r="P35" s="41" t="b">
        <f t="shared" si="3"/>
        <v>0</v>
      </c>
      <c r="Q35" s="51"/>
      <c r="R35" s="51"/>
      <c r="S35" s="52"/>
      <c r="T35" s="51"/>
      <c r="U35" s="1"/>
      <c r="V35" s="1"/>
      <c r="W35" s="1"/>
      <c r="X35" s="1"/>
      <c r="Y35" s="17"/>
    </row>
    <row r="36" spans="1:25">
      <c r="A36" s="50"/>
      <c r="B36" s="48"/>
      <c r="C36" s="51"/>
      <c r="D36" s="51"/>
      <c r="E36" s="51"/>
      <c r="F36" s="31" t="b">
        <f t="shared" si="4"/>
        <v>0</v>
      </c>
      <c r="G36" s="32" t="b">
        <f t="shared" si="0"/>
        <v>0</v>
      </c>
      <c r="H36" s="51"/>
      <c r="I36" s="33" t="b">
        <f t="shared" si="5"/>
        <v>0</v>
      </c>
      <c r="J36" s="32" t="b">
        <f t="shared" si="1"/>
        <v>0</v>
      </c>
      <c r="K36" s="51"/>
      <c r="L36" s="33" t="b">
        <f t="shared" si="2"/>
        <v>0</v>
      </c>
      <c r="M36" s="40" t="e">
        <f t="shared" si="6"/>
        <v>#VALUE!</v>
      </c>
      <c r="N36" s="40" t="b">
        <f t="shared" si="7"/>
        <v>0</v>
      </c>
      <c r="O36" s="41" t="e">
        <f t="shared" si="8"/>
        <v>#VALUE!</v>
      </c>
      <c r="P36" s="41" t="b">
        <f t="shared" si="3"/>
        <v>0</v>
      </c>
      <c r="Q36" s="51"/>
      <c r="R36" s="51"/>
      <c r="S36" s="52"/>
      <c r="T36" s="51"/>
      <c r="U36" s="1"/>
      <c r="V36" s="1"/>
      <c r="W36" s="1"/>
      <c r="X36" s="1"/>
      <c r="Y36" s="17"/>
    </row>
    <row r="37" spans="1:25">
      <c r="A37" s="50"/>
      <c r="B37" s="48"/>
      <c r="C37" s="51"/>
      <c r="D37" s="51"/>
      <c r="E37" s="51"/>
      <c r="F37" s="31" t="b">
        <f t="shared" si="4"/>
        <v>0</v>
      </c>
      <c r="G37" s="32" t="b">
        <f t="shared" si="0"/>
        <v>0</v>
      </c>
      <c r="H37" s="51"/>
      <c r="I37" s="33" t="b">
        <f t="shared" si="5"/>
        <v>0</v>
      </c>
      <c r="J37" s="32" t="b">
        <f t="shared" si="1"/>
        <v>0</v>
      </c>
      <c r="K37" s="51"/>
      <c r="L37" s="33" t="b">
        <f t="shared" si="2"/>
        <v>0</v>
      </c>
      <c r="M37" s="40" t="e">
        <f t="shared" si="6"/>
        <v>#VALUE!</v>
      </c>
      <c r="N37" s="40" t="b">
        <f t="shared" si="7"/>
        <v>0</v>
      </c>
      <c r="O37" s="41" t="e">
        <f t="shared" si="8"/>
        <v>#VALUE!</v>
      </c>
      <c r="P37" s="41" t="b">
        <f t="shared" si="3"/>
        <v>0</v>
      </c>
      <c r="Q37" s="51"/>
      <c r="R37" s="51"/>
      <c r="S37" s="52"/>
      <c r="T37" s="51"/>
      <c r="U37" s="1"/>
      <c r="V37" s="1"/>
      <c r="W37" s="1"/>
      <c r="X37" s="1"/>
      <c r="Y37" s="17"/>
    </row>
    <row r="38" spans="1:25">
      <c r="A38" s="50"/>
      <c r="B38" s="48"/>
      <c r="C38" s="51"/>
      <c r="D38" s="51"/>
      <c r="E38" s="51"/>
      <c r="F38" s="31" t="b">
        <f t="shared" si="4"/>
        <v>0</v>
      </c>
      <c r="G38" s="32" t="b">
        <f t="shared" si="0"/>
        <v>0</v>
      </c>
      <c r="H38" s="51"/>
      <c r="I38" s="33" t="b">
        <f t="shared" si="5"/>
        <v>0</v>
      </c>
      <c r="J38" s="32" t="b">
        <f t="shared" si="1"/>
        <v>0</v>
      </c>
      <c r="K38" s="51"/>
      <c r="L38" s="33" t="b">
        <f t="shared" si="2"/>
        <v>0</v>
      </c>
      <c r="M38" s="40" t="e">
        <f t="shared" si="6"/>
        <v>#VALUE!</v>
      </c>
      <c r="N38" s="40" t="b">
        <f t="shared" si="7"/>
        <v>0</v>
      </c>
      <c r="O38" s="41" t="e">
        <f t="shared" si="8"/>
        <v>#VALUE!</v>
      </c>
      <c r="P38" s="41" t="b">
        <f t="shared" si="3"/>
        <v>0</v>
      </c>
      <c r="Q38" s="51"/>
      <c r="R38" s="51"/>
      <c r="S38" s="52"/>
      <c r="T38" s="51"/>
      <c r="U38" s="1"/>
      <c r="V38" s="1"/>
      <c r="W38" s="1"/>
      <c r="X38" s="1"/>
      <c r="Y38" s="17"/>
    </row>
    <row r="39" spans="1:25">
      <c r="A39" s="50"/>
      <c r="B39" s="48"/>
      <c r="C39" s="51"/>
      <c r="D39" s="51"/>
      <c r="E39" s="51"/>
      <c r="F39" s="31" t="b">
        <f t="shared" si="4"/>
        <v>0</v>
      </c>
      <c r="G39" s="32" t="b">
        <f t="shared" si="0"/>
        <v>0</v>
      </c>
      <c r="H39" s="51"/>
      <c r="I39" s="33" t="b">
        <f t="shared" si="5"/>
        <v>0</v>
      </c>
      <c r="J39" s="32" t="b">
        <f t="shared" si="1"/>
        <v>0</v>
      </c>
      <c r="K39" s="51"/>
      <c r="L39" s="33" t="b">
        <f t="shared" si="2"/>
        <v>0</v>
      </c>
      <c r="M39" s="40" t="e">
        <f t="shared" si="6"/>
        <v>#VALUE!</v>
      </c>
      <c r="N39" s="40" t="b">
        <f t="shared" si="7"/>
        <v>0</v>
      </c>
      <c r="O39" s="41" t="e">
        <f t="shared" si="8"/>
        <v>#VALUE!</v>
      </c>
      <c r="P39" s="41" t="b">
        <f t="shared" si="3"/>
        <v>0</v>
      </c>
      <c r="Q39" s="51"/>
      <c r="R39" s="51"/>
      <c r="S39" s="52"/>
      <c r="T39" s="51"/>
      <c r="U39" s="1"/>
      <c r="V39" s="1"/>
      <c r="W39" s="1"/>
      <c r="X39" s="1"/>
      <c r="Y39" s="17"/>
    </row>
    <row r="40" spans="1:25">
      <c r="A40" s="50"/>
      <c r="B40" s="48"/>
      <c r="C40" s="51"/>
      <c r="D40" s="51"/>
      <c r="E40" s="51"/>
      <c r="F40" s="31" t="b">
        <f t="shared" si="4"/>
        <v>0</v>
      </c>
      <c r="G40" s="32" t="b">
        <f t="shared" si="0"/>
        <v>0</v>
      </c>
      <c r="H40" s="51"/>
      <c r="I40" s="33" t="b">
        <f t="shared" si="5"/>
        <v>0</v>
      </c>
      <c r="J40" s="32" t="b">
        <f t="shared" si="1"/>
        <v>0</v>
      </c>
      <c r="K40" s="51"/>
      <c r="L40" s="33" t="b">
        <f t="shared" si="2"/>
        <v>0</v>
      </c>
      <c r="M40" s="40" t="e">
        <f t="shared" si="6"/>
        <v>#VALUE!</v>
      </c>
      <c r="N40" s="40" t="b">
        <f t="shared" si="7"/>
        <v>0</v>
      </c>
      <c r="O40" s="41" t="e">
        <f t="shared" si="8"/>
        <v>#VALUE!</v>
      </c>
      <c r="P40" s="41" t="b">
        <f t="shared" si="3"/>
        <v>0</v>
      </c>
      <c r="Q40" s="51"/>
      <c r="R40" s="51"/>
      <c r="S40" s="52"/>
      <c r="T40" s="51"/>
      <c r="U40" s="1"/>
      <c r="V40" s="1"/>
      <c r="W40" s="1"/>
      <c r="X40" s="1"/>
      <c r="Y40" s="17"/>
    </row>
    <row r="41" spans="1:25">
      <c r="A41" s="50"/>
      <c r="B41" s="48"/>
      <c r="C41" s="51"/>
      <c r="D41" s="51"/>
      <c r="E41" s="51"/>
      <c r="F41" s="31" t="b">
        <f t="shared" si="4"/>
        <v>0</v>
      </c>
      <c r="G41" s="32" t="b">
        <f t="shared" si="0"/>
        <v>0</v>
      </c>
      <c r="H41" s="51"/>
      <c r="I41" s="33" t="b">
        <f t="shared" si="5"/>
        <v>0</v>
      </c>
      <c r="J41" s="32" t="b">
        <f t="shared" si="1"/>
        <v>0</v>
      </c>
      <c r="K41" s="51"/>
      <c r="L41" s="33" t="b">
        <f t="shared" si="2"/>
        <v>0</v>
      </c>
      <c r="M41" s="40" t="e">
        <f t="shared" si="6"/>
        <v>#VALUE!</v>
      </c>
      <c r="N41" s="40" t="b">
        <f t="shared" si="7"/>
        <v>0</v>
      </c>
      <c r="O41" s="41" t="e">
        <f t="shared" si="8"/>
        <v>#VALUE!</v>
      </c>
      <c r="P41" s="41" t="b">
        <f t="shared" si="3"/>
        <v>0</v>
      </c>
      <c r="Q41" s="51"/>
      <c r="R41" s="51"/>
      <c r="S41" s="52"/>
      <c r="T41" s="51"/>
      <c r="U41" s="1"/>
      <c r="V41" s="1"/>
      <c r="W41" s="1"/>
      <c r="X41" s="1"/>
      <c r="Y41" s="17"/>
    </row>
    <row r="42" spans="1:25">
      <c r="A42" s="50"/>
      <c r="B42" s="48"/>
      <c r="C42" s="51"/>
      <c r="D42" s="51"/>
      <c r="E42" s="51"/>
      <c r="F42" s="31" t="b">
        <f t="shared" si="4"/>
        <v>0</v>
      </c>
      <c r="G42" s="32" t="b">
        <f t="shared" si="0"/>
        <v>0</v>
      </c>
      <c r="H42" s="51"/>
      <c r="I42" s="33" t="b">
        <f t="shared" si="5"/>
        <v>0</v>
      </c>
      <c r="J42" s="32" t="b">
        <f t="shared" si="1"/>
        <v>0</v>
      </c>
      <c r="K42" s="51"/>
      <c r="L42" s="33" t="b">
        <f t="shared" si="2"/>
        <v>0</v>
      </c>
      <c r="M42" s="40" t="e">
        <f t="shared" si="6"/>
        <v>#VALUE!</v>
      </c>
      <c r="N42" s="40" t="b">
        <f t="shared" si="7"/>
        <v>0</v>
      </c>
      <c r="O42" s="41" t="e">
        <f t="shared" si="8"/>
        <v>#VALUE!</v>
      </c>
      <c r="P42" s="41" t="b">
        <f t="shared" si="3"/>
        <v>0</v>
      </c>
      <c r="Q42" s="51"/>
      <c r="R42" s="51"/>
      <c r="S42" s="52"/>
      <c r="T42" s="51"/>
      <c r="U42" s="1"/>
      <c r="V42" s="1"/>
      <c r="W42" s="1"/>
      <c r="X42" s="1"/>
      <c r="Y42" s="17"/>
    </row>
    <row r="43" spans="1:25">
      <c r="A43" s="50"/>
      <c r="B43" s="48"/>
      <c r="C43" s="51"/>
      <c r="D43" s="51"/>
      <c r="E43" s="51"/>
      <c r="F43" s="31" t="b">
        <f t="shared" si="4"/>
        <v>0</v>
      </c>
      <c r="G43" s="32" t="b">
        <f t="shared" si="0"/>
        <v>0</v>
      </c>
      <c r="H43" s="51"/>
      <c r="I43" s="33" t="b">
        <f t="shared" si="5"/>
        <v>0</v>
      </c>
      <c r="J43" s="32" t="b">
        <f t="shared" si="1"/>
        <v>0</v>
      </c>
      <c r="K43" s="51"/>
      <c r="L43" s="33" t="b">
        <f t="shared" si="2"/>
        <v>0</v>
      </c>
      <c r="M43" s="40" t="e">
        <f t="shared" si="6"/>
        <v>#VALUE!</v>
      </c>
      <c r="N43" s="40" t="b">
        <f t="shared" si="7"/>
        <v>0</v>
      </c>
      <c r="O43" s="41" t="e">
        <f t="shared" si="8"/>
        <v>#VALUE!</v>
      </c>
      <c r="P43" s="41" t="b">
        <f t="shared" si="3"/>
        <v>0</v>
      </c>
      <c r="Q43" s="51"/>
      <c r="R43" s="51"/>
      <c r="S43" s="52"/>
      <c r="T43" s="51"/>
      <c r="U43" s="1"/>
      <c r="V43" s="1"/>
      <c r="W43" s="1"/>
      <c r="X43" s="1"/>
      <c r="Y43" s="17"/>
    </row>
    <row r="44" spans="1:25">
      <c r="A44" s="50"/>
      <c r="B44" s="48"/>
      <c r="C44" s="51"/>
      <c r="D44" s="51"/>
      <c r="E44" s="51"/>
      <c r="F44" s="31" t="b">
        <f t="shared" si="4"/>
        <v>0</v>
      </c>
      <c r="G44" s="32" t="b">
        <f t="shared" si="0"/>
        <v>0</v>
      </c>
      <c r="H44" s="51"/>
      <c r="I44" s="33" t="b">
        <f t="shared" si="5"/>
        <v>0</v>
      </c>
      <c r="J44" s="32" t="b">
        <f t="shared" si="1"/>
        <v>0</v>
      </c>
      <c r="K44" s="51"/>
      <c r="L44" s="33" t="b">
        <f t="shared" si="2"/>
        <v>0</v>
      </c>
      <c r="M44" s="40" t="e">
        <f t="shared" si="6"/>
        <v>#VALUE!</v>
      </c>
      <c r="N44" s="40" t="b">
        <f t="shared" si="7"/>
        <v>0</v>
      </c>
      <c r="O44" s="41" t="e">
        <f t="shared" si="8"/>
        <v>#VALUE!</v>
      </c>
      <c r="P44" s="41" t="b">
        <f t="shared" si="3"/>
        <v>0</v>
      </c>
      <c r="Q44" s="51"/>
      <c r="R44" s="51"/>
      <c r="S44" s="52"/>
      <c r="T44" s="51"/>
      <c r="U44" s="1"/>
      <c r="V44" s="1"/>
      <c r="W44" s="1"/>
      <c r="X44" s="1"/>
      <c r="Y44" s="17"/>
    </row>
    <row r="45" spans="1:25">
      <c r="A45" s="50"/>
      <c r="B45" s="48"/>
      <c r="C45" s="51"/>
      <c r="D45" s="51"/>
      <c r="E45" s="51"/>
      <c r="F45" s="31" t="b">
        <f t="shared" si="4"/>
        <v>0</v>
      </c>
      <c r="G45" s="32" t="b">
        <f t="shared" si="0"/>
        <v>0</v>
      </c>
      <c r="H45" s="51"/>
      <c r="I45" s="33" t="b">
        <f t="shared" si="5"/>
        <v>0</v>
      </c>
      <c r="J45" s="32" t="b">
        <f t="shared" si="1"/>
        <v>0</v>
      </c>
      <c r="K45" s="51"/>
      <c r="L45" s="33" t="b">
        <f t="shared" si="2"/>
        <v>0</v>
      </c>
      <c r="M45" s="40" t="e">
        <f t="shared" si="6"/>
        <v>#VALUE!</v>
      </c>
      <c r="N45" s="40" t="b">
        <f t="shared" si="7"/>
        <v>0</v>
      </c>
      <c r="O45" s="41" t="e">
        <f t="shared" si="8"/>
        <v>#VALUE!</v>
      </c>
      <c r="P45" s="41" t="b">
        <f t="shared" si="3"/>
        <v>0</v>
      </c>
      <c r="Q45" s="51"/>
      <c r="R45" s="51"/>
      <c r="S45" s="52"/>
      <c r="T45" s="51"/>
      <c r="U45" s="1"/>
      <c r="V45" s="1"/>
      <c r="W45" s="1"/>
      <c r="X45" s="1"/>
      <c r="Y45" s="17"/>
    </row>
    <row r="46" spans="1:25">
      <c r="A46" s="50"/>
      <c r="B46" s="48"/>
      <c r="C46" s="51"/>
      <c r="D46" s="51"/>
      <c r="E46" s="51"/>
      <c r="F46" s="31" t="b">
        <f t="shared" si="4"/>
        <v>0</v>
      </c>
      <c r="G46" s="32" t="b">
        <f t="shared" si="0"/>
        <v>0</v>
      </c>
      <c r="H46" s="51"/>
      <c r="I46" s="33" t="b">
        <f t="shared" si="5"/>
        <v>0</v>
      </c>
      <c r="J46" s="32" t="b">
        <f t="shared" si="1"/>
        <v>0</v>
      </c>
      <c r="K46" s="51"/>
      <c r="L46" s="33" t="b">
        <f t="shared" si="2"/>
        <v>0</v>
      </c>
      <c r="M46" s="40" t="e">
        <f t="shared" si="6"/>
        <v>#VALUE!</v>
      </c>
      <c r="N46" s="40" t="b">
        <f t="shared" si="7"/>
        <v>0</v>
      </c>
      <c r="O46" s="41" t="e">
        <f t="shared" si="8"/>
        <v>#VALUE!</v>
      </c>
      <c r="P46" s="41" t="b">
        <f t="shared" si="3"/>
        <v>0</v>
      </c>
      <c r="Q46" s="51"/>
      <c r="R46" s="51"/>
      <c r="S46" s="52"/>
      <c r="T46" s="51"/>
      <c r="U46" s="1"/>
      <c r="V46" s="1"/>
      <c r="W46" s="1"/>
      <c r="X46" s="1"/>
      <c r="Y46" s="17"/>
    </row>
    <row r="47" spans="1:25">
      <c r="A47" s="50"/>
      <c r="B47" s="48"/>
      <c r="C47" s="51"/>
      <c r="D47" s="51"/>
      <c r="E47" s="51"/>
      <c r="F47" s="31" t="b">
        <f t="shared" si="4"/>
        <v>0</v>
      </c>
      <c r="G47" s="32" t="b">
        <f t="shared" si="0"/>
        <v>0</v>
      </c>
      <c r="H47" s="51"/>
      <c r="I47" s="33" t="b">
        <f t="shared" si="5"/>
        <v>0</v>
      </c>
      <c r="J47" s="32" t="b">
        <f t="shared" si="1"/>
        <v>0</v>
      </c>
      <c r="K47" s="51"/>
      <c r="L47" s="33" t="b">
        <f t="shared" si="2"/>
        <v>0</v>
      </c>
      <c r="M47" s="40" t="e">
        <f t="shared" si="6"/>
        <v>#VALUE!</v>
      </c>
      <c r="N47" s="40" t="b">
        <f t="shared" si="7"/>
        <v>0</v>
      </c>
      <c r="O47" s="41" t="e">
        <f t="shared" si="8"/>
        <v>#VALUE!</v>
      </c>
      <c r="P47" s="41" t="b">
        <f t="shared" si="3"/>
        <v>0</v>
      </c>
      <c r="Q47" s="51"/>
      <c r="R47" s="51"/>
      <c r="S47" s="52"/>
      <c r="T47" s="51"/>
      <c r="U47" s="1"/>
      <c r="V47" s="1"/>
      <c r="W47" s="1"/>
      <c r="X47" s="1"/>
      <c r="Y47" s="17"/>
    </row>
    <row r="48" spans="1:25">
      <c r="A48" s="50"/>
      <c r="B48" s="48"/>
      <c r="C48" s="51"/>
      <c r="D48" s="51"/>
      <c r="E48" s="51"/>
      <c r="F48" s="31" t="b">
        <f t="shared" si="4"/>
        <v>0</v>
      </c>
      <c r="G48" s="32" t="b">
        <f t="shared" si="0"/>
        <v>0</v>
      </c>
      <c r="H48" s="51"/>
      <c r="I48" s="33" t="b">
        <f t="shared" si="5"/>
        <v>0</v>
      </c>
      <c r="J48" s="32" t="b">
        <f t="shared" si="1"/>
        <v>0</v>
      </c>
      <c r="K48" s="51"/>
      <c r="L48" s="33" t="b">
        <f t="shared" si="2"/>
        <v>0</v>
      </c>
      <c r="M48" s="40" t="e">
        <f t="shared" si="6"/>
        <v>#VALUE!</v>
      </c>
      <c r="N48" s="40" t="b">
        <f t="shared" si="7"/>
        <v>0</v>
      </c>
      <c r="O48" s="41" t="e">
        <f t="shared" si="8"/>
        <v>#VALUE!</v>
      </c>
      <c r="P48" s="41" t="b">
        <f t="shared" si="3"/>
        <v>0</v>
      </c>
      <c r="Q48" s="51"/>
      <c r="R48" s="51"/>
      <c r="S48" s="52"/>
      <c r="T48" s="51"/>
      <c r="U48" s="1"/>
      <c r="V48" s="1"/>
      <c r="W48" s="1"/>
      <c r="X48" s="1"/>
      <c r="Y48" s="17"/>
    </row>
    <row r="49" spans="1:25">
      <c r="A49" s="50"/>
      <c r="B49" s="48"/>
      <c r="C49" s="51"/>
      <c r="D49" s="51"/>
      <c r="E49" s="51"/>
      <c r="F49" s="31" t="b">
        <f t="shared" si="4"/>
        <v>0</v>
      </c>
      <c r="G49" s="32" t="b">
        <f t="shared" si="0"/>
        <v>0</v>
      </c>
      <c r="H49" s="51"/>
      <c r="I49" s="33" t="b">
        <f t="shared" si="5"/>
        <v>0</v>
      </c>
      <c r="J49" s="32" t="b">
        <f t="shared" si="1"/>
        <v>0</v>
      </c>
      <c r="K49" s="51"/>
      <c r="L49" s="33" t="b">
        <f t="shared" si="2"/>
        <v>0</v>
      </c>
      <c r="M49" s="40" t="e">
        <f t="shared" si="6"/>
        <v>#VALUE!</v>
      </c>
      <c r="N49" s="40" t="b">
        <f t="shared" si="7"/>
        <v>0</v>
      </c>
      <c r="O49" s="41" t="e">
        <f t="shared" si="8"/>
        <v>#VALUE!</v>
      </c>
      <c r="P49" s="41" t="b">
        <f t="shared" si="3"/>
        <v>0</v>
      </c>
      <c r="Q49" s="51"/>
      <c r="R49" s="51"/>
      <c r="S49" s="52"/>
      <c r="T49" s="51"/>
      <c r="U49" s="1"/>
      <c r="V49" s="1"/>
      <c r="W49" s="1"/>
      <c r="X49" s="1"/>
      <c r="Y49" s="17"/>
    </row>
    <row r="50" spans="1:25">
      <c r="A50" s="50"/>
      <c r="B50" s="48"/>
      <c r="C50" s="51"/>
      <c r="D50" s="51"/>
      <c r="E50" s="51"/>
      <c r="F50" s="31" t="b">
        <f t="shared" si="4"/>
        <v>0</v>
      </c>
      <c r="G50" s="32" t="b">
        <f t="shared" si="0"/>
        <v>0</v>
      </c>
      <c r="H50" s="51"/>
      <c r="I50" s="33" t="b">
        <f t="shared" si="5"/>
        <v>0</v>
      </c>
      <c r="J50" s="32" t="b">
        <f t="shared" si="1"/>
        <v>0</v>
      </c>
      <c r="K50" s="51"/>
      <c r="L50" s="33" t="b">
        <f t="shared" si="2"/>
        <v>0</v>
      </c>
      <c r="M50" s="40" t="e">
        <f t="shared" si="6"/>
        <v>#VALUE!</v>
      </c>
      <c r="N50" s="40" t="b">
        <f t="shared" si="7"/>
        <v>0</v>
      </c>
      <c r="O50" s="41" t="e">
        <f t="shared" si="8"/>
        <v>#VALUE!</v>
      </c>
      <c r="P50" s="41" t="b">
        <f t="shared" si="3"/>
        <v>0</v>
      </c>
      <c r="Q50" s="51"/>
      <c r="R50" s="51"/>
      <c r="S50" s="52"/>
      <c r="T50" s="51"/>
      <c r="U50" s="1"/>
      <c r="V50" s="1"/>
      <c r="W50" s="1"/>
      <c r="X50" s="1"/>
      <c r="Y50" s="17"/>
    </row>
    <row r="51" spans="1:25">
      <c r="A51" s="50"/>
      <c r="B51" s="48"/>
      <c r="C51" s="51"/>
      <c r="D51" s="51"/>
      <c r="E51" s="51"/>
      <c r="F51" s="31" t="b">
        <f t="shared" si="4"/>
        <v>0</v>
      </c>
      <c r="G51" s="32" t="b">
        <f t="shared" si="0"/>
        <v>0</v>
      </c>
      <c r="H51" s="51"/>
      <c r="I51" s="33" t="b">
        <f t="shared" si="5"/>
        <v>0</v>
      </c>
      <c r="J51" s="32" t="b">
        <f t="shared" si="1"/>
        <v>0</v>
      </c>
      <c r="K51" s="51"/>
      <c r="L51" s="33" t="b">
        <f t="shared" si="2"/>
        <v>0</v>
      </c>
      <c r="M51" s="40" t="e">
        <f t="shared" si="6"/>
        <v>#VALUE!</v>
      </c>
      <c r="N51" s="40" t="b">
        <f t="shared" si="7"/>
        <v>0</v>
      </c>
      <c r="O51" s="41" t="e">
        <f t="shared" si="8"/>
        <v>#VALUE!</v>
      </c>
      <c r="P51" s="41" t="b">
        <f t="shared" si="3"/>
        <v>0</v>
      </c>
      <c r="Q51" s="51"/>
      <c r="R51" s="51"/>
      <c r="S51" s="52"/>
      <c r="T51" s="51"/>
      <c r="U51" s="1"/>
      <c r="V51" s="1"/>
      <c r="W51" s="1"/>
      <c r="X51" s="1"/>
      <c r="Y51" s="17"/>
    </row>
    <row r="52" spans="1:25">
      <c r="A52" s="50"/>
      <c r="B52" s="48"/>
      <c r="C52" s="51"/>
      <c r="D52" s="51"/>
      <c r="E52" s="51"/>
      <c r="F52" s="31" t="b">
        <f t="shared" si="4"/>
        <v>0</v>
      </c>
      <c r="G52" s="32" t="b">
        <f t="shared" si="0"/>
        <v>0</v>
      </c>
      <c r="H52" s="51"/>
      <c r="I52" s="33" t="b">
        <f t="shared" si="5"/>
        <v>0</v>
      </c>
      <c r="J52" s="32" t="b">
        <f t="shared" si="1"/>
        <v>0</v>
      </c>
      <c r="K52" s="51"/>
      <c r="L52" s="33" t="b">
        <f t="shared" si="2"/>
        <v>0</v>
      </c>
      <c r="M52" s="40" t="e">
        <f t="shared" si="6"/>
        <v>#VALUE!</v>
      </c>
      <c r="N52" s="40" t="b">
        <f t="shared" si="7"/>
        <v>0</v>
      </c>
      <c r="O52" s="41" t="e">
        <f t="shared" si="8"/>
        <v>#VALUE!</v>
      </c>
      <c r="P52" s="41" t="b">
        <f t="shared" si="3"/>
        <v>0</v>
      </c>
      <c r="Q52" s="51"/>
      <c r="R52" s="51"/>
      <c r="S52" s="52"/>
      <c r="T52" s="51"/>
      <c r="U52" s="1"/>
      <c r="V52" s="1"/>
      <c r="W52" s="1"/>
      <c r="X52" s="1"/>
      <c r="Y52" s="17"/>
    </row>
    <row r="53" spans="1:25">
      <c r="A53" s="50"/>
      <c r="B53" s="48"/>
      <c r="C53" s="51"/>
      <c r="D53" s="51"/>
      <c r="E53" s="51"/>
      <c r="F53" s="31" t="b">
        <f t="shared" si="4"/>
        <v>0</v>
      </c>
      <c r="G53" s="32" t="b">
        <f t="shared" si="0"/>
        <v>0</v>
      </c>
      <c r="H53" s="51"/>
      <c r="I53" s="33" t="b">
        <f t="shared" si="5"/>
        <v>0</v>
      </c>
      <c r="J53" s="32" t="b">
        <f t="shared" si="1"/>
        <v>0</v>
      </c>
      <c r="K53" s="51"/>
      <c r="L53" s="33" t="b">
        <f t="shared" si="2"/>
        <v>0</v>
      </c>
      <c r="M53" s="40" t="e">
        <f t="shared" si="6"/>
        <v>#VALUE!</v>
      </c>
      <c r="N53" s="40" t="b">
        <f t="shared" si="7"/>
        <v>0</v>
      </c>
      <c r="O53" s="41" t="e">
        <f t="shared" si="8"/>
        <v>#VALUE!</v>
      </c>
      <c r="P53" s="41" t="b">
        <f t="shared" si="3"/>
        <v>0</v>
      </c>
      <c r="Q53" s="51"/>
      <c r="R53" s="51"/>
      <c r="S53" s="52"/>
      <c r="T53" s="51"/>
      <c r="U53" s="1"/>
      <c r="V53" s="1"/>
      <c r="W53" s="1"/>
      <c r="X53" s="1"/>
      <c r="Y53" s="17"/>
    </row>
    <row r="54" spans="1:25">
      <c r="A54" s="50"/>
      <c r="B54" s="48"/>
      <c r="C54" s="51"/>
      <c r="D54" s="51"/>
      <c r="E54" s="51"/>
      <c r="F54" s="31" t="b">
        <f t="shared" si="4"/>
        <v>0</v>
      </c>
      <c r="G54" s="32" t="b">
        <f t="shared" si="0"/>
        <v>0</v>
      </c>
      <c r="H54" s="51"/>
      <c r="I54" s="33" t="b">
        <f t="shared" si="5"/>
        <v>0</v>
      </c>
      <c r="J54" s="32" t="b">
        <f t="shared" si="1"/>
        <v>0</v>
      </c>
      <c r="K54" s="51"/>
      <c r="L54" s="33" t="b">
        <f t="shared" si="2"/>
        <v>0</v>
      </c>
      <c r="M54" s="40" t="e">
        <f t="shared" si="6"/>
        <v>#VALUE!</v>
      </c>
      <c r="N54" s="40" t="b">
        <f t="shared" si="7"/>
        <v>0</v>
      </c>
      <c r="O54" s="41" t="e">
        <f t="shared" si="8"/>
        <v>#VALUE!</v>
      </c>
      <c r="P54" s="41" t="b">
        <f t="shared" si="3"/>
        <v>0</v>
      </c>
      <c r="Q54" s="51"/>
      <c r="R54" s="51"/>
      <c r="S54" s="52"/>
      <c r="T54" s="51"/>
      <c r="U54" s="1"/>
      <c r="V54" s="1"/>
      <c r="W54" s="1"/>
      <c r="X54" s="1"/>
      <c r="Y54" s="17"/>
    </row>
    <row r="55" spans="1:25">
      <c r="A55" s="50"/>
      <c r="B55" s="48"/>
      <c r="C55" s="51"/>
      <c r="D55" s="51"/>
      <c r="E55" s="51"/>
      <c r="F55" s="31" t="b">
        <f t="shared" si="4"/>
        <v>0</v>
      </c>
      <c r="G55" s="32" t="b">
        <f t="shared" si="0"/>
        <v>0</v>
      </c>
      <c r="H55" s="51"/>
      <c r="I55" s="33" t="b">
        <f t="shared" si="5"/>
        <v>0</v>
      </c>
      <c r="J55" s="32" t="b">
        <f t="shared" si="1"/>
        <v>0</v>
      </c>
      <c r="K55" s="51"/>
      <c r="L55" s="33" t="b">
        <f t="shared" si="2"/>
        <v>0</v>
      </c>
      <c r="M55" s="40" t="e">
        <f t="shared" si="6"/>
        <v>#VALUE!</v>
      </c>
      <c r="N55" s="40" t="b">
        <f t="shared" si="7"/>
        <v>0</v>
      </c>
      <c r="O55" s="41" t="e">
        <f t="shared" si="8"/>
        <v>#VALUE!</v>
      </c>
      <c r="P55" s="41" t="b">
        <f t="shared" si="3"/>
        <v>0</v>
      </c>
      <c r="Q55" s="51"/>
      <c r="R55" s="51"/>
      <c r="S55" s="52"/>
      <c r="T55" s="51"/>
      <c r="U55" s="1"/>
      <c r="V55" s="1"/>
      <c r="W55" s="1"/>
      <c r="X55" s="1"/>
      <c r="Y55" s="17"/>
    </row>
    <row r="56" spans="1:25">
      <c r="A56" s="50"/>
      <c r="B56" s="48"/>
      <c r="C56" s="51"/>
      <c r="D56" s="51"/>
      <c r="E56" s="51"/>
      <c r="F56" s="31" t="b">
        <f t="shared" si="4"/>
        <v>0</v>
      </c>
      <c r="G56" s="32" t="b">
        <f t="shared" si="0"/>
        <v>0</v>
      </c>
      <c r="H56" s="51"/>
      <c r="I56" s="33" t="b">
        <f t="shared" si="5"/>
        <v>0</v>
      </c>
      <c r="J56" s="32" t="b">
        <f t="shared" si="1"/>
        <v>0</v>
      </c>
      <c r="K56" s="51"/>
      <c r="L56" s="33" t="b">
        <f t="shared" si="2"/>
        <v>0</v>
      </c>
      <c r="M56" s="40" t="e">
        <f t="shared" si="6"/>
        <v>#VALUE!</v>
      </c>
      <c r="N56" s="40" t="b">
        <f t="shared" si="7"/>
        <v>0</v>
      </c>
      <c r="O56" s="41" t="e">
        <f t="shared" si="8"/>
        <v>#VALUE!</v>
      </c>
      <c r="P56" s="41" t="b">
        <f t="shared" si="3"/>
        <v>0</v>
      </c>
      <c r="Q56" s="51"/>
      <c r="R56" s="51"/>
      <c r="S56" s="52"/>
      <c r="T56" s="51"/>
      <c r="U56" s="1"/>
      <c r="V56" s="1"/>
      <c r="W56" s="1"/>
      <c r="X56" s="1"/>
      <c r="Y56" s="17"/>
    </row>
    <row r="57" spans="1:25">
      <c r="A57" s="50"/>
      <c r="B57" s="48"/>
      <c r="C57" s="51"/>
      <c r="D57" s="51"/>
      <c r="E57" s="51"/>
      <c r="F57" s="31" t="b">
        <f t="shared" si="4"/>
        <v>0</v>
      </c>
      <c r="G57" s="32" t="b">
        <f t="shared" si="0"/>
        <v>0</v>
      </c>
      <c r="H57" s="51"/>
      <c r="I57" s="33" t="b">
        <f t="shared" si="5"/>
        <v>0</v>
      </c>
      <c r="J57" s="32" t="b">
        <f t="shared" si="1"/>
        <v>0</v>
      </c>
      <c r="K57" s="51"/>
      <c r="L57" s="33" t="b">
        <f t="shared" si="2"/>
        <v>0</v>
      </c>
      <c r="M57" s="40" t="e">
        <f t="shared" si="6"/>
        <v>#VALUE!</v>
      </c>
      <c r="N57" s="40" t="b">
        <f t="shared" si="7"/>
        <v>0</v>
      </c>
      <c r="O57" s="41" t="e">
        <f t="shared" si="8"/>
        <v>#VALUE!</v>
      </c>
      <c r="P57" s="41" t="b">
        <f t="shared" si="3"/>
        <v>0</v>
      </c>
      <c r="Q57" s="51"/>
      <c r="R57" s="51"/>
      <c r="S57" s="52"/>
      <c r="T57" s="51"/>
      <c r="U57" s="1"/>
      <c r="V57" s="1"/>
      <c r="W57" s="1"/>
      <c r="X57" s="1"/>
      <c r="Y57" s="17"/>
    </row>
    <row r="58" spans="1:25">
      <c r="A58" s="50"/>
      <c r="B58" s="48"/>
      <c r="C58" s="51"/>
      <c r="D58" s="51"/>
      <c r="E58" s="51"/>
      <c r="F58" s="31" t="b">
        <f t="shared" si="4"/>
        <v>0</v>
      </c>
      <c r="G58" s="32" t="b">
        <f t="shared" si="0"/>
        <v>0</v>
      </c>
      <c r="H58" s="51"/>
      <c r="I58" s="33" t="b">
        <f t="shared" si="5"/>
        <v>0</v>
      </c>
      <c r="J58" s="32" t="b">
        <f t="shared" si="1"/>
        <v>0</v>
      </c>
      <c r="K58" s="51"/>
      <c r="L58" s="33" t="b">
        <f t="shared" si="2"/>
        <v>0</v>
      </c>
      <c r="M58" s="40" t="e">
        <f t="shared" si="6"/>
        <v>#VALUE!</v>
      </c>
      <c r="N58" s="40" t="b">
        <f t="shared" si="7"/>
        <v>0</v>
      </c>
      <c r="O58" s="41" t="e">
        <f t="shared" si="8"/>
        <v>#VALUE!</v>
      </c>
      <c r="P58" s="41" t="b">
        <f t="shared" si="3"/>
        <v>0</v>
      </c>
      <c r="Q58" s="51"/>
      <c r="R58" s="51"/>
      <c r="S58" s="52"/>
      <c r="T58" s="51"/>
      <c r="U58" s="1"/>
      <c r="V58" s="1"/>
      <c r="W58" s="1"/>
      <c r="X58" s="1"/>
      <c r="Y58" s="17"/>
    </row>
    <row r="59" spans="1:25">
      <c r="A59" s="50"/>
      <c r="B59" s="48"/>
      <c r="C59" s="51"/>
      <c r="D59" s="51"/>
      <c r="E59" s="51"/>
      <c r="F59" s="31" t="b">
        <f t="shared" si="4"/>
        <v>0</v>
      </c>
      <c r="G59" s="32" t="b">
        <f t="shared" si="0"/>
        <v>0</v>
      </c>
      <c r="H59" s="51"/>
      <c r="I59" s="33" t="b">
        <f t="shared" si="5"/>
        <v>0</v>
      </c>
      <c r="J59" s="32" t="b">
        <f t="shared" si="1"/>
        <v>0</v>
      </c>
      <c r="K59" s="51"/>
      <c r="L59" s="33" t="b">
        <f t="shared" si="2"/>
        <v>0</v>
      </c>
      <c r="M59" s="40" t="e">
        <f t="shared" si="6"/>
        <v>#VALUE!</v>
      </c>
      <c r="N59" s="40" t="b">
        <f t="shared" si="7"/>
        <v>0</v>
      </c>
      <c r="O59" s="41" t="e">
        <f t="shared" si="8"/>
        <v>#VALUE!</v>
      </c>
      <c r="P59" s="41" t="b">
        <f t="shared" si="3"/>
        <v>0</v>
      </c>
      <c r="Q59" s="51"/>
      <c r="R59" s="51"/>
      <c r="S59" s="52"/>
      <c r="T59" s="51"/>
      <c r="U59" s="1"/>
      <c r="V59" s="1"/>
      <c r="W59" s="1"/>
      <c r="X59" s="1"/>
      <c r="Y59" s="17"/>
    </row>
    <row r="60" spans="1:25">
      <c r="A60" s="50"/>
      <c r="B60" s="48"/>
      <c r="C60" s="51"/>
      <c r="D60" s="51"/>
      <c r="E60" s="51"/>
      <c r="F60" s="31" t="b">
        <f t="shared" si="4"/>
        <v>0</v>
      </c>
      <c r="G60" s="32" t="b">
        <f t="shared" si="0"/>
        <v>0</v>
      </c>
      <c r="H60" s="51"/>
      <c r="I60" s="33" t="b">
        <f t="shared" si="5"/>
        <v>0</v>
      </c>
      <c r="J60" s="32" t="b">
        <f t="shared" si="1"/>
        <v>0</v>
      </c>
      <c r="K60" s="51"/>
      <c r="L60" s="33" t="b">
        <f t="shared" si="2"/>
        <v>0</v>
      </c>
      <c r="M60" s="40" t="e">
        <f t="shared" si="6"/>
        <v>#VALUE!</v>
      </c>
      <c r="N60" s="40" t="b">
        <f t="shared" si="7"/>
        <v>0</v>
      </c>
      <c r="O60" s="41" t="e">
        <f t="shared" si="8"/>
        <v>#VALUE!</v>
      </c>
      <c r="P60" s="41" t="b">
        <f t="shared" si="3"/>
        <v>0</v>
      </c>
      <c r="Q60" s="51"/>
      <c r="R60" s="51"/>
      <c r="S60" s="52"/>
      <c r="T60" s="51"/>
      <c r="U60" s="1"/>
      <c r="V60" s="1"/>
      <c r="W60" s="1"/>
      <c r="X60" s="1"/>
      <c r="Y60" s="17"/>
    </row>
    <row r="61" spans="1:25">
      <c r="A61" s="50"/>
      <c r="B61" s="48"/>
      <c r="C61" s="51"/>
      <c r="D61" s="51"/>
      <c r="E61" s="51"/>
      <c r="F61" s="31" t="b">
        <f t="shared" si="4"/>
        <v>0</v>
      </c>
      <c r="G61" s="32" t="b">
        <f t="shared" si="0"/>
        <v>0</v>
      </c>
      <c r="H61" s="51"/>
      <c r="I61" s="33" t="b">
        <f t="shared" si="5"/>
        <v>0</v>
      </c>
      <c r="J61" s="32" t="b">
        <f t="shared" si="1"/>
        <v>0</v>
      </c>
      <c r="K61" s="51"/>
      <c r="L61" s="33" t="b">
        <f t="shared" si="2"/>
        <v>0</v>
      </c>
      <c r="M61" s="40" t="e">
        <f t="shared" si="6"/>
        <v>#VALUE!</v>
      </c>
      <c r="N61" s="40" t="b">
        <f t="shared" si="7"/>
        <v>0</v>
      </c>
      <c r="O61" s="41" t="e">
        <f t="shared" si="8"/>
        <v>#VALUE!</v>
      </c>
      <c r="P61" s="41" t="b">
        <f t="shared" si="3"/>
        <v>0</v>
      </c>
      <c r="Q61" s="51"/>
      <c r="R61" s="51"/>
      <c r="S61" s="52"/>
      <c r="T61" s="51"/>
      <c r="U61" s="1"/>
      <c r="V61" s="1"/>
      <c r="W61" s="1"/>
      <c r="X61" s="1"/>
      <c r="Y61" s="17"/>
    </row>
    <row r="62" spans="1:25">
      <c r="A62" s="50"/>
      <c r="B62" s="48"/>
      <c r="C62" s="51"/>
      <c r="D62" s="51"/>
      <c r="E62" s="51"/>
      <c r="F62" s="31" t="b">
        <f t="shared" si="4"/>
        <v>0</v>
      </c>
      <c r="G62" s="32" t="b">
        <f t="shared" si="0"/>
        <v>0</v>
      </c>
      <c r="H62" s="51"/>
      <c r="I62" s="33" t="b">
        <f t="shared" si="5"/>
        <v>0</v>
      </c>
      <c r="J62" s="32" t="b">
        <f t="shared" si="1"/>
        <v>0</v>
      </c>
      <c r="K62" s="51"/>
      <c r="L62" s="33" t="b">
        <f t="shared" si="2"/>
        <v>0</v>
      </c>
      <c r="M62" s="40" t="e">
        <f t="shared" si="6"/>
        <v>#VALUE!</v>
      </c>
      <c r="N62" s="40" t="b">
        <f t="shared" si="7"/>
        <v>0</v>
      </c>
      <c r="O62" s="41" t="e">
        <f t="shared" si="8"/>
        <v>#VALUE!</v>
      </c>
      <c r="P62" s="41" t="b">
        <f t="shared" si="3"/>
        <v>0</v>
      </c>
      <c r="Q62" s="51"/>
      <c r="R62" s="51"/>
      <c r="S62" s="52"/>
      <c r="T62" s="51"/>
      <c r="U62" s="1"/>
      <c r="V62" s="1"/>
      <c r="W62" s="1"/>
      <c r="X62" s="1"/>
      <c r="Y62" s="17"/>
    </row>
    <row r="63" spans="1:25">
      <c r="A63" s="50"/>
      <c r="B63" s="48"/>
      <c r="C63" s="51"/>
      <c r="D63" s="51"/>
      <c r="E63" s="51"/>
      <c r="F63" s="31" t="b">
        <f t="shared" si="4"/>
        <v>0</v>
      </c>
      <c r="G63" s="32" t="b">
        <f t="shared" si="0"/>
        <v>0</v>
      </c>
      <c r="H63" s="51"/>
      <c r="I63" s="33" t="b">
        <f t="shared" si="5"/>
        <v>0</v>
      </c>
      <c r="J63" s="32" t="b">
        <f t="shared" si="1"/>
        <v>0</v>
      </c>
      <c r="K63" s="51"/>
      <c r="L63" s="33" t="b">
        <f t="shared" si="2"/>
        <v>0</v>
      </c>
      <c r="M63" s="40" t="e">
        <f t="shared" si="6"/>
        <v>#VALUE!</v>
      </c>
      <c r="N63" s="40" t="b">
        <f t="shared" si="7"/>
        <v>0</v>
      </c>
      <c r="O63" s="41" t="e">
        <f t="shared" si="8"/>
        <v>#VALUE!</v>
      </c>
      <c r="P63" s="41" t="b">
        <f t="shared" si="3"/>
        <v>0</v>
      </c>
      <c r="Q63" s="51"/>
      <c r="R63" s="51"/>
      <c r="S63" s="52"/>
      <c r="T63" s="51"/>
      <c r="U63" s="1"/>
      <c r="V63" s="1"/>
      <c r="W63" s="1"/>
      <c r="X63" s="1"/>
      <c r="Y63" s="17"/>
    </row>
    <row r="64" spans="1:25">
      <c r="A64" s="50"/>
      <c r="B64" s="48"/>
      <c r="C64" s="51"/>
      <c r="D64" s="51"/>
      <c r="E64" s="51"/>
      <c r="F64" s="31" t="b">
        <f t="shared" si="4"/>
        <v>0</v>
      </c>
      <c r="G64" s="32" t="b">
        <f t="shared" si="0"/>
        <v>0</v>
      </c>
      <c r="H64" s="51"/>
      <c r="I64" s="33" t="b">
        <f t="shared" si="5"/>
        <v>0</v>
      </c>
      <c r="J64" s="32" t="b">
        <f t="shared" si="1"/>
        <v>0</v>
      </c>
      <c r="K64" s="51"/>
      <c r="L64" s="33" t="b">
        <f t="shared" si="2"/>
        <v>0</v>
      </c>
      <c r="M64" s="40" t="e">
        <f t="shared" si="6"/>
        <v>#VALUE!</v>
      </c>
      <c r="N64" s="40" t="b">
        <f t="shared" si="7"/>
        <v>0</v>
      </c>
      <c r="O64" s="41" t="e">
        <f t="shared" si="8"/>
        <v>#VALUE!</v>
      </c>
      <c r="P64" s="41" t="b">
        <f t="shared" si="3"/>
        <v>0</v>
      </c>
      <c r="Q64" s="51"/>
      <c r="R64" s="51"/>
      <c r="S64" s="52"/>
      <c r="T64" s="51"/>
      <c r="U64" s="1"/>
      <c r="V64" s="1"/>
      <c r="W64" s="1"/>
      <c r="X64" s="1"/>
      <c r="Y64" s="17"/>
    </row>
    <row r="65" spans="1:25">
      <c r="A65" s="50"/>
      <c r="B65" s="48"/>
      <c r="C65" s="51"/>
      <c r="D65" s="51"/>
      <c r="E65" s="51"/>
      <c r="F65" s="31" t="b">
        <f t="shared" si="4"/>
        <v>0</v>
      </c>
      <c r="G65" s="32" t="b">
        <f t="shared" si="0"/>
        <v>0</v>
      </c>
      <c r="H65" s="51"/>
      <c r="I65" s="33" t="b">
        <f t="shared" si="5"/>
        <v>0</v>
      </c>
      <c r="J65" s="32" t="b">
        <f t="shared" si="1"/>
        <v>0</v>
      </c>
      <c r="K65" s="51"/>
      <c r="L65" s="33" t="b">
        <f t="shared" si="2"/>
        <v>0</v>
      </c>
      <c r="M65" s="40" t="e">
        <f t="shared" si="6"/>
        <v>#VALUE!</v>
      </c>
      <c r="N65" s="40" t="b">
        <f t="shared" si="7"/>
        <v>0</v>
      </c>
      <c r="O65" s="41" t="e">
        <f t="shared" si="8"/>
        <v>#VALUE!</v>
      </c>
      <c r="P65" s="41" t="b">
        <f t="shared" si="3"/>
        <v>0</v>
      </c>
      <c r="Q65" s="51"/>
      <c r="R65" s="51"/>
      <c r="S65" s="52"/>
      <c r="T65" s="51"/>
      <c r="U65" s="1"/>
      <c r="V65" s="1"/>
      <c r="W65" s="1"/>
      <c r="X65" s="1"/>
      <c r="Y65" s="17"/>
    </row>
    <row r="66" spans="1:25">
      <c r="A66" s="50"/>
      <c r="B66" s="48"/>
      <c r="C66" s="51"/>
      <c r="D66" s="51"/>
      <c r="E66" s="51"/>
      <c r="F66" s="31" t="b">
        <f t="shared" si="4"/>
        <v>0</v>
      </c>
      <c r="G66" s="32" t="b">
        <f t="shared" si="0"/>
        <v>0</v>
      </c>
      <c r="H66" s="51"/>
      <c r="I66" s="33" t="b">
        <f t="shared" si="5"/>
        <v>0</v>
      </c>
      <c r="J66" s="32" t="b">
        <f t="shared" si="1"/>
        <v>0</v>
      </c>
      <c r="K66" s="51"/>
      <c r="L66" s="33" t="b">
        <f t="shared" si="2"/>
        <v>0</v>
      </c>
      <c r="M66" s="40" t="e">
        <f t="shared" si="6"/>
        <v>#VALUE!</v>
      </c>
      <c r="N66" s="40" t="b">
        <f t="shared" si="7"/>
        <v>0</v>
      </c>
      <c r="O66" s="41" t="e">
        <f t="shared" si="8"/>
        <v>#VALUE!</v>
      </c>
      <c r="P66" s="41" t="b">
        <f t="shared" si="3"/>
        <v>0</v>
      </c>
      <c r="Q66" s="51"/>
      <c r="R66" s="51"/>
      <c r="S66" s="52"/>
      <c r="T66" s="51"/>
      <c r="U66" s="1"/>
      <c r="V66" s="1"/>
      <c r="W66" s="1"/>
      <c r="X66" s="1"/>
      <c r="Y66" s="17"/>
    </row>
    <row r="67" spans="1:25">
      <c r="A67" s="50"/>
      <c r="B67" s="48"/>
      <c r="C67" s="51"/>
      <c r="D67" s="51"/>
      <c r="E67" s="51"/>
      <c r="F67" s="31" t="b">
        <f t="shared" si="4"/>
        <v>0</v>
      </c>
      <c r="G67" s="32" t="b">
        <f t="shared" si="0"/>
        <v>0</v>
      </c>
      <c r="H67" s="51"/>
      <c r="I67" s="33" t="b">
        <f t="shared" si="5"/>
        <v>0</v>
      </c>
      <c r="J67" s="32" t="b">
        <f t="shared" si="1"/>
        <v>0</v>
      </c>
      <c r="K67" s="51"/>
      <c r="L67" s="33" t="b">
        <f t="shared" si="2"/>
        <v>0</v>
      </c>
      <c r="M67" s="40" t="e">
        <f t="shared" si="6"/>
        <v>#VALUE!</v>
      </c>
      <c r="N67" s="40" t="b">
        <f t="shared" si="7"/>
        <v>0</v>
      </c>
      <c r="O67" s="41" t="e">
        <f t="shared" si="8"/>
        <v>#VALUE!</v>
      </c>
      <c r="P67" s="41" t="b">
        <f t="shared" si="3"/>
        <v>0</v>
      </c>
      <c r="Q67" s="51"/>
      <c r="R67" s="51"/>
      <c r="S67" s="52"/>
      <c r="T67" s="51"/>
      <c r="U67" s="1"/>
      <c r="V67" s="1"/>
      <c r="W67" s="1"/>
      <c r="X67" s="1"/>
      <c r="Y67" s="17"/>
    </row>
    <row r="68" spans="1:25">
      <c r="A68" s="50"/>
      <c r="B68" s="48"/>
      <c r="C68" s="51"/>
      <c r="D68" s="51"/>
      <c r="E68" s="51"/>
      <c r="F68" s="31" t="b">
        <f t="shared" ref="F68:F101" si="9">IF(B68="BUY",(C68*(1-2%)),IF(B68="SELL",(C68*(1+2%))))</f>
        <v>0</v>
      </c>
      <c r="G68" s="32" t="b">
        <f t="shared" si="0"/>
        <v>0</v>
      </c>
      <c r="H68" s="51"/>
      <c r="I68" s="33" t="b">
        <f t="shared" si="5"/>
        <v>0</v>
      </c>
      <c r="J68" s="32" t="b">
        <f t="shared" si="1"/>
        <v>0</v>
      </c>
      <c r="K68" s="51"/>
      <c r="L68" s="33" t="b">
        <f t="shared" si="2"/>
        <v>0</v>
      </c>
      <c r="M68" s="40" t="e">
        <f t="shared" si="6"/>
        <v>#VALUE!</v>
      </c>
      <c r="N68" s="40" t="b">
        <f t="shared" si="7"/>
        <v>0</v>
      </c>
      <c r="O68" s="41" t="e">
        <f t="shared" si="8"/>
        <v>#VALUE!</v>
      </c>
      <c r="P68" s="41" t="b">
        <f t="shared" si="3"/>
        <v>0</v>
      </c>
      <c r="Q68" s="51"/>
      <c r="R68" s="51"/>
      <c r="S68" s="52"/>
      <c r="T68" s="51"/>
      <c r="U68" s="1"/>
      <c r="V68" s="1"/>
      <c r="W68" s="1"/>
      <c r="X68" s="1"/>
      <c r="Y68" s="17"/>
    </row>
    <row r="69" spans="1:25">
      <c r="A69" s="50"/>
      <c r="B69" s="48"/>
      <c r="C69" s="51"/>
      <c r="D69" s="51"/>
      <c r="E69" s="51"/>
      <c r="F69" s="31" t="b">
        <f t="shared" si="9"/>
        <v>0</v>
      </c>
      <c r="G69" s="32" t="b">
        <f t="shared" si="0"/>
        <v>0</v>
      </c>
      <c r="H69" s="51"/>
      <c r="I69" s="33" t="b">
        <f t="shared" si="5"/>
        <v>0</v>
      </c>
      <c r="J69" s="32" t="b">
        <f t="shared" si="1"/>
        <v>0</v>
      </c>
      <c r="K69" s="51"/>
      <c r="L69" s="33" t="b">
        <f t="shared" si="2"/>
        <v>0</v>
      </c>
      <c r="M69" s="40" t="e">
        <f t="shared" si="6"/>
        <v>#VALUE!</v>
      </c>
      <c r="N69" s="40" t="b">
        <f t="shared" si="7"/>
        <v>0</v>
      </c>
      <c r="O69" s="41" t="e">
        <f t="shared" si="8"/>
        <v>#VALUE!</v>
      </c>
      <c r="P69" s="41" t="b">
        <f t="shared" si="3"/>
        <v>0</v>
      </c>
      <c r="Q69" s="51"/>
      <c r="R69" s="51"/>
      <c r="S69" s="52"/>
      <c r="T69" s="51"/>
      <c r="U69" s="1"/>
      <c r="V69" s="1"/>
      <c r="W69" s="1"/>
      <c r="X69" s="1"/>
      <c r="Y69" s="17"/>
    </row>
    <row r="70" spans="1:25">
      <c r="A70" s="50"/>
      <c r="B70" s="48"/>
      <c r="C70" s="51"/>
      <c r="D70" s="51"/>
      <c r="E70" s="51"/>
      <c r="F70" s="31" t="b">
        <f t="shared" si="9"/>
        <v>0</v>
      </c>
      <c r="G70" s="32" t="b">
        <f t="shared" si="0"/>
        <v>0</v>
      </c>
      <c r="H70" s="51"/>
      <c r="I70" s="33" t="b">
        <f t="shared" si="5"/>
        <v>0</v>
      </c>
      <c r="J70" s="32" t="b">
        <f t="shared" si="1"/>
        <v>0</v>
      </c>
      <c r="K70" s="51"/>
      <c r="L70" s="33" t="b">
        <f t="shared" si="2"/>
        <v>0</v>
      </c>
      <c r="M70" s="40" t="e">
        <f t="shared" si="6"/>
        <v>#VALUE!</v>
      </c>
      <c r="N70" s="40" t="b">
        <f t="shared" si="7"/>
        <v>0</v>
      </c>
      <c r="O70" s="41" t="e">
        <f t="shared" si="8"/>
        <v>#VALUE!</v>
      </c>
      <c r="P70" s="41" t="b">
        <f t="shared" si="3"/>
        <v>0</v>
      </c>
      <c r="Q70" s="51"/>
      <c r="R70" s="51"/>
      <c r="S70" s="52"/>
      <c r="T70" s="51"/>
      <c r="U70" s="1"/>
      <c r="V70" s="1"/>
      <c r="W70" s="1"/>
      <c r="X70" s="1"/>
      <c r="Y70" s="17"/>
    </row>
    <row r="71" spans="1:25">
      <c r="A71" s="50"/>
      <c r="B71" s="48"/>
      <c r="C71" s="51"/>
      <c r="D71" s="51"/>
      <c r="E71" s="51"/>
      <c r="F71" s="31" t="b">
        <f t="shared" si="9"/>
        <v>0</v>
      </c>
      <c r="G71" s="32" t="b">
        <f t="shared" si="0"/>
        <v>0</v>
      </c>
      <c r="H71" s="51"/>
      <c r="I71" s="33" t="b">
        <f t="shared" si="5"/>
        <v>0</v>
      </c>
      <c r="J71" s="32" t="b">
        <f t="shared" si="1"/>
        <v>0</v>
      </c>
      <c r="K71" s="51"/>
      <c r="L71" s="33" t="b">
        <f t="shared" si="2"/>
        <v>0</v>
      </c>
      <c r="M71" s="40" t="e">
        <f t="shared" si="6"/>
        <v>#VALUE!</v>
      </c>
      <c r="N71" s="40" t="b">
        <f t="shared" si="7"/>
        <v>0</v>
      </c>
      <c r="O71" s="41" t="e">
        <f t="shared" si="8"/>
        <v>#VALUE!</v>
      </c>
      <c r="P71" s="41" t="b">
        <f t="shared" si="3"/>
        <v>0</v>
      </c>
      <c r="Q71" s="51"/>
      <c r="R71" s="51"/>
      <c r="S71" s="52"/>
      <c r="T71" s="51"/>
      <c r="U71" s="1"/>
      <c r="V71" s="1"/>
      <c r="W71" s="1"/>
      <c r="X71" s="1"/>
      <c r="Y71" s="17"/>
    </row>
    <row r="72" spans="1:25">
      <c r="A72" s="50"/>
      <c r="B72" s="48"/>
      <c r="C72" s="51"/>
      <c r="D72" s="51"/>
      <c r="E72" s="51"/>
      <c r="F72" s="31" t="b">
        <f t="shared" si="9"/>
        <v>0</v>
      </c>
      <c r="G72" s="32" t="b">
        <f t="shared" si="0"/>
        <v>0</v>
      </c>
      <c r="H72" s="51"/>
      <c r="I72" s="33" t="b">
        <f t="shared" si="5"/>
        <v>0</v>
      </c>
      <c r="J72" s="32" t="b">
        <f t="shared" si="1"/>
        <v>0</v>
      </c>
      <c r="K72" s="51"/>
      <c r="L72" s="33" t="b">
        <f t="shared" si="2"/>
        <v>0</v>
      </c>
      <c r="M72" s="40" t="e">
        <f t="shared" si="6"/>
        <v>#VALUE!</v>
      </c>
      <c r="N72" s="40" t="b">
        <f t="shared" si="7"/>
        <v>0</v>
      </c>
      <c r="O72" s="41" t="e">
        <f t="shared" si="8"/>
        <v>#VALUE!</v>
      </c>
      <c r="P72" s="41" t="b">
        <f t="shared" si="3"/>
        <v>0</v>
      </c>
      <c r="Q72" s="51"/>
      <c r="R72" s="51"/>
      <c r="S72" s="52"/>
      <c r="T72" s="51"/>
      <c r="U72" s="1"/>
      <c r="V72" s="1"/>
      <c r="W72" s="1"/>
      <c r="X72" s="1"/>
      <c r="Y72" s="17"/>
    </row>
    <row r="73" spans="1:25">
      <c r="A73" s="50"/>
      <c r="B73" s="48"/>
      <c r="C73" s="51"/>
      <c r="D73" s="51"/>
      <c r="E73" s="51"/>
      <c r="F73" s="31" t="b">
        <f t="shared" si="9"/>
        <v>0</v>
      </c>
      <c r="G73" s="32" t="b">
        <f t="shared" si="0"/>
        <v>0</v>
      </c>
      <c r="H73" s="51"/>
      <c r="I73" s="33" t="b">
        <f t="shared" si="5"/>
        <v>0</v>
      </c>
      <c r="J73" s="32" t="b">
        <f t="shared" si="1"/>
        <v>0</v>
      </c>
      <c r="K73" s="51"/>
      <c r="L73" s="33" t="b">
        <f t="shared" si="2"/>
        <v>0</v>
      </c>
      <c r="M73" s="40" t="e">
        <f t="shared" si="6"/>
        <v>#VALUE!</v>
      </c>
      <c r="N73" s="40" t="b">
        <f t="shared" si="7"/>
        <v>0</v>
      </c>
      <c r="O73" s="41" t="e">
        <f t="shared" si="8"/>
        <v>#VALUE!</v>
      </c>
      <c r="P73" s="41" t="b">
        <f t="shared" si="3"/>
        <v>0</v>
      </c>
      <c r="Q73" s="51"/>
      <c r="R73" s="51"/>
      <c r="S73" s="52"/>
      <c r="T73" s="51"/>
      <c r="U73" s="1"/>
      <c r="V73" s="1"/>
      <c r="W73" s="1"/>
      <c r="X73" s="1"/>
      <c r="Y73" s="17"/>
    </row>
    <row r="74" spans="1:25">
      <c r="A74" s="50"/>
      <c r="B74" s="48"/>
      <c r="C74" s="51"/>
      <c r="D74" s="51"/>
      <c r="E74" s="51"/>
      <c r="F74" s="31" t="b">
        <f t="shared" si="9"/>
        <v>0</v>
      </c>
      <c r="G74" s="32" t="b">
        <f t="shared" si="0"/>
        <v>0</v>
      </c>
      <c r="H74" s="51"/>
      <c r="I74" s="33" t="b">
        <f t="shared" si="5"/>
        <v>0</v>
      </c>
      <c r="J74" s="32" t="b">
        <f t="shared" si="1"/>
        <v>0</v>
      </c>
      <c r="K74" s="51"/>
      <c r="L74" s="33" t="b">
        <f t="shared" si="2"/>
        <v>0</v>
      </c>
      <c r="M74" s="40" t="e">
        <f t="shared" si="6"/>
        <v>#VALUE!</v>
      </c>
      <c r="N74" s="40" t="b">
        <f t="shared" si="7"/>
        <v>0</v>
      </c>
      <c r="O74" s="41" t="e">
        <f t="shared" si="8"/>
        <v>#VALUE!</v>
      </c>
      <c r="P74" s="41" t="b">
        <f t="shared" si="3"/>
        <v>0</v>
      </c>
      <c r="Q74" s="51"/>
      <c r="R74" s="51"/>
      <c r="S74" s="52"/>
      <c r="T74" s="51"/>
      <c r="U74" s="1"/>
      <c r="V74" s="1"/>
      <c r="W74" s="1"/>
      <c r="X74" s="1"/>
      <c r="Y74" s="17"/>
    </row>
    <row r="75" spans="1:25">
      <c r="A75" s="50"/>
      <c r="B75" s="48"/>
      <c r="C75" s="51"/>
      <c r="D75" s="51"/>
      <c r="E75" s="51"/>
      <c r="F75" s="31" t="b">
        <f t="shared" si="9"/>
        <v>0</v>
      </c>
      <c r="G75" s="32" t="b">
        <f t="shared" si="0"/>
        <v>0</v>
      </c>
      <c r="H75" s="51"/>
      <c r="I75" s="33" t="b">
        <f t="shared" si="5"/>
        <v>0</v>
      </c>
      <c r="J75" s="32" t="b">
        <f t="shared" si="1"/>
        <v>0</v>
      </c>
      <c r="K75" s="51"/>
      <c r="L75" s="33" t="b">
        <f t="shared" si="2"/>
        <v>0</v>
      </c>
      <c r="M75" s="40" t="e">
        <f t="shared" si="6"/>
        <v>#VALUE!</v>
      </c>
      <c r="N75" s="40" t="b">
        <f t="shared" si="7"/>
        <v>0</v>
      </c>
      <c r="O75" s="41" t="e">
        <f t="shared" si="8"/>
        <v>#VALUE!</v>
      </c>
      <c r="P75" s="41" t="b">
        <f t="shared" si="3"/>
        <v>0</v>
      </c>
      <c r="Q75" s="51"/>
      <c r="R75" s="51"/>
      <c r="S75" s="52"/>
      <c r="T75" s="51"/>
      <c r="U75" s="1"/>
      <c r="V75" s="1"/>
      <c r="W75" s="1"/>
      <c r="X75" s="1"/>
      <c r="Y75" s="17"/>
    </row>
    <row r="76" spans="1:25">
      <c r="A76" s="50"/>
      <c r="B76" s="48"/>
      <c r="C76" s="51"/>
      <c r="D76" s="51"/>
      <c r="E76" s="51"/>
      <c r="F76" s="31" t="b">
        <f t="shared" si="9"/>
        <v>0</v>
      </c>
      <c r="G76" s="32" t="b">
        <f t="shared" si="0"/>
        <v>0</v>
      </c>
      <c r="H76" s="51"/>
      <c r="I76" s="33" t="b">
        <f t="shared" si="5"/>
        <v>0</v>
      </c>
      <c r="J76" s="32" t="b">
        <f t="shared" si="1"/>
        <v>0</v>
      </c>
      <c r="K76" s="51"/>
      <c r="L76" s="33" t="b">
        <f t="shared" si="2"/>
        <v>0</v>
      </c>
      <c r="M76" s="40" t="e">
        <f t="shared" si="6"/>
        <v>#VALUE!</v>
      </c>
      <c r="N76" s="40" t="b">
        <f t="shared" si="7"/>
        <v>0</v>
      </c>
      <c r="O76" s="41" t="e">
        <f t="shared" si="8"/>
        <v>#VALUE!</v>
      </c>
      <c r="P76" s="41" t="b">
        <f t="shared" si="3"/>
        <v>0</v>
      </c>
      <c r="Q76" s="51"/>
      <c r="R76" s="51"/>
      <c r="S76" s="52"/>
      <c r="T76" s="51"/>
      <c r="U76" s="1"/>
      <c r="V76" s="1"/>
      <c r="W76" s="1"/>
      <c r="X76" s="1"/>
      <c r="Y76" s="17"/>
    </row>
    <row r="77" spans="1:25">
      <c r="A77" s="50"/>
      <c r="B77" s="48"/>
      <c r="C77" s="51"/>
      <c r="D77" s="51"/>
      <c r="E77" s="51"/>
      <c r="F77" s="31" t="b">
        <f t="shared" si="9"/>
        <v>0</v>
      </c>
      <c r="G77" s="32" t="b">
        <f t="shared" si="0"/>
        <v>0</v>
      </c>
      <c r="H77" s="51"/>
      <c r="I77" s="33" t="b">
        <f t="shared" si="5"/>
        <v>0</v>
      </c>
      <c r="J77" s="32" t="b">
        <f t="shared" si="1"/>
        <v>0</v>
      </c>
      <c r="K77" s="51"/>
      <c r="L77" s="33" t="b">
        <f t="shared" si="2"/>
        <v>0</v>
      </c>
      <c r="M77" s="40" t="e">
        <f t="shared" si="6"/>
        <v>#VALUE!</v>
      </c>
      <c r="N77" s="40" t="b">
        <f t="shared" si="7"/>
        <v>0</v>
      </c>
      <c r="O77" s="41" t="e">
        <f t="shared" si="8"/>
        <v>#VALUE!</v>
      </c>
      <c r="P77" s="41" t="b">
        <f t="shared" si="3"/>
        <v>0</v>
      </c>
      <c r="Q77" s="51"/>
      <c r="R77" s="51"/>
      <c r="S77" s="52"/>
      <c r="T77" s="51"/>
      <c r="U77" s="1"/>
      <c r="V77" s="1"/>
      <c r="W77" s="1"/>
      <c r="X77" s="1"/>
      <c r="Y77" s="17"/>
    </row>
    <row r="78" spans="1:25">
      <c r="A78" s="50"/>
      <c r="B78" s="48"/>
      <c r="C78" s="51"/>
      <c r="D78" s="51"/>
      <c r="E78" s="51"/>
      <c r="F78" s="31" t="b">
        <f t="shared" si="9"/>
        <v>0</v>
      </c>
      <c r="G78" s="32" t="b">
        <f t="shared" si="0"/>
        <v>0</v>
      </c>
      <c r="H78" s="51"/>
      <c r="I78" s="33" t="b">
        <f t="shared" si="5"/>
        <v>0</v>
      </c>
      <c r="J78" s="32" t="b">
        <f t="shared" si="1"/>
        <v>0</v>
      </c>
      <c r="K78" s="51"/>
      <c r="L78" s="33" t="b">
        <f t="shared" si="2"/>
        <v>0</v>
      </c>
      <c r="M78" s="40" t="e">
        <f t="shared" si="6"/>
        <v>#VALUE!</v>
      </c>
      <c r="N78" s="40" t="b">
        <f t="shared" si="7"/>
        <v>0</v>
      </c>
      <c r="O78" s="41" t="e">
        <f t="shared" si="8"/>
        <v>#VALUE!</v>
      </c>
      <c r="P78" s="41" t="b">
        <f t="shared" si="3"/>
        <v>0</v>
      </c>
      <c r="Q78" s="51"/>
      <c r="R78" s="51"/>
      <c r="S78" s="52"/>
      <c r="T78" s="51"/>
      <c r="U78" s="1"/>
      <c r="V78" s="1"/>
      <c r="W78" s="1"/>
      <c r="X78" s="1"/>
      <c r="Y78" s="17"/>
    </row>
    <row r="79" spans="1:25">
      <c r="A79" s="50"/>
      <c r="B79" s="48"/>
      <c r="C79" s="51"/>
      <c r="D79" s="51"/>
      <c r="E79" s="51"/>
      <c r="F79" s="31" t="b">
        <f t="shared" si="9"/>
        <v>0</v>
      </c>
      <c r="G79" s="32" t="b">
        <f t="shared" si="0"/>
        <v>0</v>
      </c>
      <c r="H79" s="51"/>
      <c r="I79" s="33" t="b">
        <f t="shared" si="5"/>
        <v>0</v>
      </c>
      <c r="J79" s="32" t="b">
        <f t="shared" si="1"/>
        <v>0</v>
      </c>
      <c r="K79" s="51"/>
      <c r="L79" s="33" t="b">
        <f t="shared" si="2"/>
        <v>0</v>
      </c>
      <c r="M79" s="40" t="e">
        <f t="shared" si="6"/>
        <v>#VALUE!</v>
      </c>
      <c r="N79" s="40" t="b">
        <f t="shared" si="7"/>
        <v>0</v>
      </c>
      <c r="O79" s="41" t="e">
        <f t="shared" si="8"/>
        <v>#VALUE!</v>
      </c>
      <c r="P79" s="41" t="b">
        <f t="shared" si="3"/>
        <v>0</v>
      </c>
      <c r="Q79" s="51"/>
      <c r="R79" s="51"/>
      <c r="S79" s="52"/>
      <c r="T79" s="51"/>
      <c r="U79" s="1"/>
      <c r="V79" s="1"/>
      <c r="W79" s="1"/>
      <c r="X79" s="1"/>
      <c r="Y79" s="17"/>
    </row>
    <row r="80" spans="1:25">
      <c r="A80" s="50"/>
      <c r="B80" s="48"/>
      <c r="C80" s="51"/>
      <c r="D80" s="51"/>
      <c r="E80" s="51"/>
      <c r="F80" s="31" t="b">
        <f t="shared" si="9"/>
        <v>0</v>
      </c>
      <c r="G80" s="32" t="b">
        <f t="shared" si="0"/>
        <v>0</v>
      </c>
      <c r="H80" s="51"/>
      <c r="I80" s="33" t="b">
        <f t="shared" si="5"/>
        <v>0</v>
      </c>
      <c r="J80" s="32" t="b">
        <f t="shared" si="1"/>
        <v>0</v>
      </c>
      <c r="K80" s="51"/>
      <c r="L80" s="33" t="b">
        <f t="shared" si="2"/>
        <v>0</v>
      </c>
      <c r="M80" s="40" t="e">
        <f t="shared" si="6"/>
        <v>#VALUE!</v>
      </c>
      <c r="N80" s="40" t="b">
        <f t="shared" si="7"/>
        <v>0</v>
      </c>
      <c r="O80" s="41" t="e">
        <f t="shared" si="8"/>
        <v>#VALUE!</v>
      </c>
      <c r="P80" s="41" t="b">
        <f t="shared" si="3"/>
        <v>0</v>
      </c>
      <c r="Q80" s="51"/>
      <c r="R80" s="51"/>
      <c r="S80" s="52"/>
      <c r="T80" s="51"/>
      <c r="U80" s="1"/>
      <c r="V80" s="1"/>
      <c r="W80" s="1"/>
      <c r="X80" s="1"/>
      <c r="Y80" s="17"/>
    </row>
    <row r="81" spans="1:25">
      <c r="A81" s="50"/>
      <c r="B81" s="48"/>
      <c r="C81" s="51"/>
      <c r="D81" s="51"/>
      <c r="E81" s="51"/>
      <c r="F81" s="31" t="b">
        <f t="shared" si="9"/>
        <v>0</v>
      </c>
      <c r="G81" s="32" t="b">
        <f t="shared" si="0"/>
        <v>0</v>
      </c>
      <c r="H81" s="51"/>
      <c r="I81" s="33" t="b">
        <f t="shared" si="5"/>
        <v>0</v>
      </c>
      <c r="J81" s="32" t="b">
        <f t="shared" si="1"/>
        <v>0</v>
      </c>
      <c r="K81" s="51"/>
      <c r="L81" s="33" t="b">
        <f t="shared" si="2"/>
        <v>0</v>
      </c>
      <c r="M81" s="40" t="e">
        <f t="shared" si="6"/>
        <v>#VALUE!</v>
      </c>
      <c r="N81" s="40" t="b">
        <f t="shared" si="7"/>
        <v>0</v>
      </c>
      <c r="O81" s="41" t="e">
        <f t="shared" si="8"/>
        <v>#VALUE!</v>
      </c>
      <c r="P81" s="41" t="b">
        <f t="shared" si="3"/>
        <v>0</v>
      </c>
      <c r="Q81" s="51"/>
      <c r="R81" s="51"/>
      <c r="S81" s="52"/>
      <c r="T81" s="51"/>
      <c r="U81" s="1"/>
      <c r="V81" s="1"/>
      <c r="W81" s="1"/>
      <c r="X81" s="1"/>
      <c r="Y81" s="17"/>
    </row>
    <row r="82" spans="1:25">
      <c r="A82" s="50"/>
      <c r="B82" s="48"/>
      <c r="C82" s="51"/>
      <c r="D82" s="51"/>
      <c r="E82" s="51"/>
      <c r="F82" s="31" t="b">
        <f t="shared" si="9"/>
        <v>0</v>
      </c>
      <c r="G82" s="32" t="b">
        <f t="shared" si="0"/>
        <v>0</v>
      </c>
      <c r="H82" s="51"/>
      <c r="I82" s="33" t="b">
        <f t="shared" si="5"/>
        <v>0</v>
      </c>
      <c r="J82" s="32" t="b">
        <f t="shared" si="1"/>
        <v>0</v>
      </c>
      <c r="K82" s="51"/>
      <c r="L82" s="33" t="b">
        <f t="shared" si="2"/>
        <v>0</v>
      </c>
      <c r="M82" s="40" t="e">
        <f t="shared" si="6"/>
        <v>#VALUE!</v>
      </c>
      <c r="N82" s="40" t="b">
        <f t="shared" si="7"/>
        <v>0</v>
      </c>
      <c r="O82" s="41" t="e">
        <f t="shared" si="8"/>
        <v>#VALUE!</v>
      </c>
      <c r="P82" s="41" t="b">
        <f t="shared" si="3"/>
        <v>0</v>
      </c>
      <c r="Q82" s="51"/>
      <c r="R82" s="51"/>
      <c r="S82" s="52"/>
      <c r="T82" s="51"/>
      <c r="U82" s="1"/>
      <c r="V82" s="1"/>
      <c r="W82" s="1"/>
      <c r="X82" s="1"/>
      <c r="Y82" s="17"/>
    </row>
    <row r="83" spans="1:25">
      <c r="A83" s="50"/>
      <c r="B83" s="48"/>
      <c r="C83" s="51"/>
      <c r="D83" s="51"/>
      <c r="E83" s="51"/>
      <c r="F83" s="31" t="b">
        <f t="shared" si="9"/>
        <v>0</v>
      </c>
      <c r="G83" s="32" t="b">
        <f t="shared" si="0"/>
        <v>0</v>
      </c>
      <c r="H83" s="51"/>
      <c r="I83" s="33" t="b">
        <f t="shared" si="5"/>
        <v>0</v>
      </c>
      <c r="J83" s="32" t="b">
        <f t="shared" si="1"/>
        <v>0</v>
      </c>
      <c r="K83" s="51"/>
      <c r="L83" s="33" t="b">
        <f t="shared" si="2"/>
        <v>0</v>
      </c>
      <c r="M83" s="40" t="e">
        <f t="shared" si="6"/>
        <v>#VALUE!</v>
      </c>
      <c r="N83" s="40" t="b">
        <f t="shared" si="7"/>
        <v>0</v>
      </c>
      <c r="O83" s="41" t="e">
        <f t="shared" si="8"/>
        <v>#VALUE!</v>
      </c>
      <c r="P83" s="41" t="b">
        <f t="shared" si="3"/>
        <v>0</v>
      </c>
      <c r="Q83" s="51"/>
      <c r="R83" s="51"/>
      <c r="S83" s="52"/>
      <c r="T83" s="51"/>
      <c r="U83" s="1"/>
      <c r="V83" s="1"/>
      <c r="W83" s="1"/>
      <c r="X83" s="1"/>
      <c r="Y83" s="17"/>
    </row>
    <row r="84" spans="1:25">
      <c r="A84" s="50"/>
      <c r="B84" s="48"/>
      <c r="C84" s="51"/>
      <c r="D84" s="51"/>
      <c r="E84" s="51"/>
      <c r="F84" s="31" t="b">
        <f t="shared" si="9"/>
        <v>0</v>
      </c>
      <c r="G84" s="32" t="b">
        <f t="shared" si="0"/>
        <v>0</v>
      </c>
      <c r="H84" s="51"/>
      <c r="I84" s="33" t="b">
        <f t="shared" si="5"/>
        <v>0</v>
      </c>
      <c r="J84" s="32" t="b">
        <f t="shared" si="1"/>
        <v>0</v>
      </c>
      <c r="K84" s="51"/>
      <c r="L84" s="33" t="b">
        <f t="shared" si="2"/>
        <v>0</v>
      </c>
      <c r="M84" s="40" t="e">
        <f t="shared" si="6"/>
        <v>#VALUE!</v>
      </c>
      <c r="N84" s="40" t="b">
        <f t="shared" si="7"/>
        <v>0</v>
      </c>
      <c r="O84" s="41" t="e">
        <f t="shared" si="8"/>
        <v>#VALUE!</v>
      </c>
      <c r="P84" s="41" t="b">
        <f t="shared" si="3"/>
        <v>0</v>
      </c>
      <c r="Q84" s="51"/>
      <c r="R84" s="51"/>
      <c r="S84" s="52"/>
      <c r="T84" s="51"/>
      <c r="U84" s="1"/>
      <c r="V84" s="1"/>
      <c r="W84" s="1"/>
      <c r="X84" s="1"/>
      <c r="Y84" s="17"/>
    </row>
    <row r="85" spans="1:25">
      <c r="A85" s="50"/>
      <c r="B85" s="48"/>
      <c r="C85" s="51"/>
      <c r="D85" s="51"/>
      <c r="E85" s="51"/>
      <c r="F85" s="31" t="b">
        <f t="shared" si="9"/>
        <v>0</v>
      </c>
      <c r="G85" s="32" t="b">
        <f t="shared" si="0"/>
        <v>0</v>
      </c>
      <c r="H85" s="51"/>
      <c r="I85" s="33" t="b">
        <f t="shared" si="5"/>
        <v>0</v>
      </c>
      <c r="J85" s="32" t="b">
        <f t="shared" si="1"/>
        <v>0</v>
      </c>
      <c r="K85" s="51"/>
      <c r="L85" s="33" t="b">
        <f t="shared" si="2"/>
        <v>0</v>
      </c>
      <c r="M85" s="40" t="e">
        <f t="shared" si="6"/>
        <v>#VALUE!</v>
      </c>
      <c r="N85" s="40" t="b">
        <f t="shared" si="7"/>
        <v>0</v>
      </c>
      <c r="O85" s="41" t="e">
        <f t="shared" si="8"/>
        <v>#VALUE!</v>
      </c>
      <c r="P85" s="41" t="b">
        <f t="shared" si="3"/>
        <v>0</v>
      </c>
      <c r="Q85" s="51"/>
      <c r="R85" s="51"/>
      <c r="S85" s="52"/>
      <c r="T85" s="51"/>
      <c r="U85" s="1"/>
      <c r="V85" s="1"/>
      <c r="W85" s="1"/>
      <c r="X85" s="1"/>
      <c r="Y85" s="17"/>
    </row>
    <row r="86" spans="1:25">
      <c r="A86" s="50"/>
      <c r="B86" s="48"/>
      <c r="C86" s="51"/>
      <c r="D86" s="51"/>
      <c r="E86" s="51"/>
      <c r="F86" s="31" t="b">
        <f t="shared" si="9"/>
        <v>0</v>
      </c>
      <c r="G86" s="32" t="b">
        <f t="shared" si="0"/>
        <v>0</v>
      </c>
      <c r="H86" s="51"/>
      <c r="I86" s="33" t="b">
        <f t="shared" si="5"/>
        <v>0</v>
      </c>
      <c r="J86" s="32" t="b">
        <f t="shared" si="1"/>
        <v>0</v>
      </c>
      <c r="K86" s="51"/>
      <c r="L86" s="33" t="b">
        <f t="shared" si="2"/>
        <v>0</v>
      </c>
      <c r="M86" s="40" t="e">
        <f t="shared" si="6"/>
        <v>#VALUE!</v>
      </c>
      <c r="N86" s="40" t="b">
        <f t="shared" si="7"/>
        <v>0</v>
      </c>
      <c r="O86" s="41" t="e">
        <f t="shared" si="8"/>
        <v>#VALUE!</v>
      </c>
      <c r="P86" s="41" t="b">
        <f t="shared" si="3"/>
        <v>0</v>
      </c>
      <c r="Q86" s="51"/>
      <c r="R86" s="51"/>
      <c r="S86" s="52"/>
      <c r="T86" s="51"/>
      <c r="U86" s="1"/>
      <c r="V86" s="1"/>
      <c r="W86" s="1"/>
      <c r="X86" s="1"/>
      <c r="Y86" s="17"/>
    </row>
    <row r="87" spans="1:25">
      <c r="A87" s="50"/>
      <c r="B87" s="48"/>
      <c r="C87" s="51"/>
      <c r="D87" s="51"/>
      <c r="E87" s="51"/>
      <c r="F87" s="31" t="b">
        <f t="shared" si="9"/>
        <v>0</v>
      </c>
      <c r="G87" s="32" t="b">
        <f t="shared" si="0"/>
        <v>0</v>
      </c>
      <c r="H87" s="51"/>
      <c r="I87" s="33" t="b">
        <f t="shared" si="5"/>
        <v>0</v>
      </c>
      <c r="J87" s="32" t="b">
        <f t="shared" si="1"/>
        <v>0</v>
      </c>
      <c r="K87" s="51"/>
      <c r="L87" s="33" t="b">
        <f t="shared" si="2"/>
        <v>0</v>
      </c>
      <c r="M87" s="40" t="e">
        <f t="shared" si="6"/>
        <v>#VALUE!</v>
      </c>
      <c r="N87" s="40" t="b">
        <f t="shared" si="7"/>
        <v>0</v>
      </c>
      <c r="O87" s="41" t="e">
        <f t="shared" si="8"/>
        <v>#VALUE!</v>
      </c>
      <c r="P87" s="41" t="b">
        <f t="shared" si="3"/>
        <v>0</v>
      </c>
      <c r="Q87" s="51"/>
      <c r="R87" s="51"/>
      <c r="S87" s="52"/>
      <c r="T87" s="51"/>
      <c r="U87" s="1"/>
      <c r="V87" s="1"/>
      <c r="W87" s="1"/>
      <c r="X87" s="1"/>
      <c r="Y87" s="17"/>
    </row>
    <row r="88" spans="1:25">
      <c r="A88" s="50"/>
      <c r="B88" s="48"/>
      <c r="C88" s="51"/>
      <c r="D88" s="51"/>
      <c r="E88" s="51"/>
      <c r="F88" s="31" t="b">
        <f t="shared" si="9"/>
        <v>0</v>
      </c>
      <c r="G88" s="32" t="b">
        <f t="shared" si="0"/>
        <v>0</v>
      </c>
      <c r="H88" s="51"/>
      <c r="I88" s="33" t="b">
        <f t="shared" si="5"/>
        <v>0</v>
      </c>
      <c r="J88" s="32" t="b">
        <f t="shared" si="1"/>
        <v>0</v>
      </c>
      <c r="K88" s="51"/>
      <c r="L88" s="33" t="b">
        <f t="shared" si="2"/>
        <v>0</v>
      </c>
      <c r="M88" s="40" t="e">
        <f t="shared" si="6"/>
        <v>#VALUE!</v>
      </c>
      <c r="N88" s="40" t="b">
        <f t="shared" si="7"/>
        <v>0</v>
      </c>
      <c r="O88" s="41" t="e">
        <f t="shared" si="8"/>
        <v>#VALUE!</v>
      </c>
      <c r="P88" s="41" t="b">
        <f t="shared" si="3"/>
        <v>0</v>
      </c>
      <c r="Q88" s="51"/>
      <c r="R88" s="51"/>
      <c r="S88" s="52"/>
      <c r="T88" s="51"/>
      <c r="U88" s="1"/>
      <c r="V88" s="1"/>
      <c r="W88" s="1"/>
      <c r="X88" s="1"/>
      <c r="Y88" s="17"/>
    </row>
    <row r="89" spans="1:25">
      <c r="A89" s="50"/>
      <c r="B89" s="48"/>
      <c r="C89" s="51"/>
      <c r="D89" s="51"/>
      <c r="E89" s="51"/>
      <c r="F89" s="31" t="b">
        <f t="shared" si="9"/>
        <v>0</v>
      </c>
      <c r="G89" s="32" t="b">
        <f t="shared" si="0"/>
        <v>0</v>
      </c>
      <c r="H89" s="51"/>
      <c r="I89" s="33" t="b">
        <f t="shared" si="5"/>
        <v>0</v>
      </c>
      <c r="J89" s="32" t="b">
        <f t="shared" si="1"/>
        <v>0</v>
      </c>
      <c r="K89" s="51"/>
      <c r="L89" s="33" t="b">
        <f t="shared" si="2"/>
        <v>0</v>
      </c>
      <c r="M89" s="40" t="e">
        <f t="shared" si="6"/>
        <v>#VALUE!</v>
      </c>
      <c r="N89" s="40" t="b">
        <f t="shared" si="7"/>
        <v>0</v>
      </c>
      <c r="O89" s="41" t="e">
        <f t="shared" si="8"/>
        <v>#VALUE!</v>
      </c>
      <c r="P89" s="41" t="b">
        <f t="shared" si="3"/>
        <v>0</v>
      </c>
      <c r="Q89" s="51"/>
      <c r="R89" s="51"/>
      <c r="S89" s="52"/>
      <c r="T89" s="51"/>
      <c r="U89" s="1"/>
      <c r="V89" s="1"/>
      <c r="W89" s="1"/>
      <c r="X89" s="1"/>
      <c r="Y89" s="17"/>
    </row>
    <row r="90" spans="1:25">
      <c r="A90" s="50"/>
      <c r="B90" s="48"/>
      <c r="C90" s="51"/>
      <c r="D90" s="51"/>
      <c r="E90" s="51"/>
      <c r="F90" s="31" t="b">
        <f t="shared" si="9"/>
        <v>0</v>
      </c>
      <c r="G90" s="32" t="b">
        <f t="shared" si="0"/>
        <v>0</v>
      </c>
      <c r="H90" s="51"/>
      <c r="I90" s="33" t="b">
        <f t="shared" si="5"/>
        <v>0</v>
      </c>
      <c r="J90" s="32" t="b">
        <f t="shared" si="1"/>
        <v>0</v>
      </c>
      <c r="K90" s="51"/>
      <c r="L90" s="33" t="b">
        <f t="shared" si="2"/>
        <v>0</v>
      </c>
      <c r="M90" s="40" t="e">
        <f t="shared" si="6"/>
        <v>#VALUE!</v>
      </c>
      <c r="N90" s="40" t="b">
        <f t="shared" si="7"/>
        <v>0</v>
      </c>
      <c r="O90" s="41" t="e">
        <f t="shared" si="8"/>
        <v>#VALUE!</v>
      </c>
      <c r="P90" s="41" t="b">
        <f t="shared" si="3"/>
        <v>0</v>
      </c>
      <c r="Q90" s="51"/>
      <c r="R90" s="51"/>
      <c r="S90" s="52"/>
      <c r="T90" s="51"/>
      <c r="U90" s="1"/>
      <c r="V90" s="1"/>
      <c r="W90" s="1"/>
      <c r="X90" s="1"/>
      <c r="Y90" s="17"/>
    </row>
    <row r="91" spans="1:25">
      <c r="A91" s="50"/>
      <c r="B91" s="48"/>
      <c r="C91" s="51"/>
      <c r="D91" s="51"/>
      <c r="E91" s="51"/>
      <c r="F91" s="31" t="b">
        <f t="shared" si="9"/>
        <v>0</v>
      </c>
      <c r="G91" s="32" t="b">
        <f t="shared" si="0"/>
        <v>0</v>
      </c>
      <c r="H91" s="51"/>
      <c r="I91" s="33" t="b">
        <f t="shared" si="5"/>
        <v>0</v>
      </c>
      <c r="J91" s="32" t="b">
        <f t="shared" si="1"/>
        <v>0</v>
      </c>
      <c r="K91" s="51"/>
      <c r="L91" s="33" t="b">
        <f t="shared" si="2"/>
        <v>0</v>
      </c>
      <c r="M91" s="40" t="e">
        <f t="shared" si="6"/>
        <v>#VALUE!</v>
      </c>
      <c r="N91" s="40" t="b">
        <f t="shared" si="7"/>
        <v>0</v>
      </c>
      <c r="O91" s="41" t="e">
        <f t="shared" si="8"/>
        <v>#VALUE!</v>
      </c>
      <c r="P91" s="41" t="b">
        <f t="shared" si="3"/>
        <v>0</v>
      </c>
      <c r="Q91" s="51"/>
      <c r="R91" s="51"/>
      <c r="S91" s="52"/>
      <c r="T91" s="51"/>
      <c r="U91" s="1"/>
      <c r="V91" s="1"/>
      <c r="W91" s="1"/>
      <c r="X91" s="1"/>
      <c r="Y91" s="17"/>
    </row>
    <row r="92" spans="1:25">
      <c r="A92" s="50"/>
      <c r="B92" s="48"/>
      <c r="C92" s="51"/>
      <c r="D92" s="51"/>
      <c r="E92" s="51"/>
      <c r="F92" s="31" t="b">
        <f t="shared" si="9"/>
        <v>0</v>
      </c>
      <c r="G92" s="32" t="b">
        <f t="shared" si="0"/>
        <v>0</v>
      </c>
      <c r="H92" s="51"/>
      <c r="I92" s="33" t="b">
        <f t="shared" si="5"/>
        <v>0</v>
      </c>
      <c r="J92" s="32" t="b">
        <f t="shared" si="1"/>
        <v>0</v>
      </c>
      <c r="K92" s="51"/>
      <c r="L92" s="33" t="b">
        <f t="shared" si="2"/>
        <v>0</v>
      </c>
      <c r="M92" s="40" t="e">
        <f t="shared" si="6"/>
        <v>#VALUE!</v>
      </c>
      <c r="N92" s="40" t="b">
        <f t="shared" si="7"/>
        <v>0</v>
      </c>
      <c r="O92" s="41" t="e">
        <f t="shared" si="8"/>
        <v>#VALUE!</v>
      </c>
      <c r="P92" s="41" t="b">
        <f t="shared" si="3"/>
        <v>0</v>
      </c>
      <c r="Q92" s="51"/>
      <c r="R92" s="51"/>
      <c r="S92" s="52"/>
      <c r="T92" s="51"/>
      <c r="U92" s="1"/>
      <c r="V92" s="1"/>
      <c r="W92" s="1"/>
      <c r="X92" s="1"/>
      <c r="Y92" s="17"/>
    </row>
    <row r="93" spans="1:25">
      <c r="A93" s="50"/>
      <c r="B93" s="48"/>
      <c r="C93" s="51"/>
      <c r="D93" s="51"/>
      <c r="E93" s="51"/>
      <c r="F93" s="31" t="b">
        <f t="shared" si="9"/>
        <v>0</v>
      </c>
      <c r="G93" s="32" t="b">
        <f t="shared" si="0"/>
        <v>0</v>
      </c>
      <c r="H93" s="51"/>
      <c r="I93" s="33" t="b">
        <f t="shared" si="5"/>
        <v>0</v>
      </c>
      <c r="J93" s="32" t="b">
        <f t="shared" si="1"/>
        <v>0</v>
      </c>
      <c r="K93" s="51"/>
      <c r="L93" s="33" t="b">
        <f t="shared" si="2"/>
        <v>0</v>
      </c>
      <c r="M93" s="40" t="e">
        <f t="shared" si="6"/>
        <v>#VALUE!</v>
      </c>
      <c r="N93" s="40" t="b">
        <f t="shared" si="7"/>
        <v>0</v>
      </c>
      <c r="O93" s="41" t="e">
        <f t="shared" si="8"/>
        <v>#VALUE!</v>
      </c>
      <c r="P93" s="41" t="b">
        <f t="shared" si="3"/>
        <v>0</v>
      </c>
      <c r="Q93" s="51"/>
      <c r="R93" s="51"/>
      <c r="S93" s="52"/>
      <c r="T93" s="51"/>
      <c r="U93" s="1"/>
      <c r="V93" s="1"/>
      <c r="W93" s="1"/>
      <c r="X93" s="1"/>
      <c r="Y93" s="17"/>
    </row>
    <row r="94" spans="1:25">
      <c r="A94" s="50"/>
      <c r="B94" s="48"/>
      <c r="C94" s="51"/>
      <c r="D94" s="51"/>
      <c r="E94" s="51"/>
      <c r="F94" s="31" t="b">
        <f t="shared" si="9"/>
        <v>0</v>
      </c>
      <c r="G94" s="32" t="b">
        <f t="shared" si="0"/>
        <v>0</v>
      </c>
      <c r="H94" s="51"/>
      <c r="I94" s="33" t="b">
        <f t="shared" si="5"/>
        <v>0</v>
      </c>
      <c r="J94" s="32" t="b">
        <f t="shared" si="1"/>
        <v>0</v>
      </c>
      <c r="K94" s="51"/>
      <c r="L94" s="33" t="b">
        <f t="shared" si="2"/>
        <v>0</v>
      </c>
      <c r="M94" s="40" t="e">
        <f t="shared" si="6"/>
        <v>#VALUE!</v>
      </c>
      <c r="N94" s="40" t="b">
        <f t="shared" si="7"/>
        <v>0</v>
      </c>
      <c r="O94" s="41" t="e">
        <f t="shared" si="8"/>
        <v>#VALUE!</v>
      </c>
      <c r="P94" s="41" t="b">
        <f t="shared" si="3"/>
        <v>0</v>
      </c>
      <c r="Q94" s="51"/>
      <c r="R94" s="51"/>
      <c r="S94" s="52"/>
      <c r="T94" s="51"/>
      <c r="U94" s="1"/>
      <c r="V94" s="1"/>
      <c r="W94" s="1"/>
      <c r="X94" s="1"/>
      <c r="Y94" s="17"/>
    </row>
    <row r="95" spans="1:25">
      <c r="A95" s="50"/>
      <c r="B95" s="48"/>
      <c r="C95" s="51"/>
      <c r="D95" s="51"/>
      <c r="E95" s="51"/>
      <c r="F95" s="31" t="b">
        <f t="shared" si="9"/>
        <v>0</v>
      </c>
      <c r="G95" s="32" t="b">
        <f t="shared" si="0"/>
        <v>0</v>
      </c>
      <c r="H95" s="51"/>
      <c r="I95" s="33" t="b">
        <f t="shared" si="5"/>
        <v>0</v>
      </c>
      <c r="J95" s="32" t="b">
        <f t="shared" si="1"/>
        <v>0</v>
      </c>
      <c r="K95" s="51"/>
      <c r="L95" s="33" t="b">
        <f t="shared" si="2"/>
        <v>0</v>
      </c>
      <c r="M95" s="40" t="e">
        <f t="shared" si="6"/>
        <v>#VALUE!</v>
      </c>
      <c r="N95" s="40" t="b">
        <f t="shared" si="7"/>
        <v>0</v>
      </c>
      <c r="O95" s="41" t="e">
        <f t="shared" si="8"/>
        <v>#VALUE!</v>
      </c>
      <c r="P95" s="41" t="b">
        <f t="shared" si="3"/>
        <v>0</v>
      </c>
      <c r="Q95" s="51"/>
      <c r="R95" s="51"/>
      <c r="S95" s="52"/>
      <c r="T95" s="51"/>
      <c r="U95" s="1"/>
      <c r="V95" s="1"/>
      <c r="W95" s="1"/>
      <c r="X95" s="1"/>
      <c r="Y95" s="17"/>
    </row>
    <row r="96" spans="1:25">
      <c r="A96" s="50"/>
      <c r="B96" s="48"/>
      <c r="C96" s="51"/>
      <c r="D96" s="51"/>
      <c r="E96" s="51"/>
      <c r="F96" s="31" t="b">
        <f t="shared" si="9"/>
        <v>0</v>
      </c>
      <c r="G96" s="32" t="b">
        <f t="shared" si="0"/>
        <v>0</v>
      </c>
      <c r="H96" s="51"/>
      <c r="I96" s="33" t="b">
        <f t="shared" si="5"/>
        <v>0</v>
      </c>
      <c r="J96" s="32" t="b">
        <f t="shared" si="1"/>
        <v>0</v>
      </c>
      <c r="K96" s="51"/>
      <c r="L96" s="33" t="b">
        <f t="shared" si="2"/>
        <v>0</v>
      </c>
      <c r="M96" s="40" t="e">
        <f t="shared" si="6"/>
        <v>#VALUE!</v>
      </c>
      <c r="N96" s="40" t="b">
        <f t="shared" si="7"/>
        <v>0</v>
      </c>
      <c r="O96" s="41" t="e">
        <f t="shared" si="8"/>
        <v>#VALUE!</v>
      </c>
      <c r="P96" s="41" t="b">
        <f t="shared" si="3"/>
        <v>0</v>
      </c>
      <c r="Q96" s="51"/>
      <c r="R96" s="51"/>
      <c r="S96" s="52"/>
      <c r="T96" s="51"/>
      <c r="U96" s="1"/>
      <c r="V96" s="1"/>
      <c r="W96" s="1"/>
      <c r="X96" s="1"/>
      <c r="Y96" s="17"/>
    </row>
    <row r="97" spans="1:25">
      <c r="A97" s="50"/>
      <c r="B97" s="48"/>
      <c r="C97" s="51"/>
      <c r="D97" s="51"/>
      <c r="E97" s="51"/>
      <c r="F97" s="31" t="b">
        <f t="shared" si="9"/>
        <v>0</v>
      </c>
      <c r="G97" s="32" t="b">
        <f t="shared" si="0"/>
        <v>0</v>
      </c>
      <c r="H97" s="51"/>
      <c r="I97" s="33" t="b">
        <f t="shared" si="5"/>
        <v>0</v>
      </c>
      <c r="J97" s="32" t="b">
        <f t="shared" si="1"/>
        <v>0</v>
      </c>
      <c r="K97" s="51"/>
      <c r="L97" s="33" t="b">
        <f t="shared" si="2"/>
        <v>0</v>
      </c>
      <c r="M97" s="40" t="e">
        <f t="shared" si="6"/>
        <v>#VALUE!</v>
      </c>
      <c r="N97" s="40" t="b">
        <f t="shared" si="7"/>
        <v>0</v>
      </c>
      <c r="O97" s="41" t="e">
        <f t="shared" si="8"/>
        <v>#VALUE!</v>
      </c>
      <c r="P97" s="41" t="b">
        <f t="shared" si="3"/>
        <v>0</v>
      </c>
      <c r="Q97" s="51"/>
      <c r="R97" s="51"/>
      <c r="S97" s="52"/>
      <c r="T97" s="51"/>
      <c r="U97" s="1"/>
      <c r="V97" s="1"/>
      <c r="W97" s="1"/>
      <c r="X97" s="1"/>
      <c r="Y97" s="17"/>
    </row>
    <row r="98" spans="1:25">
      <c r="A98" s="50"/>
      <c r="B98" s="48"/>
      <c r="C98" s="51"/>
      <c r="D98" s="51"/>
      <c r="E98" s="51"/>
      <c r="F98" s="31" t="b">
        <f t="shared" si="9"/>
        <v>0</v>
      </c>
      <c r="G98" s="32" t="b">
        <f t="shared" si="0"/>
        <v>0</v>
      </c>
      <c r="H98" s="51"/>
      <c r="I98" s="33" t="b">
        <f t="shared" si="5"/>
        <v>0</v>
      </c>
      <c r="J98" s="32" t="b">
        <f t="shared" si="1"/>
        <v>0</v>
      </c>
      <c r="K98" s="51"/>
      <c r="L98" s="33" t="b">
        <f t="shared" si="2"/>
        <v>0</v>
      </c>
      <c r="M98" s="40" t="e">
        <f t="shared" si="6"/>
        <v>#VALUE!</v>
      </c>
      <c r="N98" s="40" t="b">
        <f t="shared" si="7"/>
        <v>0</v>
      </c>
      <c r="O98" s="41" t="e">
        <f t="shared" si="8"/>
        <v>#VALUE!</v>
      </c>
      <c r="P98" s="41" t="b">
        <f t="shared" si="3"/>
        <v>0</v>
      </c>
      <c r="Q98" s="51"/>
      <c r="R98" s="51"/>
      <c r="S98" s="52"/>
      <c r="T98" s="51"/>
      <c r="U98" s="1"/>
      <c r="V98" s="1"/>
      <c r="W98" s="1"/>
      <c r="X98" s="1"/>
      <c r="Y98" s="17"/>
    </row>
    <row r="99" spans="1:25">
      <c r="A99" s="50"/>
      <c r="B99" s="48"/>
      <c r="C99" s="51"/>
      <c r="D99" s="51"/>
      <c r="E99" s="51"/>
      <c r="F99" s="31" t="b">
        <f t="shared" si="9"/>
        <v>0</v>
      </c>
      <c r="G99" s="32" t="b">
        <f t="shared" si="0"/>
        <v>0</v>
      </c>
      <c r="H99" s="51"/>
      <c r="I99" s="33" t="b">
        <f t="shared" si="5"/>
        <v>0</v>
      </c>
      <c r="J99" s="32" t="b">
        <f t="shared" si="1"/>
        <v>0</v>
      </c>
      <c r="K99" s="51"/>
      <c r="L99" s="33" t="b">
        <f t="shared" si="2"/>
        <v>0</v>
      </c>
      <c r="M99" s="40" t="e">
        <f t="shared" si="6"/>
        <v>#VALUE!</v>
      </c>
      <c r="N99" s="40" t="b">
        <f t="shared" si="7"/>
        <v>0</v>
      </c>
      <c r="O99" s="41" t="e">
        <f t="shared" si="8"/>
        <v>#VALUE!</v>
      </c>
      <c r="P99" s="41" t="b">
        <f t="shared" si="3"/>
        <v>0</v>
      </c>
      <c r="Q99" s="51"/>
      <c r="R99" s="51"/>
      <c r="S99" s="52"/>
      <c r="T99" s="51"/>
      <c r="U99" s="1"/>
      <c r="V99" s="1"/>
      <c r="W99" s="1"/>
      <c r="X99" s="1"/>
      <c r="Y99" s="17"/>
    </row>
    <row r="100" spans="1:25">
      <c r="A100" s="50"/>
      <c r="B100" s="48"/>
      <c r="C100" s="51"/>
      <c r="D100" s="51"/>
      <c r="E100" s="51"/>
      <c r="F100" s="31" t="b">
        <f t="shared" si="9"/>
        <v>0</v>
      </c>
      <c r="G100" s="32" t="b">
        <f t="shared" si="0"/>
        <v>0</v>
      </c>
      <c r="H100" s="51"/>
      <c r="I100" s="33" t="b">
        <f t="shared" si="5"/>
        <v>0</v>
      </c>
      <c r="J100" s="32" t="b">
        <f t="shared" si="1"/>
        <v>0</v>
      </c>
      <c r="K100" s="51"/>
      <c r="L100" s="33" t="b">
        <f t="shared" si="2"/>
        <v>0</v>
      </c>
      <c r="M100" s="40" t="e">
        <f t="shared" si="6"/>
        <v>#VALUE!</v>
      </c>
      <c r="N100" s="40" t="b">
        <f t="shared" si="7"/>
        <v>0</v>
      </c>
      <c r="O100" s="41" t="e">
        <f t="shared" si="8"/>
        <v>#VALUE!</v>
      </c>
      <c r="P100" s="41" t="b">
        <f t="shared" si="3"/>
        <v>0</v>
      </c>
      <c r="Q100" s="51"/>
      <c r="R100" s="51"/>
      <c r="S100" s="52"/>
      <c r="T100" s="51"/>
      <c r="U100" s="1"/>
      <c r="V100" s="1"/>
      <c r="W100" s="1"/>
      <c r="X100" s="1"/>
      <c r="Y100" s="17"/>
    </row>
    <row r="101" spans="1:25">
      <c r="A101" s="50"/>
      <c r="B101" s="48"/>
      <c r="C101" s="51"/>
      <c r="D101" s="51"/>
      <c r="E101" s="51"/>
      <c r="F101" s="31" t="b">
        <f t="shared" si="9"/>
        <v>0</v>
      </c>
      <c r="G101" s="32" t="b">
        <f t="shared" si="0"/>
        <v>0</v>
      </c>
      <c r="H101" s="51"/>
      <c r="I101" s="33" t="b">
        <f t="shared" si="5"/>
        <v>0</v>
      </c>
      <c r="J101" s="32" t="b">
        <f t="shared" si="1"/>
        <v>0</v>
      </c>
      <c r="K101" s="51"/>
      <c r="L101" s="33" t="b">
        <f t="shared" si="2"/>
        <v>0</v>
      </c>
      <c r="M101" s="40" t="e">
        <f t="shared" si="6"/>
        <v>#VALUE!</v>
      </c>
      <c r="N101" s="40" t="b">
        <f t="shared" si="7"/>
        <v>0</v>
      </c>
      <c r="O101" s="41" t="e">
        <f t="shared" si="8"/>
        <v>#VALUE!</v>
      </c>
      <c r="P101" s="41" t="b">
        <f t="shared" si="3"/>
        <v>0</v>
      </c>
      <c r="Q101" s="51"/>
      <c r="R101" s="51"/>
      <c r="S101" s="52"/>
      <c r="T101" s="51"/>
      <c r="U101" s="1"/>
      <c r="V101" s="1"/>
      <c r="W101" s="1"/>
      <c r="X101" s="1"/>
      <c r="Y101" s="17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4" t="s">
        <v>17</v>
      </c>
      <c r="R102" s="45"/>
      <c r="S102" s="46">
        <f>SUM(S3:S101)</f>
        <v>0</v>
      </c>
      <c r="T102" s="1"/>
      <c r="U102" s="1"/>
      <c r="V102" s="1"/>
      <c r="W102" s="1"/>
      <c r="X102" s="1"/>
      <c r="Y102" s="17"/>
    </row>
    <row r="104" spans="2:3">
      <c r="B104" s="16"/>
      <c r="C104" s="16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6">
      <c r="A108" s="17"/>
      <c r="B108" s="18"/>
      <c r="C108" s="18"/>
      <c r="D108" s="17"/>
      <c r="E108" s="17"/>
      <c r="F108" s="17"/>
    </row>
    <row r="109" spans="1:6">
      <c r="A109" s="17"/>
      <c r="B109" s="18"/>
      <c r="C109" s="18"/>
      <c r="D109" s="17"/>
      <c r="E109" s="17"/>
      <c r="F109" s="17"/>
    </row>
    <row r="110" spans="1:6">
      <c r="A110" s="17"/>
      <c r="B110" s="18"/>
      <c r="C110" s="18"/>
      <c r="D110" s="17"/>
      <c r="E110" s="17"/>
      <c r="F110" s="17"/>
    </row>
    <row r="111" spans="1:6">
      <c r="A111" s="17"/>
      <c r="B111" s="17"/>
      <c r="C111" s="17"/>
      <c r="D111" s="17"/>
      <c r="E111" s="17"/>
      <c r="F111" s="17"/>
    </row>
    <row r="112" ht="20.4" spans="2:6">
      <c r="B112" s="19" t="s">
        <v>21</v>
      </c>
      <c r="C112" s="20"/>
      <c r="D112" s="20"/>
      <c r="E112" s="20"/>
      <c r="F112" s="17"/>
    </row>
    <row r="113" ht="20.4" spans="2:6">
      <c r="B113" s="21" t="s">
        <v>22</v>
      </c>
      <c r="F113" s="17"/>
    </row>
    <row r="114" ht="20.4" spans="2:6">
      <c r="B114" s="21" t="s">
        <v>23</v>
      </c>
      <c r="C114" s="20"/>
      <c r="D114" s="20"/>
      <c r="E114" s="20"/>
      <c r="F114" s="17"/>
    </row>
    <row r="115" ht="20.4" spans="2:6">
      <c r="B115" s="21" t="s">
        <v>24</v>
      </c>
      <c r="C115" s="20"/>
      <c r="F115" s="17"/>
    </row>
  </sheetData>
  <sheetProtection algorithmName="SHA-512" hashValue="ktPJv5Z4iltEcAa+zbwiAzJI1hStrRzwbP5mATuJxt4h4M75Cw3sMJdxQr2AOB8llZUkDrABRTn+7Ceh1smNJw==" saltValue="8XrgqazTx6o4iiPx12+1PA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InputMessage="1" showErrorMessage="1" sqref="B3:B101">
      <formula1>"BUY,SELL"</formula1>
    </dataValidation>
  </dataValidations>
  <pageMargins left="0.699305555555556" right="0.699305555555556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5"/>
  <sheetViews>
    <sheetView zoomScale="120" zoomScaleNormal="120" workbookViewId="0">
      <selection activeCell="R3" sqref="R3"/>
    </sheetView>
  </sheetViews>
  <sheetFormatPr defaultColWidth="9" defaultRowHeight="17.6"/>
  <cols>
    <col min="1" max="2" width="12.5" customWidth="1"/>
    <col min="3" max="3" width="12.6607142857143" customWidth="1"/>
    <col min="4" max="4" width="13.3303571428571" customWidth="1"/>
    <col min="5" max="5" width="12.6607142857143" customWidth="1"/>
    <col min="6" max="6" width="12.8303571428571" hidden="1" customWidth="1"/>
    <col min="7" max="7" width="13" customWidth="1"/>
    <col min="8" max="8" width="12.6607142857143" customWidth="1"/>
    <col min="9" max="9" width="12.5" hidden="1" customWidth="1"/>
    <col min="10" max="10" width="13" customWidth="1"/>
    <col min="11" max="11" width="12.8303571428571" customWidth="1"/>
    <col min="12" max="12" width="13.5" hidden="1" customWidth="1"/>
    <col min="13" max="14" width="13.1607142857143" customWidth="1"/>
    <col min="15" max="15" width="12.6607142857143" customWidth="1"/>
    <col min="16" max="16" width="13.5" customWidth="1"/>
    <col min="17" max="17" width="12.8303571428571" customWidth="1"/>
    <col min="18" max="18" width="13.1607142857143" customWidth="1"/>
    <col min="19" max="19" width="12.6607142857143" customWidth="1"/>
    <col min="20" max="20" width="13.1607142857143" customWidth="1"/>
    <col min="23" max="23" width="9" hidden="1" customWidth="1"/>
  </cols>
  <sheetData>
    <row r="1" spans="1:25">
      <c r="A1" s="1"/>
      <c r="B1" s="1"/>
      <c r="C1" s="1"/>
      <c r="D1" s="1"/>
      <c r="E1" s="1"/>
      <c r="F1" s="1"/>
      <c r="G1" s="28" t="s">
        <v>25</v>
      </c>
      <c r="H1" s="29"/>
      <c r="I1" s="29"/>
      <c r="J1" s="28" t="s">
        <v>26</v>
      </c>
      <c r="K1" s="29"/>
      <c r="L1" s="29"/>
      <c r="M1" s="34" t="s">
        <v>0</v>
      </c>
      <c r="N1" s="35"/>
      <c r="O1" s="36" t="s">
        <v>1</v>
      </c>
      <c r="P1" s="37"/>
      <c r="Q1" s="42"/>
      <c r="R1" s="1"/>
      <c r="S1" s="1"/>
      <c r="T1" s="1"/>
      <c r="U1" s="1"/>
      <c r="V1" s="1"/>
      <c r="W1" s="17"/>
      <c r="X1" s="17"/>
      <c r="Y1" s="17"/>
    </row>
    <row r="2" spans="1:2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30" t="s">
        <v>8</v>
      </c>
      <c r="H2" s="30" t="s">
        <v>9</v>
      </c>
      <c r="I2" s="30" t="s">
        <v>10</v>
      </c>
      <c r="J2" s="30" t="s">
        <v>27</v>
      </c>
      <c r="K2" s="30" t="s">
        <v>9</v>
      </c>
      <c r="L2" s="30" t="s">
        <v>10</v>
      </c>
      <c r="M2" s="38" t="s">
        <v>28</v>
      </c>
      <c r="N2" s="38" t="s">
        <v>29</v>
      </c>
      <c r="O2" s="39" t="s">
        <v>30</v>
      </c>
      <c r="P2" s="39" t="s">
        <v>31</v>
      </c>
      <c r="Q2" s="24" t="s">
        <v>15</v>
      </c>
      <c r="R2" s="24" t="s">
        <v>16</v>
      </c>
      <c r="S2" s="24" t="s">
        <v>17</v>
      </c>
      <c r="T2" s="24" t="s">
        <v>18</v>
      </c>
      <c r="U2" s="1"/>
      <c r="V2" s="1"/>
      <c r="W2" s="17" t="s">
        <v>19</v>
      </c>
      <c r="X2" s="17"/>
      <c r="Y2" s="17"/>
    </row>
    <row r="3" spans="1:25">
      <c r="A3" s="25">
        <v>46073</v>
      </c>
      <c r="B3" s="26" t="s">
        <v>19</v>
      </c>
      <c r="C3" s="27">
        <v>259388</v>
      </c>
      <c r="D3" s="27">
        <v>264576</v>
      </c>
      <c r="E3" s="27">
        <v>254200</v>
      </c>
      <c r="F3" s="31">
        <f>IF(B3="BUY",(C3*(1-2%)),IF(B3="SELL",(C3*(1+2%))))</f>
        <v>254200.24</v>
      </c>
      <c r="G3" s="32" t="str">
        <f t="shared" ref="G3:G101" si="0">IF(B3="BUY","2DLL",IF(B3="SELL","2DHH"))</f>
        <v>2DLL</v>
      </c>
      <c r="H3" s="27"/>
      <c r="I3" s="33">
        <f>IF(G3="2DHH",(H3*(1+0.12%)),IF(G3="2DLL",(H3*(1-0.12%))))</f>
        <v>0</v>
      </c>
      <c r="J3" s="32" t="str">
        <f t="shared" ref="J3:J101" si="1">IF(B3="BUY","4DLL",IF(B3="SELL","4DHH"))</f>
        <v>4DLL</v>
      </c>
      <c r="K3" s="27">
        <v>235800</v>
      </c>
      <c r="L3" s="33">
        <f t="shared" ref="L3:L101" si="2">IF(J3="4DHH",(K3*(1+0.12%)),IF(J3="4DLL",(K3*(1-0.12%))))</f>
        <v>235517.04</v>
      </c>
      <c r="M3" s="40">
        <f>MROUND(IF(B3="BUY",MAX(F3,I3),IF(B3="SELL",MIN(F3,I3))),1)</f>
        <v>254200</v>
      </c>
      <c r="N3" s="40">
        <f>MROUND(IF(B3="BUY",(M3*(1-0.1%)),IF(B3="SELL",(M3*(1+0.1%)))),1)</f>
        <v>253946</v>
      </c>
      <c r="O3" s="41">
        <f>MROUND(IF(B3="BUY",MAX(F3,L3),IF(B3="SELL",MIN(F3,L3))),1)</f>
        <v>254200</v>
      </c>
      <c r="P3" s="41">
        <f t="shared" ref="P3:P101" si="3">IF(B3="BUY",(O3*(1-0.1%)),IF(B3="SELL",(O3*(1+0.1%))))</f>
        <v>253945.8</v>
      </c>
      <c r="Q3" s="27">
        <f>D3-C3</f>
        <v>5188</v>
      </c>
      <c r="R3" s="27"/>
      <c r="S3" s="43"/>
      <c r="T3" s="27"/>
      <c r="U3" s="1"/>
      <c r="V3" s="1"/>
      <c r="W3" s="17" t="s">
        <v>20</v>
      </c>
      <c r="X3" s="17"/>
      <c r="Y3" s="17"/>
    </row>
    <row r="4" spans="1:25">
      <c r="A4" s="25"/>
      <c r="B4" s="26"/>
      <c r="C4" s="27"/>
      <c r="D4" s="27"/>
      <c r="E4" s="27"/>
      <c r="F4" s="31" t="b">
        <f t="shared" ref="F4:F67" si="4">IF(B4="BUY",(C4*(1-2%)),IF(B4="SELL",(C4*(1+2%))))</f>
        <v>0</v>
      </c>
      <c r="G4" s="32" t="b">
        <f t="shared" si="0"/>
        <v>0</v>
      </c>
      <c r="H4" s="27"/>
      <c r="I4" s="33" t="b">
        <f t="shared" ref="I4:I101" si="5">IF(G4="2DHH",(H4*(1+0.12%)),IF(G4="2DLL",(H4*(1-0.12%))))</f>
        <v>0</v>
      </c>
      <c r="J4" s="32" t="b">
        <f t="shared" si="1"/>
        <v>0</v>
      </c>
      <c r="K4" s="27"/>
      <c r="L4" s="33" t="b">
        <f t="shared" si="2"/>
        <v>0</v>
      </c>
      <c r="M4" s="40">
        <f t="shared" ref="M4:M101" si="6">MROUND(IF(B4="BUY",MAX(F4,I4),IF(B4="SELL",MIN(F4,I4))),1)</f>
        <v>0</v>
      </c>
      <c r="N4" s="40" t="b">
        <f t="shared" ref="N4:N101" si="7">IF(B4="BUY",(M4*(1-0.1%)),IF(B4="SELL",(M4*(1+0.1%))))</f>
        <v>0</v>
      </c>
      <c r="O4" s="41">
        <f t="shared" ref="O4:O101" si="8">MROUND(IF(B4="BUY",MAX(F4,L4),IF(B4="SELL",MIN(F4,L4))),1)</f>
        <v>0</v>
      </c>
      <c r="P4" s="41" t="b">
        <f t="shared" si="3"/>
        <v>0</v>
      </c>
      <c r="Q4" s="27"/>
      <c r="R4" s="27"/>
      <c r="S4" s="43"/>
      <c r="T4" s="27"/>
      <c r="U4" s="1"/>
      <c r="V4" s="1"/>
      <c r="W4" s="17"/>
      <c r="X4" s="17"/>
      <c r="Y4" s="17"/>
    </row>
    <row r="5" spans="1:25">
      <c r="A5" s="25"/>
      <c r="B5" s="26"/>
      <c r="C5" s="27"/>
      <c r="D5" s="27"/>
      <c r="E5" s="27"/>
      <c r="F5" s="31" t="b">
        <f t="shared" si="4"/>
        <v>0</v>
      </c>
      <c r="G5" s="32" t="b">
        <f t="shared" si="0"/>
        <v>0</v>
      </c>
      <c r="H5" s="27"/>
      <c r="I5" s="33" t="b">
        <f t="shared" si="5"/>
        <v>0</v>
      </c>
      <c r="J5" s="32" t="b">
        <f t="shared" si="1"/>
        <v>0</v>
      </c>
      <c r="K5" s="27"/>
      <c r="L5" s="33" t="b">
        <f t="shared" si="2"/>
        <v>0</v>
      </c>
      <c r="M5" s="40">
        <f t="shared" si="6"/>
        <v>0</v>
      </c>
      <c r="N5" s="40" t="b">
        <f t="shared" si="7"/>
        <v>0</v>
      </c>
      <c r="O5" s="41">
        <f t="shared" si="8"/>
        <v>0</v>
      </c>
      <c r="P5" s="41" t="b">
        <f t="shared" si="3"/>
        <v>0</v>
      </c>
      <c r="Q5" s="27"/>
      <c r="R5" s="27"/>
      <c r="S5" s="43"/>
      <c r="T5" s="27"/>
      <c r="U5" s="1"/>
      <c r="V5" s="1"/>
      <c r="W5" s="17"/>
      <c r="X5" s="17"/>
      <c r="Y5" s="17"/>
    </row>
    <row r="6" spans="1:25">
      <c r="A6" s="25"/>
      <c r="B6" s="26"/>
      <c r="C6" s="27"/>
      <c r="D6" s="27"/>
      <c r="E6" s="27"/>
      <c r="F6" s="31" t="b">
        <f t="shared" si="4"/>
        <v>0</v>
      </c>
      <c r="G6" s="32" t="b">
        <f t="shared" si="0"/>
        <v>0</v>
      </c>
      <c r="H6" s="27"/>
      <c r="I6" s="33" t="b">
        <f t="shared" si="5"/>
        <v>0</v>
      </c>
      <c r="J6" s="32" t="b">
        <f t="shared" si="1"/>
        <v>0</v>
      </c>
      <c r="K6" s="27"/>
      <c r="L6" s="33" t="b">
        <f t="shared" si="2"/>
        <v>0</v>
      </c>
      <c r="M6" s="40">
        <f t="shared" si="6"/>
        <v>0</v>
      </c>
      <c r="N6" s="40" t="b">
        <f t="shared" si="7"/>
        <v>0</v>
      </c>
      <c r="O6" s="41">
        <f t="shared" si="8"/>
        <v>0</v>
      </c>
      <c r="P6" s="41" t="b">
        <f t="shared" si="3"/>
        <v>0</v>
      </c>
      <c r="Q6" s="27"/>
      <c r="R6" s="27"/>
      <c r="S6" s="43"/>
      <c r="T6" s="27"/>
      <c r="U6" s="1"/>
      <c r="V6" s="1"/>
      <c r="W6" s="17"/>
      <c r="X6" s="17"/>
      <c r="Y6" s="17"/>
    </row>
    <row r="7" spans="1:25">
      <c r="A7" s="25"/>
      <c r="B7" s="26"/>
      <c r="C7" s="27"/>
      <c r="D7" s="27"/>
      <c r="E7" s="27"/>
      <c r="F7" s="31" t="b">
        <f t="shared" si="4"/>
        <v>0</v>
      </c>
      <c r="G7" s="32" t="b">
        <f t="shared" si="0"/>
        <v>0</v>
      </c>
      <c r="H7" s="27"/>
      <c r="I7" s="33" t="b">
        <f t="shared" si="5"/>
        <v>0</v>
      </c>
      <c r="J7" s="32" t="b">
        <f t="shared" si="1"/>
        <v>0</v>
      </c>
      <c r="K7" s="27"/>
      <c r="L7" s="33" t="b">
        <f t="shared" si="2"/>
        <v>0</v>
      </c>
      <c r="M7" s="40">
        <f t="shared" si="6"/>
        <v>0</v>
      </c>
      <c r="N7" s="40" t="b">
        <f t="shared" si="7"/>
        <v>0</v>
      </c>
      <c r="O7" s="41">
        <f t="shared" si="8"/>
        <v>0</v>
      </c>
      <c r="P7" s="41" t="b">
        <f t="shared" si="3"/>
        <v>0</v>
      </c>
      <c r="Q7" s="27"/>
      <c r="R7" s="27"/>
      <c r="S7" s="43"/>
      <c r="T7" s="27"/>
      <c r="U7" s="1"/>
      <c r="V7" s="1"/>
      <c r="W7" s="17"/>
      <c r="X7" s="17"/>
      <c r="Y7" s="17"/>
    </row>
    <row r="8" spans="1:25">
      <c r="A8" s="25"/>
      <c r="B8" s="26"/>
      <c r="C8" s="27"/>
      <c r="D8" s="27"/>
      <c r="E8" s="27"/>
      <c r="F8" s="31" t="b">
        <f t="shared" si="4"/>
        <v>0</v>
      </c>
      <c r="G8" s="32" t="b">
        <f t="shared" si="0"/>
        <v>0</v>
      </c>
      <c r="H8" s="27"/>
      <c r="I8" s="33" t="b">
        <f t="shared" si="5"/>
        <v>0</v>
      </c>
      <c r="J8" s="32" t="b">
        <f t="shared" si="1"/>
        <v>0</v>
      </c>
      <c r="K8" s="27"/>
      <c r="L8" s="33" t="b">
        <f t="shared" si="2"/>
        <v>0</v>
      </c>
      <c r="M8" s="40">
        <f t="shared" si="6"/>
        <v>0</v>
      </c>
      <c r="N8" s="40" t="b">
        <f t="shared" si="7"/>
        <v>0</v>
      </c>
      <c r="O8" s="41">
        <f t="shared" si="8"/>
        <v>0</v>
      </c>
      <c r="P8" s="41" t="b">
        <f t="shared" si="3"/>
        <v>0</v>
      </c>
      <c r="Q8" s="27"/>
      <c r="R8" s="27"/>
      <c r="S8" s="43"/>
      <c r="T8" s="27"/>
      <c r="U8" s="1"/>
      <c r="V8" s="1"/>
      <c r="W8" s="17"/>
      <c r="X8" s="17"/>
      <c r="Y8" s="17"/>
    </row>
    <row r="9" spans="1:25">
      <c r="A9" s="25"/>
      <c r="B9" s="26"/>
      <c r="C9" s="27"/>
      <c r="D9" s="27"/>
      <c r="E9" s="27"/>
      <c r="F9" s="31" t="b">
        <f t="shared" si="4"/>
        <v>0</v>
      </c>
      <c r="G9" s="32" t="b">
        <f t="shared" si="0"/>
        <v>0</v>
      </c>
      <c r="H9" s="27"/>
      <c r="I9" s="33" t="b">
        <f t="shared" si="5"/>
        <v>0</v>
      </c>
      <c r="J9" s="32" t="b">
        <f t="shared" si="1"/>
        <v>0</v>
      </c>
      <c r="K9" s="27"/>
      <c r="L9" s="33" t="b">
        <f t="shared" si="2"/>
        <v>0</v>
      </c>
      <c r="M9" s="40">
        <f t="shared" si="6"/>
        <v>0</v>
      </c>
      <c r="N9" s="40" t="b">
        <f t="shared" si="7"/>
        <v>0</v>
      </c>
      <c r="O9" s="41">
        <f t="shared" si="8"/>
        <v>0</v>
      </c>
      <c r="P9" s="41" t="b">
        <f t="shared" si="3"/>
        <v>0</v>
      </c>
      <c r="Q9" s="27"/>
      <c r="R9" s="27"/>
      <c r="S9" s="43"/>
      <c r="T9" s="27"/>
      <c r="U9" s="1"/>
      <c r="V9" s="1"/>
      <c r="W9" s="17"/>
      <c r="X9" s="17"/>
      <c r="Y9" s="17"/>
    </row>
    <row r="10" spans="1:25">
      <c r="A10" s="25"/>
      <c r="B10" s="26"/>
      <c r="C10" s="27"/>
      <c r="D10" s="27"/>
      <c r="E10" s="27"/>
      <c r="F10" s="31" t="b">
        <f t="shared" si="4"/>
        <v>0</v>
      </c>
      <c r="G10" s="32" t="b">
        <f t="shared" si="0"/>
        <v>0</v>
      </c>
      <c r="H10" s="27"/>
      <c r="I10" s="33" t="b">
        <f t="shared" si="5"/>
        <v>0</v>
      </c>
      <c r="J10" s="32" t="b">
        <f t="shared" si="1"/>
        <v>0</v>
      </c>
      <c r="K10" s="27"/>
      <c r="L10" s="33" t="b">
        <f t="shared" si="2"/>
        <v>0</v>
      </c>
      <c r="M10" s="40">
        <f t="shared" si="6"/>
        <v>0</v>
      </c>
      <c r="N10" s="40" t="b">
        <f t="shared" si="7"/>
        <v>0</v>
      </c>
      <c r="O10" s="41">
        <f t="shared" si="8"/>
        <v>0</v>
      </c>
      <c r="P10" s="41" t="b">
        <f t="shared" si="3"/>
        <v>0</v>
      </c>
      <c r="Q10" s="27"/>
      <c r="R10" s="27"/>
      <c r="S10" s="43"/>
      <c r="T10" s="27"/>
      <c r="U10" s="1"/>
      <c r="V10" s="1"/>
      <c r="W10" s="17"/>
      <c r="X10" s="17"/>
      <c r="Y10" s="17"/>
    </row>
    <row r="11" spans="1:25">
      <c r="A11" s="25"/>
      <c r="B11" s="26"/>
      <c r="C11" s="27"/>
      <c r="D11" s="27"/>
      <c r="E11" s="27"/>
      <c r="F11" s="31" t="b">
        <f t="shared" si="4"/>
        <v>0</v>
      </c>
      <c r="G11" s="32" t="b">
        <f t="shared" si="0"/>
        <v>0</v>
      </c>
      <c r="H11" s="27"/>
      <c r="I11" s="33" t="b">
        <f t="shared" si="5"/>
        <v>0</v>
      </c>
      <c r="J11" s="32" t="b">
        <f t="shared" si="1"/>
        <v>0</v>
      </c>
      <c r="K11" s="27"/>
      <c r="L11" s="33" t="b">
        <f t="shared" si="2"/>
        <v>0</v>
      </c>
      <c r="M11" s="40">
        <f t="shared" si="6"/>
        <v>0</v>
      </c>
      <c r="N11" s="40" t="b">
        <f t="shared" si="7"/>
        <v>0</v>
      </c>
      <c r="O11" s="41">
        <f t="shared" si="8"/>
        <v>0</v>
      </c>
      <c r="P11" s="41" t="b">
        <f t="shared" si="3"/>
        <v>0</v>
      </c>
      <c r="Q11" s="27"/>
      <c r="R11" s="27"/>
      <c r="S11" s="43"/>
      <c r="T11" s="27"/>
      <c r="U11" s="1"/>
      <c r="V11" s="1"/>
      <c r="W11" s="17"/>
      <c r="X11" s="17"/>
      <c r="Y11" s="17"/>
    </row>
    <row r="12" spans="1:25">
      <c r="A12" s="25"/>
      <c r="B12" s="26"/>
      <c r="C12" s="27"/>
      <c r="D12" s="27"/>
      <c r="E12" s="27"/>
      <c r="F12" s="31" t="b">
        <f t="shared" si="4"/>
        <v>0</v>
      </c>
      <c r="G12" s="32" t="b">
        <f t="shared" si="0"/>
        <v>0</v>
      </c>
      <c r="H12" s="27"/>
      <c r="I12" s="33" t="b">
        <f t="shared" si="5"/>
        <v>0</v>
      </c>
      <c r="J12" s="32" t="b">
        <f t="shared" si="1"/>
        <v>0</v>
      </c>
      <c r="K12" s="27"/>
      <c r="L12" s="33" t="b">
        <f t="shared" si="2"/>
        <v>0</v>
      </c>
      <c r="M12" s="40">
        <f t="shared" si="6"/>
        <v>0</v>
      </c>
      <c r="N12" s="40" t="b">
        <f t="shared" si="7"/>
        <v>0</v>
      </c>
      <c r="O12" s="41">
        <f t="shared" si="8"/>
        <v>0</v>
      </c>
      <c r="P12" s="41" t="b">
        <f t="shared" si="3"/>
        <v>0</v>
      </c>
      <c r="Q12" s="27"/>
      <c r="R12" s="27"/>
      <c r="S12" s="43"/>
      <c r="T12" s="27"/>
      <c r="U12" s="1"/>
      <c r="V12" s="1"/>
      <c r="W12" s="17"/>
      <c r="X12" s="17"/>
      <c r="Y12" s="17"/>
    </row>
    <row r="13" spans="1:25">
      <c r="A13" s="25"/>
      <c r="B13" s="26"/>
      <c r="C13" s="27"/>
      <c r="D13" s="27"/>
      <c r="E13" s="27"/>
      <c r="F13" s="31" t="b">
        <f t="shared" si="4"/>
        <v>0</v>
      </c>
      <c r="G13" s="32" t="b">
        <f t="shared" si="0"/>
        <v>0</v>
      </c>
      <c r="H13" s="27"/>
      <c r="I13" s="33" t="b">
        <f t="shared" si="5"/>
        <v>0</v>
      </c>
      <c r="J13" s="32" t="b">
        <f t="shared" si="1"/>
        <v>0</v>
      </c>
      <c r="K13" s="27"/>
      <c r="L13" s="33" t="b">
        <f t="shared" si="2"/>
        <v>0</v>
      </c>
      <c r="M13" s="40">
        <f t="shared" si="6"/>
        <v>0</v>
      </c>
      <c r="N13" s="40" t="b">
        <f t="shared" si="7"/>
        <v>0</v>
      </c>
      <c r="O13" s="41">
        <f t="shared" si="8"/>
        <v>0</v>
      </c>
      <c r="P13" s="41" t="b">
        <f t="shared" si="3"/>
        <v>0</v>
      </c>
      <c r="Q13" s="27"/>
      <c r="R13" s="27"/>
      <c r="S13" s="43"/>
      <c r="T13" s="27"/>
      <c r="U13" s="1"/>
      <c r="V13" s="1"/>
      <c r="W13" s="17"/>
      <c r="X13" s="17"/>
      <c r="Y13" s="17"/>
    </row>
    <row r="14" spans="1:25">
      <c r="A14" s="25"/>
      <c r="B14" s="26"/>
      <c r="C14" s="27"/>
      <c r="D14" s="27"/>
      <c r="E14" s="27"/>
      <c r="F14" s="31" t="b">
        <f t="shared" si="4"/>
        <v>0</v>
      </c>
      <c r="G14" s="32" t="b">
        <f t="shared" si="0"/>
        <v>0</v>
      </c>
      <c r="H14" s="27"/>
      <c r="I14" s="33" t="b">
        <f t="shared" si="5"/>
        <v>0</v>
      </c>
      <c r="J14" s="32" t="b">
        <f t="shared" si="1"/>
        <v>0</v>
      </c>
      <c r="K14" s="27"/>
      <c r="L14" s="33" t="b">
        <f t="shared" si="2"/>
        <v>0</v>
      </c>
      <c r="M14" s="40">
        <f t="shared" si="6"/>
        <v>0</v>
      </c>
      <c r="N14" s="40" t="b">
        <f t="shared" si="7"/>
        <v>0</v>
      </c>
      <c r="O14" s="41">
        <f t="shared" si="8"/>
        <v>0</v>
      </c>
      <c r="P14" s="41" t="b">
        <f t="shared" si="3"/>
        <v>0</v>
      </c>
      <c r="Q14" s="27"/>
      <c r="R14" s="27"/>
      <c r="S14" s="43"/>
      <c r="T14" s="27"/>
      <c r="U14" s="1"/>
      <c r="V14" s="1"/>
      <c r="W14" s="17"/>
      <c r="X14" s="17"/>
      <c r="Y14" s="17"/>
    </row>
    <row r="15" spans="1:25">
      <c r="A15" s="25"/>
      <c r="B15" s="26"/>
      <c r="C15" s="27"/>
      <c r="D15" s="27"/>
      <c r="E15" s="27"/>
      <c r="F15" s="31" t="b">
        <f t="shared" si="4"/>
        <v>0</v>
      </c>
      <c r="G15" s="32" t="b">
        <f t="shared" si="0"/>
        <v>0</v>
      </c>
      <c r="H15" s="27"/>
      <c r="I15" s="33" t="b">
        <f t="shared" si="5"/>
        <v>0</v>
      </c>
      <c r="J15" s="32" t="b">
        <f t="shared" si="1"/>
        <v>0</v>
      </c>
      <c r="K15" s="27"/>
      <c r="L15" s="33" t="b">
        <f t="shared" si="2"/>
        <v>0</v>
      </c>
      <c r="M15" s="40">
        <f t="shared" si="6"/>
        <v>0</v>
      </c>
      <c r="N15" s="40" t="b">
        <f t="shared" si="7"/>
        <v>0</v>
      </c>
      <c r="O15" s="41">
        <f t="shared" si="8"/>
        <v>0</v>
      </c>
      <c r="P15" s="41" t="b">
        <f t="shared" si="3"/>
        <v>0</v>
      </c>
      <c r="Q15" s="27"/>
      <c r="R15" s="27"/>
      <c r="S15" s="43"/>
      <c r="T15" s="27"/>
      <c r="U15" s="1"/>
      <c r="V15" s="1"/>
      <c r="W15" s="17"/>
      <c r="X15" s="17"/>
      <c r="Y15" s="17"/>
    </row>
    <row r="16" spans="1:25">
      <c r="A16" s="25"/>
      <c r="B16" s="26"/>
      <c r="C16" s="27"/>
      <c r="D16" s="27"/>
      <c r="E16" s="27"/>
      <c r="F16" s="31" t="b">
        <f t="shared" si="4"/>
        <v>0</v>
      </c>
      <c r="G16" s="32" t="b">
        <f t="shared" si="0"/>
        <v>0</v>
      </c>
      <c r="H16" s="27"/>
      <c r="I16" s="33" t="b">
        <f t="shared" si="5"/>
        <v>0</v>
      </c>
      <c r="J16" s="32" t="b">
        <f t="shared" si="1"/>
        <v>0</v>
      </c>
      <c r="K16" s="27"/>
      <c r="L16" s="33" t="b">
        <f t="shared" si="2"/>
        <v>0</v>
      </c>
      <c r="M16" s="40">
        <f t="shared" si="6"/>
        <v>0</v>
      </c>
      <c r="N16" s="40" t="b">
        <f t="shared" si="7"/>
        <v>0</v>
      </c>
      <c r="O16" s="41">
        <f t="shared" si="8"/>
        <v>0</v>
      </c>
      <c r="P16" s="41" t="b">
        <f t="shared" si="3"/>
        <v>0</v>
      </c>
      <c r="Q16" s="27"/>
      <c r="R16" s="27"/>
      <c r="S16" s="43"/>
      <c r="T16" s="27"/>
      <c r="U16" s="1"/>
      <c r="V16" s="1"/>
      <c r="W16" s="17"/>
      <c r="X16" s="17"/>
      <c r="Y16" s="17"/>
    </row>
    <row r="17" spans="1:25">
      <c r="A17" s="25"/>
      <c r="B17" s="26"/>
      <c r="C17" s="27"/>
      <c r="D17" s="27"/>
      <c r="E17" s="27"/>
      <c r="F17" s="31" t="b">
        <f t="shared" si="4"/>
        <v>0</v>
      </c>
      <c r="G17" s="32" t="b">
        <f t="shared" si="0"/>
        <v>0</v>
      </c>
      <c r="H17" s="27"/>
      <c r="I17" s="33" t="b">
        <f t="shared" si="5"/>
        <v>0</v>
      </c>
      <c r="J17" s="32" t="b">
        <f t="shared" si="1"/>
        <v>0</v>
      </c>
      <c r="K17" s="27"/>
      <c r="L17" s="33" t="b">
        <f t="shared" si="2"/>
        <v>0</v>
      </c>
      <c r="M17" s="40">
        <f t="shared" si="6"/>
        <v>0</v>
      </c>
      <c r="N17" s="40" t="b">
        <f t="shared" si="7"/>
        <v>0</v>
      </c>
      <c r="O17" s="41">
        <f t="shared" si="8"/>
        <v>0</v>
      </c>
      <c r="P17" s="41" t="b">
        <f t="shared" si="3"/>
        <v>0</v>
      </c>
      <c r="Q17" s="27"/>
      <c r="R17" s="27"/>
      <c r="S17" s="43"/>
      <c r="T17" s="27"/>
      <c r="U17" s="1"/>
      <c r="V17" s="1"/>
      <c r="W17" s="17"/>
      <c r="X17" s="17"/>
      <c r="Y17" s="17"/>
    </row>
    <row r="18" spans="1:25">
      <c r="A18" s="25"/>
      <c r="B18" s="26"/>
      <c r="C18" s="27"/>
      <c r="D18" s="27"/>
      <c r="E18" s="27"/>
      <c r="F18" s="31" t="b">
        <f t="shared" si="4"/>
        <v>0</v>
      </c>
      <c r="G18" s="32" t="b">
        <f t="shared" si="0"/>
        <v>0</v>
      </c>
      <c r="H18" s="27"/>
      <c r="I18" s="33" t="b">
        <f t="shared" si="5"/>
        <v>0</v>
      </c>
      <c r="J18" s="32" t="b">
        <f t="shared" si="1"/>
        <v>0</v>
      </c>
      <c r="K18" s="27"/>
      <c r="L18" s="33" t="b">
        <f t="shared" si="2"/>
        <v>0</v>
      </c>
      <c r="M18" s="40">
        <f t="shared" si="6"/>
        <v>0</v>
      </c>
      <c r="N18" s="40" t="b">
        <f t="shared" si="7"/>
        <v>0</v>
      </c>
      <c r="O18" s="41">
        <f t="shared" si="8"/>
        <v>0</v>
      </c>
      <c r="P18" s="41" t="b">
        <f t="shared" si="3"/>
        <v>0</v>
      </c>
      <c r="Q18" s="27"/>
      <c r="R18" s="27"/>
      <c r="S18" s="43"/>
      <c r="T18" s="27"/>
      <c r="U18" s="1"/>
      <c r="V18" s="1"/>
      <c r="W18" s="17"/>
      <c r="X18" s="17"/>
      <c r="Y18" s="17"/>
    </row>
    <row r="19" spans="1:25">
      <c r="A19" s="25"/>
      <c r="B19" s="26"/>
      <c r="C19" s="27"/>
      <c r="D19" s="27"/>
      <c r="E19" s="27"/>
      <c r="F19" s="31" t="b">
        <f t="shared" si="4"/>
        <v>0</v>
      </c>
      <c r="G19" s="32" t="b">
        <f t="shared" si="0"/>
        <v>0</v>
      </c>
      <c r="H19" s="27"/>
      <c r="I19" s="33" t="b">
        <f t="shared" si="5"/>
        <v>0</v>
      </c>
      <c r="J19" s="32" t="b">
        <f t="shared" si="1"/>
        <v>0</v>
      </c>
      <c r="K19" s="27"/>
      <c r="L19" s="33" t="b">
        <f t="shared" si="2"/>
        <v>0</v>
      </c>
      <c r="M19" s="40">
        <f t="shared" si="6"/>
        <v>0</v>
      </c>
      <c r="N19" s="40" t="b">
        <f t="shared" si="7"/>
        <v>0</v>
      </c>
      <c r="O19" s="41">
        <f t="shared" si="8"/>
        <v>0</v>
      </c>
      <c r="P19" s="41" t="b">
        <f t="shared" si="3"/>
        <v>0</v>
      </c>
      <c r="Q19" s="27"/>
      <c r="R19" s="27"/>
      <c r="S19" s="43"/>
      <c r="T19" s="27"/>
      <c r="U19" s="1"/>
      <c r="V19" s="1"/>
      <c r="W19" s="17"/>
      <c r="X19" s="17"/>
      <c r="Y19" s="17"/>
    </row>
    <row r="20" spans="1:25">
      <c r="A20" s="25"/>
      <c r="B20" s="26"/>
      <c r="C20" s="27"/>
      <c r="D20" s="27"/>
      <c r="E20" s="27"/>
      <c r="F20" s="31" t="b">
        <f t="shared" si="4"/>
        <v>0</v>
      </c>
      <c r="G20" s="32" t="b">
        <f t="shared" si="0"/>
        <v>0</v>
      </c>
      <c r="H20" s="27"/>
      <c r="I20" s="33" t="b">
        <f t="shared" si="5"/>
        <v>0</v>
      </c>
      <c r="J20" s="32" t="b">
        <f t="shared" si="1"/>
        <v>0</v>
      </c>
      <c r="K20" s="27"/>
      <c r="L20" s="33" t="b">
        <f t="shared" si="2"/>
        <v>0</v>
      </c>
      <c r="M20" s="40">
        <f t="shared" si="6"/>
        <v>0</v>
      </c>
      <c r="N20" s="40" t="b">
        <f t="shared" si="7"/>
        <v>0</v>
      </c>
      <c r="O20" s="41">
        <f t="shared" si="8"/>
        <v>0</v>
      </c>
      <c r="P20" s="41" t="b">
        <f t="shared" si="3"/>
        <v>0</v>
      </c>
      <c r="Q20" s="27"/>
      <c r="R20" s="27"/>
      <c r="S20" s="43"/>
      <c r="T20" s="27"/>
      <c r="U20" s="1"/>
      <c r="V20" s="1"/>
      <c r="W20" s="17"/>
      <c r="X20" s="17"/>
      <c r="Y20" s="17"/>
    </row>
    <row r="21" spans="1:25">
      <c r="A21" s="25"/>
      <c r="B21" s="26"/>
      <c r="C21" s="27"/>
      <c r="D21" s="27"/>
      <c r="E21" s="27"/>
      <c r="F21" s="31" t="b">
        <f t="shared" si="4"/>
        <v>0</v>
      </c>
      <c r="G21" s="32" t="b">
        <f t="shared" si="0"/>
        <v>0</v>
      </c>
      <c r="H21" s="27"/>
      <c r="I21" s="33" t="b">
        <f t="shared" si="5"/>
        <v>0</v>
      </c>
      <c r="J21" s="32" t="b">
        <f t="shared" si="1"/>
        <v>0</v>
      </c>
      <c r="K21" s="27"/>
      <c r="L21" s="33" t="b">
        <f t="shared" si="2"/>
        <v>0</v>
      </c>
      <c r="M21" s="40">
        <f t="shared" si="6"/>
        <v>0</v>
      </c>
      <c r="N21" s="40" t="b">
        <f t="shared" si="7"/>
        <v>0</v>
      </c>
      <c r="O21" s="41">
        <f t="shared" si="8"/>
        <v>0</v>
      </c>
      <c r="P21" s="41" t="b">
        <f t="shared" si="3"/>
        <v>0</v>
      </c>
      <c r="Q21" s="27"/>
      <c r="R21" s="27"/>
      <c r="S21" s="43"/>
      <c r="T21" s="27"/>
      <c r="U21" s="1"/>
      <c r="V21" s="1"/>
      <c r="W21" s="17"/>
      <c r="X21" s="17"/>
      <c r="Y21" s="17"/>
    </row>
    <row r="22" spans="1:25">
      <c r="A22" s="25"/>
      <c r="B22" s="26"/>
      <c r="C22" s="27"/>
      <c r="D22" s="27"/>
      <c r="E22" s="27"/>
      <c r="F22" s="31" t="b">
        <f t="shared" si="4"/>
        <v>0</v>
      </c>
      <c r="G22" s="32" t="b">
        <f t="shared" si="0"/>
        <v>0</v>
      </c>
      <c r="H22" s="27"/>
      <c r="I22" s="33" t="b">
        <f t="shared" si="5"/>
        <v>0</v>
      </c>
      <c r="J22" s="32" t="b">
        <f t="shared" si="1"/>
        <v>0</v>
      </c>
      <c r="K22" s="27"/>
      <c r="L22" s="33" t="b">
        <f t="shared" si="2"/>
        <v>0</v>
      </c>
      <c r="M22" s="40">
        <f t="shared" si="6"/>
        <v>0</v>
      </c>
      <c r="N22" s="40" t="b">
        <f t="shared" si="7"/>
        <v>0</v>
      </c>
      <c r="O22" s="41">
        <f t="shared" si="8"/>
        <v>0</v>
      </c>
      <c r="P22" s="41" t="b">
        <f t="shared" si="3"/>
        <v>0</v>
      </c>
      <c r="Q22" s="27"/>
      <c r="R22" s="27"/>
      <c r="S22" s="43"/>
      <c r="T22" s="27"/>
      <c r="U22" s="1"/>
      <c r="V22" s="1"/>
      <c r="W22" s="17"/>
      <c r="X22" s="17"/>
      <c r="Y22" s="17"/>
    </row>
    <row r="23" spans="1:25">
      <c r="A23" s="25"/>
      <c r="B23" s="26"/>
      <c r="C23" s="27"/>
      <c r="D23" s="27"/>
      <c r="E23" s="27"/>
      <c r="F23" s="31" t="b">
        <f t="shared" si="4"/>
        <v>0</v>
      </c>
      <c r="G23" s="32" t="b">
        <f t="shared" si="0"/>
        <v>0</v>
      </c>
      <c r="H23" s="27"/>
      <c r="I23" s="33" t="b">
        <f t="shared" si="5"/>
        <v>0</v>
      </c>
      <c r="J23" s="32" t="b">
        <f t="shared" si="1"/>
        <v>0</v>
      </c>
      <c r="K23" s="27"/>
      <c r="L23" s="33" t="b">
        <f t="shared" si="2"/>
        <v>0</v>
      </c>
      <c r="M23" s="40">
        <f t="shared" si="6"/>
        <v>0</v>
      </c>
      <c r="N23" s="40" t="b">
        <f t="shared" si="7"/>
        <v>0</v>
      </c>
      <c r="O23" s="41">
        <f t="shared" si="8"/>
        <v>0</v>
      </c>
      <c r="P23" s="41" t="b">
        <f t="shared" si="3"/>
        <v>0</v>
      </c>
      <c r="Q23" s="27"/>
      <c r="R23" s="27"/>
      <c r="S23" s="43"/>
      <c r="T23" s="27"/>
      <c r="U23" s="1"/>
      <c r="V23" s="1"/>
      <c r="W23" s="17"/>
      <c r="X23" s="17"/>
      <c r="Y23" s="17"/>
    </row>
    <row r="24" spans="1:25">
      <c r="A24" s="25"/>
      <c r="B24" s="26"/>
      <c r="C24" s="27"/>
      <c r="D24" s="27"/>
      <c r="E24" s="27"/>
      <c r="F24" s="31" t="b">
        <f t="shared" si="4"/>
        <v>0</v>
      </c>
      <c r="G24" s="32" t="b">
        <f t="shared" si="0"/>
        <v>0</v>
      </c>
      <c r="H24" s="27"/>
      <c r="I24" s="33" t="b">
        <f t="shared" si="5"/>
        <v>0</v>
      </c>
      <c r="J24" s="32" t="b">
        <f t="shared" si="1"/>
        <v>0</v>
      </c>
      <c r="K24" s="27"/>
      <c r="L24" s="33" t="b">
        <f t="shared" si="2"/>
        <v>0</v>
      </c>
      <c r="M24" s="40">
        <f t="shared" si="6"/>
        <v>0</v>
      </c>
      <c r="N24" s="40" t="b">
        <f t="shared" si="7"/>
        <v>0</v>
      </c>
      <c r="O24" s="41">
        <f t="shared" si="8"/>
        <v>0</v>
      </c>
      <c r="P24" s="41" t="b">
        <f t="shared" si="3"/>
        <v>0</v>
      </c>
      <c r="Q24" s="27"/>
      <c r="R24" s="27"/>
      <c r="S24" s="43"/>
      <c r="T24" s="27"/>
      <c r="U24" s="1"/>
      <c r="V24" s="1"/>
      <c r="W24" s="17"/>
      <c r="X24" s="17"/>
      <c r="Y24" s="17"/>
    </row>
    <row r="25" spans="1:25">
      <c r="A25" s="25"/>
      <c r="B25" s="26"/>
      <c r="C25" s="27"/>
      <c r="D25" s="27"/>
      <c r="E25" s="27"/>
      <c r="F25" s="31" t="b">
        <f t="shared" si="4"/>
        <v>0</v>
      </c>
      <c r="G25" s="32" t="b">
        <f t="shared" si="0"/>
        <v>0</v>
      </c>
      <c r="H25" s="27"/>
      <c r="I25" s="33" t="b">
        <f t="shared" si="5"/>
        <v>0</v>
      </c>
      <c r="J25" s="32" t="b">
        <f t="shared" si="1"/>
        <v>0</v>
      </c>
      <c r="K25" s="27"/>
      <c r="L25" s="33" t="b">
        <f t="shared" si="2"/>
        <v>0</v>
      </c>
      <c r="M25" s="40">
        <f t="shared" si="6"/>
        <v>0</v>
      </c>
      <c r="N25" s="40" t="b">
        <f t="shared" si="7"/>
        <v>0</v>
      </c>
      <c r="O25" s="41">
        <f t="shared" si="8"/>
        <v>0</v>
      </c>
      <c r="P25" s="41" t="b">
        <f t="shared" si="3"/>
        <v>0</v>
      </c>
      <c r="Q25" s="27"/>
      <c r="R25" s="27"/>
      <c r="S25" s="43"/>
      <c r="T25" s="27"/>
      <c r="U25" s="1"/>
      <c r="V25" s="1"/>
      <c r="W25" s="17"/>
      <c r="X25" s="17"/>
      <c r="Y25" s="17"/>
    </row>
    <row r="26" spans="1:25">
      <c r="A26" s="25"/>
      <c r="B26" s="26"/>
      <c r="C26" s="27"/>
      <c r="D26" s="27"/>
      <c r="E26" s="27"/>
      <c r="F26" s="31" t="b">
        <f t="shared" si="4"/>
        <v>0</v>
      </c>
      <c r="G26" s="32" t="b">
        <f t="shared" si="0"/>
        <v>0</v>
      </c>
      <c r="H26" s="27"/>
      <c r="I26" s="33" t="b">
        <f t="shared" si="5"/>
        <v>0</v>
      </c>
      <c r="J26" s="32" t="b">
        <f t="shared" si="1"/>
        <v>0</v>
      </c>
      <c r="K26" s="27"/>
      <c r="L26" s="33" t="b">
        <f t="shared" si="2"/>
        <v>0</v>
      </c>
      <c r="M26" s="40">
        <f t="shared" si="6"/>
        <v>0</v>
      </c>
      <c r="N26" s="40" t="b">
        <f t="shared" si="7"/>
        <v>0</v>
      </c>
      <c r="O26" s="41">
        <f t="shared" si="8"/>
        <v>0</v>
      </c>
      <c r="P26" s="41" t="b">
        <f t="shared" si="3"/>
        <v>0</v>
      </c>
      <c r="Q26" s="27"/>
      <c r="R26" s="27"/>
      <c r="S26" s="43"/>
      <c r="T26" s="27"/>
      <c r="U26" s="1"/>
      <c r="V26" s="1"/>
      <c r="W26" s="17"/>
      <c r="X26" s="17"/>
      <c r="Y26" s="17"/>
    </row>
    <row r="27" spans="1:25">
      <c r="A27" s="25"/>
      <c r="B27" s="26"/>
      <c r="C27" s="27"/>
      <c r="D27" s="27"/>
      <c r="E27" s="27"/>
      <c r="F27" s="31" t="b">
        <f t="shared" si="4"/>
        <v>0</v>
      </c>
      <c r="G27" s="32" t="b">
        <f t="shared" si="0"/>
        <v>0</v>
      </c>
      <c r="H27" s="27"/>
      <c r="I27" s="33" t="b">
        <f t="shared" si="5"/>
        <v>0</v>
      </c>
      <c r="J27" s="32" t="b">
        <f t="shared" si="1"/>
        <v>0</v>
      </c>
      <c r="K27" s="27"/>
      <c r="L27" s="33" t="b">
        <f t="shared" si="2"/>
        <v>0</v>
      </c>
      <c r="M27" s="40">
        <f t="shared" si="6"/>
        <v>0</v>
      </c>
      <c r="N27" s="40" t="b">
        <f t="shared" si="7"/>
        <v>0</v>
      </c>
      <c r="O27" s="41">
        <f t="shared" si="8"/>
        <v>0</v>
      </c>
      <c r="P27" s="41" t="b">
        <f t="shared" si="3"/>
        <v>0</v>
      </c>
      <c r="Q27" s="27"/>
      <c r="R27" s="27"/>
      <c r="S27" s="43"/>
      <c r="T27" s="27"/>
      <c r="U27" s="1"/>
      <c r="V27" s="1"/>
      <c r="W27" s="17"/>
      <c r="X27" s="17"/>
      <c r="Y27" s="17"/>
    </row>
    <row r="28" spans="1:25">
      <c r="A28" s="25"/>
      <c r="B28" s="26"/>
      <c r="C28" s="27"/>
      <c r="D28" s="27"/>
      <c r="E28" s="27"/>
      <c r="F28" s="31" t="b">
        <f t="shared" si="4"/>
        <v>0</v>
      </c>
      <c r="G28" s="32" t="b">
        <f t="shared" si="0"/>
        <v>0</v>
      </c>
      <c r="H28" s="27"/>
      <c r="I28" s="33" t="b">
        <f t="shared" si="5"/>
        <v>0</v>
      </c>
      <c r="J28" s="32" t="b">
        <f t="shared" si="1"/>
        <v>0</v>
      </c>
      <c r="K28" s="27"/>
      <c r="L28" s="33" t="b">
        <f t="shared" si="2"/>
        <v>0</v>
      </c>
      <c r="M28" s="40">
        <f t="shared" si="6"/>
        <v>0</v>
      </c>
      <c r="N28" s="40" t="b">
        <f t="shared" si="7"/>
        <v>0</v>
      </c>
      <c r="O28" s="41">
        <f t="shared" si="8"/>
        <v>0</v>
      </c>
      <c r="P28" s="41" t="b">
        <f t="shared" si="3"/>
        <v>0</v>
      </c>
      <c r="Q28" s="27"/>
      <c r="R28" s="27"/>
      <c r="S28" s="43"/>
      <c r="T28" s="27"/>
      <c r="U28" s="1"/>
      <c r="V28" s="1"/>
      <c r="W28" s="17"/>
      <c r="X28" s="17"/>
      <c r="Y28" s="17"/>
    </row>
    <row r="29" spans="1:25">
      <c r="A29" s="25"/>
      <c r="B29" s="26"/>
      <c r="C29" s="27"/>
      <c r="D29" s="27"/>
      <c r="E29" s="27"/>
      <c r="F29" s="31" t="b">
        <f t="shared" si="4"/>
        <v>0</v>
      </c>
      <c r="G29" s="32" t="b">
        <f t="shared" si="0"/>
        <v>0</v>
      </c>
      <c r="H29" s="27"/>
      <c r="I29" s="33" t="b">
        <f t="shared" si="5"/>
        <v>0</v>
      </c>
      <c r="J29" s="32" t="b">
        <f t="shared" si="1"/>
        <v>0</v>
      </c>
      <c r="K29" s="27"/>
      <c r="L29" s="33" t="b">
        <f t="shared" si="2"/>
        <v>0</v>
      </c>
      <c r="M29" s="40">
        <f t="shared" si="6"/>
        <v>0</v>
      </c>
      <c r="N29" s="40" t="b">
        <f t="shared" si="7"/>
        <v>0</v>
      </c>
      <c r="O29" s="41">
        <f t="shared" si="8"/>
        <v>0</v>
      </c>
      <c r="P29" s="41" t="b">
        <f t="shared" si="3"/>
        <v>0</v>
      </c>
      <c r="Q29" s="27"/>
      <c r="R29" s="27"/>
      <c r="S29" s="43"/>
      <c r="T29" s="27"/>
      <c r="U29" s="1"/>
      <c r="V29" s="1"/>
      <c r="W29" s="17"/>
      <c r="X29" s="17"/>
      <c r="Y29" s="17"/>
    </row>
    <row r="30" spans="1:25">
      <c r="A30" s="25"/>
      <c r="B30" s="26"/>
      <c r="C30" s="27"/>
      <c r="D30" s="27"/>
      <c r="E30" s="27"/>
      <c r="F30" s="31" t="b">
        <f t="shared" si="4"/>
        <v>0</v>
      </c>
      <c r="G30" s="32" t="b">
        <f t="shared" si="0"/>
        <v>0</v>
      </c>
      <c r="H30" s="27"/>
      <c r="I30" s="33" t="b">
        <f t="shared" si="5"/>
        <v>0</v>
      </c>
      <c r="J30" s="32" t="b">
        <f t="shared" si="1"/>
        <v>0</v>
      </c>
      <c r="K30" s="27"/>
      <c r="L30" s="33" t="b">
        <f t="shared" si="2"/>
        <v>0</v>
      </c>
      <c r="M30" s="40">
        <f t="shared" si="6"/>
        <v>0</v>
      </c>
      <c r="N30" s="40" t="b">
        <f t="shared" si="7"/>
        <v>0</v>
      </c>
      <c r="O30" s="41">
        <f t="shared" si="8"/>
        <v>0</v>
      </c>
      <c r="P30" s="41" t="b">
        <f t="shared" si="3"/>
        <v>0</v>
      </c>
      <c r="Q30" s="27"/>
      <c r="R30" s="27"/>
      <c r="S30" s="43"/>
      <c r="T30" s="27"/>
      <c r="U30" s="1"/>
      <c r="V30" s="1"/>
      <c r="W30" s="17"/>
      <c r="X30" s="17"/>
      <c r="Y30" s="17"/>
    </row>
    <row r="31" spans="1:25">
      <c r="A31" s="25"/>
      <c r="B31" s="26"/>
      <c r="C31" s="27"/>
      <c r="D31" s="27"/>
      <c r="E31" s="27"/>
      <c r="F31" s="31" t="b">
        <f t="shared" si="4"/>
        <v>0</v>
      </c>
      <c r="G31" s="32" t="b">
        <f t="shared" si="0"/>
        <v>0</v>
      </c>
      <c r="H31" s="27"/>
      <c r="I31" s="33" t="b">
        <f t="shared" si="5"/>
        <v>0</v>
      </c>
      <c r="J31" s="32" t="b">
        <f t="shared" si="1"/>
        <v>0</v>
      </c>
      <c r="K31" s="27"/>
      <c r="L31" s="33" t="b">
        <f t="shared" si="2"/>
        <v>0</v>
      </c>
      <c r="M31" s="40">
        <f t="shared" si="6"/>
        <v>0</v>
      </c>
      <c r="N31" s="40" t="b">
        <f t="shared" si="7"/>
        <v>0</v>
      </c>
      <c r="O31" s="41">
        <f t="shared" si="8"/>
        <v>0</v>
      </c>
      <c r="P31" s="41" t="b">
        <f t="shared" si="3"/>
        <v>0</v>
      </c>
      <c r="Q31" s="27"/>
      <c r="R31" s="27"/>
      <c r="S31" s="43"/>
      <c r="T31" s="27"/>
      <c r="U31" s="1"/>
      <c r="V31" s="1"/>
      <c r="W31" s="17"/>
      <c r="X31" s="17"/>
      <c r="Y31" s="17"/>
    </row>
    <row r="32" spans="1:25">
      <c r="A32" s="25"/>
      <c r="B32" s="26"/>
      <c r="C32" s="27"/>
      <c r="D32" s="27"/>
      <c r="E32" s="27"/>
      <c r="F32" s="31" t="b">
        <f t="shared" si="4"/>
        <v>0</v>
      </c>
      <c r="G32" s="32" t="b">
        <f t="shared" si="0"/>
        <v>0</v>
      </c>
      <c r="H32" s="27"/>
      <c r="I32" s="33" t="b">
        <f t="shared" si="5"/>
        <v>0</v>
      </c>
      <c r="J32" s="32" t="b">
        <f t="shared" si="1"/>
        <v>0</v>
      </c>
      <c r="K32" s="27"/>
      <c r="L32" s="33" t="b">
        <f t="shared" si="2"/>
        <v>0</v>
      </c>
      <c r="M32" s="40">
        <f t="shared" si="6"/>
        <v>0</v>
      </c>
      <c r="N32" s="40" t="b">
        <f t="shared" si="7"/>
        <v>0</v>
      </c>
      <c r="O32" s="41">
        <f t="shared" si="8"/>
        <v>0</v>
      </c>
      <c r="P32" s="41" t="b">
        <f t="shared" si="3"/>
        <v>0</v>
      </c>
      <c r="Q32" s="27"/>
      <c r="R32" s="27"/>
      <c r="S32" s="43"/>
      <c r="T32" s="27"/>
      <c r="U32" s="1"/>
      <c r="V32" s="1"/>
      <c r="W32" s="17"/>
      <c r="X32" s="17"/>
      <c r="Y32" s="17"/>
    </row>
    <row r="33" spans="1:25">
      <c r="A33" s="25"/>
      <c r="B33" s="26"/>
      <c r="C33" s="27"/>
      <c r="D33" s="27"/>
      <c r="E33" s="27"/>
      <c r="F33" s="31" t="b">
        <f t="shared" si="4"/>
        <v>0</v>
      </c>
      <c r="G33" s="32" t="b">
        <f t="shared" si="0"/>
        <v>0</v>
      </c>
      <c r="H33" s="27"/>
      <c r="I33" s="33" t="b">
        <f t="shared" si="5"/>
        <v>0</v>
      </c>
      <c r="J33" s="32" t="b">
        <f t="shared" si="1"/>
        <v>0</v>
      </c>
      <c r="K33" s="27"/>
      <c r="L33" s="33" t="b">
        <f t="shared" si="2"/>
        <v>0</v>
      </c>
      <c r="M33" s="40">
        <f t="shared" si="6"/>
        <v>0</v>
      </c>
      <c r="N33" s="40" t="b">
        <f t="shared" si="7"/>
        <v>0</v>
      </c>
      <c r="O33" s="41">
        <f t="shared" si="8"/>
        <v>0</v>
      </c>
      <c r="P33" s="41" t="b">
        <f t="shared" si="3"/>
        <v>0</v>
      </c>
      <c r="Q33" s="27"/>
      <c r="R33" s="27"/>
      <c r="S33" s="43"/>
      <c r="T33" s="27"/>
      <c r="U33" s="1"/>
      <c r="V33" s="1"/>
      <c r="W33" s="17"/>
      <c r="X33" s="17"/>
      <c r="Y33" s="17"/>
    </row>
    <row r="34" spans="1:25">
      <c r="A34" s="25"/>
      <c r="B34" s="26"/>
      <c r="C34" s="27"/>
      <c r="D34" s="27"/>
      <c r="E34" s="27"/>
      <c r="F34" s="31" t="b">
        <f t="shared" si="4"/>
        <v>0</v>
      </c>
      <c r="G34" s="32" t="b">
        <f t="shared" si="0"/>
        <v>0</v>
      </c>
      <c r="H34" s="27"/>
      <c r="I34" s="33" t="b">
        <f t="shared" si="5"/>
        <v>0</v>
      </c>
      <c r="J34" s="32" t="b">
        <f t="shared" si="1"/>
        <v>0</v>
      </c>
      <c r="K34" s="27"/>
      <c r="L34" s="33" t="b">
        <f t="shared" si="2"/>
        <v>0</v>
      </c>
      <c r="M34" s="40">
        <f t="shared" si="6"/>
        <v>0</v>
      </c>
      <c r="N34" s="40" t="b">
        <f t="shared" si="7"/>
        <v>0</v>
      </c>
      <c r="O34" s="41">
        <f t="shared" si="8"/>
        <v>0</v>
      </c>
      <c r="P34" s="41" t="b">
        <f t="shared" si="3"/>
        <v>0</v>
      </c>
      <c r="Q34" s="27"/>
      <c r="R34" s="27"/>
      <c r="S34" s="43"/>
      <c r="T34" s="27"/>
      <c r="U34" s="1"/>
      <c r="V34" s="1"/>
      <c r="W34" s="17"/>
      <c r="X34" s="17"/>
      <c r="Y34" s="17"/>
    </row>
    <row r="35" spans="1:25">
      <c r="A35" s="25"/>
      <c r="B35" s="26"/>
      <c r="C35" s="27"/>
      <c r="D35" s="27"/>
      <c r="E35" s="27"/>
      <c r="F35" s="31" t="b">
        <f t="shared" si="4"/>
        <v>0</v>
      </c>
      <c r="G35" s="32" t="b">
        <f t="shared" si="0"/>
        <v>0</v>
      </c>
      <c r="H35" s="27"/>
      <c r="I35" s="33" t="b">
        <f t="shared" si="5"/>
        <v>0</v>
      </c>
      <c r="J35" s="32" t="b">
        <f t="shared" si="1"/>
        <v>0</v>
      </c>
      <c r="K35" s="27"/>
      <c r="L35" s="33" t="b">
        <f t="shared" si="2"/>
        <v>0</v>
      </c>
      <c r="M35" s="40">
        <f t="shared" si="6"/>
        <v>0</v>
      </c>
      <c r="N35" s="40" t="b">
        <f t="shared" si="7"/>
        <v>0</v>
      </c>
      <c r="O35" s="41">
        <f t="shared" si="8"/>
        <v>0</v>
      </c>
      <c r="P35" s="41" t="b">
        <f t="shared" si="3"/>
        <v>0</v>
      </c>
      <c r="Q35" s="27"/>
      <c r="R35" s="27"/>
      <c r="S35" s="43"/>
      <c r="T35" s="27"/>
      <c r="U35" s="1"/>
      <c r="V35" s="1"/>
      <c r="W35" s="17"/>
      <c r="X35" s="17"/>
      <c r="Y35" s="17"/>
    </row>
    <row r="36" spans="1:25">
      <c r="A36" s="25"/>
      <c r="B36" s="26"/>
      <c r="C36" s="27"/>
      <c r="D36" s="27"/>
      <c r="E36" s="27"/>
      <c r="F36" s="31" t="b">
        <f t="shared" si="4"/>
        <v>0</v>
      </c>
      <c r="G36" s="32" t="b">
        <f t="shared" si="0"/>
        <v>0</v>
      </c>
      <c r="H36" s="27"/>
      <c r="I36" s="33" t="b">
        <f t="shared" si="5"/>
        <v>0</v>
      </c>
      <c r="J36" s="32" t="b">
        <f t="shared" si="1"/>
        <v>0</v>
      </c>
      <c r="K36" s="27"/>
      <c r="L36" s="33" t="b">
        <f t="shared" si="2"/>
        <v>0</v>
      </c>
      <c r="M36" s="40">
        <f t="shared" si="6"/>
        <v>0</v>
      </c>
      <c r="N36" s="40" t="b">
        <f t="shared" si="7"/>
        <v>0</v>
      </c>
      <c r="O36" s="41">
        <f t="shared" si="8"/>
        <v>0</v>
      </c>
      <c r="P36" s="41" t="b">
        <f t="shared" si="3"/>
        <v>0</v>
      </c>
      <c r="Q36" s="27"/>
      <c r="R36" s="27"/>
      <c r="S36" s="43"/>
      <c r="T36" s="27"/>
      <c r="U36" s="1"/>
      <c r="V36" s="1"/>
      <c r="W36" s="17"/>
      <c r="X36" s="17"/>
      <c r="Y36" s="17"/>
    </row>
    <row r="37" spans="1:25">
      <c r="A37" s="25"/>
      <c r="B37" s="26"/>
      <c r="C37" s="27"/>
      <c r="D37" s="27"/>
      <c r="E37" s="27"/>
      <c r="F37" s="31" t="b">
        <f t="shared" si="4"/>
        <v>0</v>
      </c>
      <c r="G37" s="32" t="b">
        <f t="shared" si="0"/>
        <v>0</v>
      </c>
      <c r="H37" s="27"/>
      <c r="I37" s="33" t="b">
        <f t="shared" si="5"/>
        <v>0</v>
      </c>
      <c r="J37" s="32" t="b">
        <f t="shared" si="1"/>
        <v>0</v>
      </c>
      <c r="K37" s="27"/>
      <c r="L37" s="33" t="b">
        <f t="shared" si="2"/>
        <v>0</v>
      </c>
      <c r="M37" s="40">
        <f t="shared" si="6"/>
        <v>0</v>
      </c>
      <c r="N37" s="40" t="b">
        <f t="shared" si="7"/>
        <v>0</v>
      </c>
      <c r="O37" s="41">
        <f t="shared" si="8"/>
        <v>0</v>
      </c>
      <c r="P37" s="41" t="b">
        <f t="shared" si="3"/>
        <v>0</v>
      </c>
      <c r="Q37" s="27"/>
      <c r="R37" s="27"/>
      <c r="S37" s="43"/>
      <c r="T37" s="27"/>
      <c r="U37" s="1"/>
      <c r="V37" s="1"/>
      <c r="W37" s="17"/>
      <c r="X37" s="17"/>
      <c r="Y37" s="17"/>
    </row>
    <row r="38" spans="1:25">
      <c r="A38" s="25"/>
      <c r="B38" s="26"/>
      <c r="C38" s="27"/>
      <c r="D38" s="27"/>
      <c r="E38" s="27"/>
      <c r="F38" s="31" t="b">
        <f t="shared" si="4"/>
        <v>0</v>
      </c>
      <c r="G38" s="32" t="b">
        <f t="shared" si="0"/>
        <v>0</v>
      </c>
      <c r="H38" s="27"/>
      <c r="I38" s="33" t="b">
        <f t="shared" si="5"/>
        <v>0</v>
      </c>
      <c r="J38" s="32" t="b">
        <f t="shared" si="1"/>
        <v>0</v>
      </c>
      <c r="K38" s="27"/>
      <c r="L38" s="33" t="b">
        <f t="shared" si="2"/>
        <v>0</v>
      </c>
      <c r="M38" s="40">
        <f t="shared" si="6"/>
        <v>0</v>
      </c>
      <c r="N38" s="40" t="b">
        <f t="shared" si="7"/>
        <v>0</v>
      </c>
      <c r="O38" s="41">
        <f t="shared" si="8"/>
        <v>0</v>
      </c>
      <c r="P38" s="41" t="b">
        <f t="shared" si="3"/>
        <v>0</v>
      </c>
      <c r="Q38" s="27"/>
      <c r="R38" s="27"/>
      <c r="S38" s="43"/>
      <c r="T38" s="27"/>
      <c r="U38" s="1"/>
      <c r="V38" s="1"/>
      <c r="W38" s="17"/>
      <c r="X38" s="17"/>
      <c r="Y38" s="17"/>
    </row>
    <row r="39" spans="1:25">
      <c r="A39" s="25"/>
      <c r="B39" s="26"/>
      <c r="C39" s="27"/>
      <c r="D39" s="27"/>
      <c r="E39" s="27"/>
      <c r="F39" s="31" t="b">
        <f t="shared" si="4"/>
        <v>0</v>
      </c>
      <c r="G39" s="32" t="b">
        <f t="shared" si="0"/>
        <v>0</v>
      </c>
      <c r="H39" s="27"/>
      <c r="I39" s="33" t="b">
        <f t="shared" si="5"/>
        <v>0</v>
      </c>
      <c r="J39" s="32" t="b">
        <f t="shared" si="1"/>
        <v>0</v>
      </c>
      <c r="K39" s="27"/>
      <c r="L39" s="33" t="b">
        <f t="shared" si="2"/>
        <v>0</v>
      </c>
      <c r="M39" s="40">
        <f t="shared" si="6"/>
        <v>0</v>
      </c>
      <c r="N39" s="40" t="b">
        <f t="shared" si="7"/>
        <v>0</v>
      </c>
      <c r="O39" s="41">
        <f t="shared" si="8"/>
        <v>0</v>
      </c>
      <c r="P39" s="41" t="b">
        <f t="shared" si="3"/>
        <v>0</v>
      </c>
      <c r="Q39" s="27"/>
      <c r="R39" s="27"/>
      <c r="S39" s="43"/>
      <c r="T39" s="27"/>
      <c r="U39" s="1"/>
      <c r="V39" s="1"/>
      <c r="W39" s="17"/>
      <c r="X39" s="17"/>
      <c r="Y39" s="17"/>
    </row>
    <row r="40" spans="1:25">
      <c r="A40" s="25"/>
      <c r="B40" s="26"/>
      <c r="C40" s="27"/>
      <c r="D40" s="27"/>
      <c r="E40" s="27"/>
      <c r="F40" s="31" t="b">
        <f t="shared" si="4"/>
        <v>0</v>
      </c>
      <c r="G40" s="32" t="b">
        <f t="shared" si="0"/>
        <v>0</v>
      </c>
      <c r="H40" s="27"/>
      <c r="I40" s="33" t="b">
        <f t="shared" si="5"/>
        <v>0</v>
      </c>
      <c r="J40" s="32" t="b">
        <f t="shared" si="1"/>
        <v>0</v>
      </c>
      <c r="K40" s="27"/>
      <c r="L40" s="33" t="b">
        <f t="shared" si="2"/>
        <v>0</v>
      </c>
      <c r="M40" s="40">
        <f t="shared" si="6"/>
        <v>0</v>
      </c>
      <c r="N40" s="40" t="b">
        <f t="shared" si="7"/>
        <v>0</v>
      </c>
      <c r="O40" s="41">
        <f t="shared" si="8"/>
        <v>0</v>
      </c>
      <c r="P40" s="41" t="b">
        <f t="shared" si="3"/>
        <v>0</v>
      </c>
      <c r="Q40" s="27"/>
      <c r="R40" s="27"/>
      <c r="S40" s="43"/>
      <c r="T40" s="27"/>
      <c r="U40" s="1"/>
      <c r="V40" s="1"/>
      <c r="W40" s="17"/>
      <c r="X40" s="17"/>
      <c r="Y40" s="17"/>
    </row>
    <row r="41" spans="1:25">
      <c r="A41" s="25"/>
      <c r="B41" s="26"/>
      <c r="C41" s="27"/>
      <c r="D41" s="27"/>
      <c r="E41" s="27"/>
      <c r="F41" s="31" t="b">
        <f t="shared" si="4"/>
        <v>0</v>
      </c>
      <c r="G41" s="32" t="b">
        <f t="shared" si="0"/>
        <v>0</v>
      </c>
      <c r="H41" s="27"/>
      <c r="I41" s="33" t="b">
        <f t="shared" si="5"/>
        <v>0</v>
      </c>
      <c r="J41" s="32" t="b">
        <f t="shared" si="1"/>
        <v>0</v>
      </c>
      <c r="K41" s="27"/>
      <c r="L41" s="33" t="b">
        <f t="shared" si="2"/>
        <v>0</v>
      </c>
      <c r="M41" s="40">
        <f t="shared" si="6"/>
        <v>0</v>
      </c>
      <c r="N41" s="40" t="b">
        <f t="shared" si="7"/>
        <v>0</v>
      </c>
      <c r="O41" s="41">
        <f t="shared" si="8"/>
        <v>0</v>
      </c>
      <c r="P41" s="41" t="b">
        <f t="shared" si="3"/>
        <v>0</v>
      </c>
      <c r="Q41" s="27"/>
      <c r="R41" s="27"/>
      <c r="S41" s="43"/>
      <c r="T41" s="27"/>
      <c r="U41" s="1"/>
      <c r="V41" s="1"/>
      <c r="W41" s="17"/>
      <c r="X41" s="17"/>
      <c r="Y41" s="17"/>
    </row>
    <row r="42" spans="1:25">
      <c r="A42" s="25"/>
      <c r="B42" s="26"/>
      <c r="C42" s="27"/>
      <c r="D42" s="27"/>
      <c r="E42" s="27"/>
      <c r="F42" s="31" t="b">
        <f t="shared" si="4"/>
        <v>0</v>
      </c>
      <c r="G42" s="32" t="b">
        <f t="shared" si="0"/>
        <v>0</v>
      </c>
      <c r="H42" s="27"/>
      <c r="I42" s="33" t="b">
        <f t="shared" si="5"/>
        <v>0</v>
      </c>
      <c r="J42" s="32" t="b">
        <f t="shared" si="1"/>
        <v>0</v>
      </c>
      <c r="K42" s="27"/>
      <c r="L42" s="33" t="b">
        <f t="shared" si="2"/>
        <v>0</v>
      </c>
      <c r="M42" s="40">
        <f t="shared" si="6"/>
        <v>0</v>
      </c>
      <c r="N42" s="40" t="b">
        <f t="shared" si="7"/>
        <v>0</v>
      </c>
      <c r="O42" s="41">
        <f t="shared" si="8"/>
        <v>0</v>
      </c>
      <c r="P42" s="41" t="b">
        <f t="shared" si="3"/>
        <v>0</v>
      </c>
      <c r="Q42" s="27"/>
      <c r="R42" s="27"/>
      <c r="S42" s="43"/>
      <c r="T42" s="27"/>
      <c r="U42" s="1"/>
      <c r="V42" s="1"/>
      <c r="W42" s="17"/>
      <c r="X42" s="17"/>
      <c r="Y42" s="17"/>
    </row>
    <row r="43" spans="1:25">
      <c r="A43" s="25"/>
      <c r="B43" s="26"/>
      <c r="C43" s="27"/>
      <c r="D43" s="27"/>
      <c r="E43" s="27"/>
      <c r="F43" s="31" t="b">
        <f t="shared" si="4"/>
        <v>0</v>
      </c>
      <c r="G43" s="32" t="b">
        <f t="shared" si="0"/>
        <v>0</v>
      </c>
      <c r="H43" s="27"/>
      <c r="I43" s="33" t="b">
        <f t="shared" si="5"/>
        <v>0</v>
      </c>
      <c r="J43" s="32" t="b">
        <f t="shared" si="1"/>
        <v>0</v>
      </c>
      <c r="K43" s="27"/>
      <c r="L43" s="33" t="b">
        <f t="shared" si="2"/>
        <v>0</v>
      </c>
      <c r="M43" s="40">
        <f t="shared" si="6"/>
        <v>0</v>
      </c>
      <c r="N43" s="40" t="b">
        <f t="shared" si="7"/>
        <v>0</v>
      </c>
      <c r="O43" s="41">
        <f t="shared" si="8"/>
        <v>0</v>
      </c>
      <c r="P43" s="41" t="b">
        <f t="shared" si="3"/>
        <v>0</v>
      </c>
      <c r="Q43" s="27"/>
      <c r="R43" s="27"/>
      <c r="S43" s="43"/>
      <c r="T43" s="27"/>
      <c r="U43" s="1"/>
      <c r="V43" s="1"/>
      <c r="W43" s="17"/>
      <c r="X43" s="17"/>
      <c r="Y43" s="17"/>
    </row>
    <row r="44" spans="1:25">
      <c r="A44" s="25"/>
      <c r="B44" s="26"/>
      <c r="C44" s="27"/>
      <c r="D44" s="27"/>
      <c r="E44" s="27"/>
      <c r="F44" s="31" t="b">
        <f t="shared" si="4"/>
        <v>0</v>
      </c>
      <c r="G44" s="32" t="b">
        <f t="shared" si="0"/>
        <v>0</v>
      </c>
      <c r="H44" s="27"/>
      <c r="I44" s="33" t="b">
        <f t="shared" si="5"/>
        <v>0</v>
      </c>
      <c r="J44" s="32" t="b">
        <f t="shared" si="1"/>
        <v>0</v>
      </c>
      <c r="K44" s="27"/>
      <c r="L44" s="33" t="b">
        <f t="shared" si="2"/>
        <v>0</v>
      </c>
      <c r="M44" s="40">
        <f t="shared" si="6"/>
        <v>0</v>
      </c>
      <c r="N44" s="40" t="b">
        <f t="shared" si="7"/>
        <v>0</v>
      </c>
      <c r="O44" s="41">
        <f t="shared" si="8"/>
        <v>0</v>
      </c>
      <c r="P44" s="41" t="b">
        <f t="shared" si="3"/>
        <v>0</v>
      </c>
      <c r="Q44" s="27"/>
      <c r="R44" s="27"/>
      <c r="S44" s="43"/>
      <c r="T44" s="27"/>
      <c r="U44" s="1"/>
      <c r="V44" s="1"/>
      <c r="W44" s="17"/>
      <c r="X44" s="17"/>
      <c r="Y44" s="17"/>
    </row>
    <row r="45" spans="1:25">
      <c r="A45" s="25"/>
      <c r="B45" s="26"/>
      <c r="C45" s="27"/>
      <c r="D45" s="27"/>
      <c r="E45" s="27"/>
      <c r="F45" s="31" t="b">
        <f t="shared" si="4"/>
        <v>0</v>
      </c>
      <c r="G45" s="32" t="b">
        <f t="shared" si="0"/>
        <v>0</v>
      </c>
      <c r="H45" s="27"/>
      <c r="I45" s="33" t="b">
        <f t="shared" si="5"/>
        <v>0</v>
      </c>
      <c r="J45" s="32" t="b">
        <f t="shared" si="1"/>
        <v>0</v>
      </c>
      <c r="K45" s="27"/>
      <c r="L45" s="33" t="b">
        <f t="shared" si="2"/>
        <v>0</v>
      </c>
      <c r="M45" s="40">
        <f t="shared" si="6"/>
        <v>0</v>
      </c>
      <c r="N45" s="40" t="b">
        <f t="shared" si="7"/>
        <v>0</v>
      </c>
      <c r="O45" s="41">
        <f t="shared" si="8"/>
        <v>0</v>
      </c>
      <c r="P45" s="41" t="b">
        <f t="shared" si="3"/>
        <v>0</v>
      </c>
      <c r="Q45" s="27"/>
      <c r="R45" s="27"/>
      <c r="S45" s="43"/>
      <c r="T45" s="27"/>
      <c r="U45" s="1"/>
      <c r="V45" s="1"/>
      <c r="W45" s="17"/>
      <c r="X45" s="17"/>
      <c r="Y45" s="17"/>
    </row>
    <row r="46" spans="1:25">
      <c r="A46" s="25"/>
      <c r="B46" s="26"/>
      <c r="C46" s="27"/>
      <c r="D46" s="27"/>
      <c r="E46" s="27"/>
      <c r="F46" s="31" t="b">
        <f t="shared" si="4"/>
        <v>0</v>
      </c>
      <c r="G46" s="32" t="b">
        <f t="shared" si="0"/>
        <v>0</v>
      </c>
      <c r="H46" s="27"/>
      <c r="I46" s="33" t="b">
        <f t="shared" si="5"/>
        <v>0</v>
      </c>
      <c r="J46" s="32" t="b">
        <f t="shared" si="1"/>
        <v>0</v>
      </c>
      <c r="K46" s="27"/>
      <c r="L46" s="33" t="b">
        <f t="shared" si="2"/>
        <v>0</v>
      </c>
      <c r="M46" s="40">
        <f t="shared" si="6"/>
        <v>0</v>
      </c>
      <c r="N46" s="40" t="b">
        <f t="shared" si="7"/>
        <v>0</v>
      </c>
      <c r="O46" s="41">
        <f t="shared" si="8"/>
        <v>0</v>
      </c>
      <c r="P46" s="41" t="b">
        <f t="shared" si="3"/>
        <v>0</v>
      </c>
      <c r="Q46" s="27"/>
      <c r="R46" s="27"/>
      <c r="S46" s="43"/>
      <c r="T46" s="27"/>
      <c r="U46" s="1"/>
      <c r="V46" s="1"/>
      <c r="W46" s="17"/>
      <c r="X46" s="17"/>
      <c r="Y46" s="17"/>
    </row>
    <row r="47" spans="1:25">
      <c r="A47" s="25"/>
      <c r="B47" s="26"/>
      <c r="C47" s="27"/>
      <c r="D47" s="27"/>
      <c r="E47" s="27"/>
      <c r="F47" s="31" t="b">
        <f t="shared" si="4"/>
        <v>0</v>
      </c>
      <c r="G47" s="32" t="b">
        <f t="shared" si="0"/>
        <v>0</v>
      </c>
      <c r="H47" s="27"/>
      <c r="I47" s="33" t="b">
        <f t="shared" si="5"/>
        <v>0</v>
      </c>
      <c r="J47" s="32" t="b">
        <f t="shared" si="1"/>
        <v>0</v>
      </c>
      <c r="K47" s="27"/>
      <c r="L47" s="33" t="b">
        <f t="shared" si="2"/>
        <v>0</v>
      </c>
      <c r="M47" s="40">
        <f t="shared" si="6"/>
        <v>0</v>
      </c>
      <c r="N47" s="40" t="b">
        <f t="shared" si="7"/>
        <v>0</v>
      </c>
      <c r="O47" s="41">
        <f t="shared" si="8"/>
        <v>0</v>
      </c>
      <c r="P47" s="41" t="b">
        <f t="shared" si="3"/>
        <v>0</v>
      </c>
      <c r="Q47" s="27"/>
      <c r="R47" s="27"/>
      <c r="S47" s="43"/>
      <c r="T47" s="27"/>
      <c r="U47" s="1"/>
      <c r="V47" s="1"/>
      <c r="W47" s="17"/>
      <c r="X47" s="17"/>
      <c r="Y47" s="17"/>
    </row>
    <row r="48" spans="1:25">
      <c r="A48" s="25"/>
      <c r="B48" s="26"/>
      <c r="C48" s="27"/>
      <c r="D48" s="27"/>
      <c r="E48" s="27"/>
      <c r="F48" s="31" t="b">
        <f t="shared" si="4"/>
        <v>0</v>
      </c>
      <c r="G48" s="32" t="b">
        <f t="shared" si="0"/>
        <v>0</v>
      </c>
      <c r="H48" s="27"/>
      <c r="I48" s="33" t="b">
        <f t="shared" si="5"/>
        <v>0</v>
      </c>
      <c r="J48" s="32" t="b">
        <f t="shared" si="1"/>
        <v>0</v>
      </c>
      <c r="K48" s="27"/>
      <c r="L48" s="33" t="b">
        <f t="shared" si="2"/>
        <v>0</v>
      </c>
      <c r="M48" s="40">
        <f t="shared" si="6"/>
        <v>0</v>
      </c>
      <c r="N48" s="40" t="b">
        <f t="shared" si="7"/>
        <v>0</v>
      </c>
      <c r="O48" s="41">
        <f t="shared" si="8"/>
        <v>0</v>
      </c>
      <c r="P48" s="41" t="b">
        <f t="shared" si="3"/>
        <v>0</v>
      </c>
      <c r="Q48" s="27"/>
      <c r="R48" s="27"/>
      <c r="S48" s="43"/>
      <c r="T48" s="27"/>
      <c r="U48" s="1"/>
      <c r="V48" s="1"/>
      <c r="W48" s="17"/>
      <c r="X48" s="17"/>
      <c r="Y48" s="17"/>
    </row>
    <row r="49" spans="1:25">
      <c r="A49" s="25"/>
      <c r="B49" s="26"/>
      <c r="C49" s="27"/>
      <c r="D49" s="27"/>
      <c r="E49" s="27"/>
      <c r="F49" s="31" t="b">
        <f t="shared" si="4"/>
        <v>0</v>
      </c>
      <c r="G49" s="32" t="b">
        <f t="shared" si="0"/>
        <v>0</v>
      </c>
      <c r="H49" s="27"/>
      <c r="I49" s="33" t="b">
        <f t="shared" si="5"/>
        <v>0</v>
      </c>
      <c r="J49" s="32" t="b">
        <f t="shared" si="1"/>
        <v>0</v>
      </c>
      <c r="K49" s="27"/>
      <c r="L49" s="33" t="b">
        <f t="shared" si="2"/>
        <v>0</v>
      </c>
      <c r="M49" s="40">
        <f t="shared" si="6"/>
        <v>0</v>
      </c>
      <c r="N49" s="40" t="b">
        <f t="shared" si="7"/>
        <v>0</v>
      </c>
      <c r="O49" s="41">
        <f t="shared" si="8"/>
        <v>0</v>
      </c>
      <c r="P49" s="41" t="b">
        <f t="shared" si="3"/>
        <v>0</v>
      </c>
      <c r="Q49" s="27"/>
      <c r="R49" s="27"/>
      <c r="S49" s="43"/>
      <c r="T49" s="27"/>
      <c r="U49" s="1"/>
      <c r="V49" s="1"/>
      <c r="W49" s="17"/>
      <c r="X49" s="17"/>
      <c r="Y49" s="17"/>
    </row>
    <row r="50" spans="1:25">
      <c r="A50" s="25"/>
      <c r="B50" s="26"/>
      <c r="C50" s="27"/>
      <c r="D50" s="27"/>
      <c r="E50" s="27"/>
      <c r="F50" s="31" t="b">
        <f t="shared" si="4"/>
        <v>0</v>
      </c>
      <c r="G50" s="32" t="b">
        <f t="shared" si="0"/>
        <v>0</v>
      </c>
      <c r="H50" s="27"/>
      <c r="I50" s="33" t="b">
        <f t="shared" si="5"/>
        <v>0</v>
      </c>
      <c r="J50" s="32" t="b">
        <f t="shared" si="1"/>
        <v>0</v>
      </c>
      <c r="K50" s="27"/>
      <c r="L50" s="33" t="b">
        <f t="shared" si="2"/>
        <v>0</v>
      </c>
      <c r="M50" s="40">
        <f t="shared" si="6"/>
        <v>0</v>
      </c>
      <c r="N50" s="40" t="b">
        <f t="shared" si="7"/>
        <v>0</v>
      </c>
      <c r="O50" s="41">
        <f t="shared" si="8"/>
        <v>0</v>
      </c>
      <c r="P50" s="41" t="b">
        <f t="shared" si="3"/>
        <v>0</v>
      </c>
      <c r="Q50" s="27"/>
      <c r="R50" s="27"/>
      <c r="S50" s="43"/>
      <c r="T50" s="27"/>
      <c r="U50" s="1"/>
      <c r="V50" s="1"/>
      <c r="W50" s="17"/>
      <c r="X50" s="17"/>
      <c r="Y50" s="17"/>
    </row>
    <row r="51" spans="1:25">
      <c r="A51" s="25"/>
      <c r="B51" s="26"/>
      <c r="C51" s="27"/>
      <c r="D51" s="27"/>
      <c r="E51" s="27"/>
      <c r="F51" s="31" t="b">
        <f t="shared" si="4"/>
        <v>0</v>
      </c>
      <c r="G51" s="32" t="b">
        <f t="shared" si="0"/>
        <v>0</v>
      </c>
      <c r="H51" s="27"/>
      <c r="I51" s="33" t="b">
        <f t="shared" si="5"/>
        <v>0</v>
      </c>
      <c r="J51" s="32" t="b">
        <f t="shared" si="1"/>
        <v>0</v>
      </c>
      <c r="K51" s="27"/>
      <c r="L51" s="33" t="b">
        <f t="shared" si="2"/>
        <v>0</v>
      </c>
      <c r="M51" s="40">
        <f t="shared" si="6"/>
        <v>0</v>
      </c>
      <c r="N51" s="40" t="b">
        <f t="shared" si="7"/>
        <v>0</v>
      </c>
      <c r="O51" s="41">
        <f t="shared" si="8"/>
        <v>0</v>
      </c>
      <c r="P51" s="41" t="b">
        <f t="shared" si="3"/>
        <v>0</v>
      </c>
      <c r="Q51" s="27"/>
      <c r="R51" s="27"/>
      <c r="S51" s="43"/>
      <c r="T51" s="27"/>
      <c r="U51" s="1"/>
      <c r="V51" s="1"/>
      <c r="W51" s="17"/>
      <c r="X51" s="17"/>
      <c r="Y51" s="17"/>
    </row>
    <row r="52" spans="1:25">
      <c r="A52" s="25"/>
      <c r="B52" s="26"/>
      <c r="C52" s="27"/>
      <c r="D52" s="27"/>
      <c r="E52" s="27"/>
      <c r="F52" s="31" t="b">
        <f t="shared" si="4"/>
        <v>0</v>
      </c>
      <c r="G52" s="32" t="b">
        <f t="shared" si="0"/>
        <v>0</v>
      </c>
      <c r="H52" s="27"/>
      <c r="I52" s="33" t="b">
        <f t="shared" si="5"/>
        <v>0</v>
      </c>
      <c r="J52" s="32" t="b">
        <f t="shared" si="1"/>
        <v>0</v>
      </c>
      <c r="K52" s="27"/>
      <c r="L52" s="33" t="b">
        <f t="shared" si="2"/>
        <v>0</v>
      </c>
      <c r="M52" s="40">
        <f t="shared" si="6"/>
        <v>0</v>
      </c>
      <c r="N52" s="40" t="b">
        <f t="shared" si="7"/>
        <v>0</v>
      </c>
      <c r="O52" s="41">
        <f t="shared" si="8"/>
        <v>0</v>
      </c>
      <c r="P52" s="41" t="b">
        <f t="shared" si="3"/>
        <v>0</v>
      </c>
      <c r="Q52" s="27"/>
      <c r="R52" s="27"/>
      <c r="S52" s="43"/>
      <c r="T52" s="27"/>
      <c r="U52" s="1"/>
      <c r="V52" s="1"/>
      <c r="W52" s="17"/>
      <c r="X52" s="17"/>
      <c r="Y52" s="17"/>
    </row>
    <row r="53" spans="1:25">
      <c r="A53" s="25"/>
      <c r="B53" s="26"/>
      <c r="C53" s="27"/>
      <c r="D53" s="27"/>
      <c r="E53" s="27"/>
      <c r="F53" s="31" t="b">
        <f t="shared" si="4"/>
        <v>0</v>
      </c>
      <c r="G53" s="32" t="b">
        <f t="shared" si="0"/>
        <v>0</v>
      </c>
      <c r="H53" s="27"/>
      <c r="I53" s="33" t="b">
        <f t="shared" si="5"/>
        <v>0</v>
      </c>
      <c r="J53" s="32" t="b">
        <f t="shared" si="1"/>
        <v>0</v>
      </c>
      <c r="K53" s="27"/>
      <c r="L53" s="33" t="b">
        <f t="shared" si="2"/>
        <v>0</v>
      </c>
      <c r="M53" s="40">
        <f t="shared" si="6"/>
        <v>0</v>
      </c>
      <c r="N53" s="40" t="b">
        <f t="shared" si="7"/>
        <v>0</v>
      </c>
      <c r="O53" s="41">
        <f t="shared" si="8"/>
        <v>0</v>
      </c>
      <c r="P53" s="41" t="b">
        <f t="shared" si="3"/>
        <v>0</v>
      </c>
      <c r="Q53" s="27"/>
      <c r="R53" s="27"/>
      <c r="S53" s="43"/>
      <c r="T53" s="27"/>
      <c r="U53" s="1"/>
      <c r="V53" s="1"/>
      <c r="W53" s="17"/>
      <c r="X53" s="17"/>
      <c r="Y53" s="17"/>
    </row>
    <row r="54" spans="1:25">
      <c r="A54" s="25"/>
      <c r="B54" s="26"/>
      <c r="C54" s="27"/>
      <c r="D54" s="27"/>
      <c r="E54" s="27"/>
      <c r="F54" s="31" t="b">
        <f t="shared" si="4"/>
        <v>0</v>
      </c>
      <c r="G54" s="32" t="b">
        <f t="shared" si="0"/>
        <v>0</v>
      </c>
      <c r="H54" s="27"/>
      <c r="I54" s="33" t="b">
        <f t="shared" si="5"/>
        <v>0</v>
      </c>
      <c r="J54" s="32" t="b">
        <f t="shared" si="1"/>
        <v>0</v>
      </c>
      <c r="K54" s="27"/>
      <c r="L54" s="33" t="b">
        <f t="shared" si="2"/>
        <v>0</v>
      </c>
      <c r="M54" s="40">
        <f t="shared" si="6"/>
        <v>0</v>
      </c>
      <c r="N54" s="40" t="b">
        <f t="shared" si="7"/>
        <v>0</v>
      </c>
      <c r="O54" s="41">
        <f t="shared" si="8"/>
        <v>0</v>
      </c>
      <c r="P54" s="41" t="b">
        <f t="shared" si="3"/>
        <v>0</v>
      </c>
      <c r="Q54" s="27"/>
      <c r="R54" s="27"/>
      <c r="S54" s="43"/>
      <c r="T54" s="27"/>
      <c r="U54" s="1"/>
      <c r="V54" s="1"/>
      <c r="W54" s="17"/>
      <c r="X54" s="17"/>
      <c r="Y54" s="17"/>
    </row>
    <row r="55" spans="1:25">
      <c r="A55" s="25"/>
      <c r="B55" s="26"/>
      <c r="C55" s="27"/>
      <c r="D55" s="27"/>
      <c r="E55" s="27"/>
      <c r="F55" s="31" t="b">
        <f t="shared" si="4"/>
        <v>0</v>
      </c>
      <c r="G55" s="32" t="b">
        <f t="shared" si="0"/>
        <v>0</v>
      </c>
      <c r="H55" s="27"/>
      <c r="I55" s="33" t="b">
        <f t="shared" si="5"/>
        <v>0</v>
      </c>
      <c r="J55" s="32" t="b">
        <f t="shared" si="1"/>
        <v>0</v>
      </c>
      <c r="K55" s="27"/>
      <c r="L55" s="33" t="b">
        <f t="shared" si="2"/>
        <v>0</v>
      </c>
      <c r="M55" s="40">
        <f t="shared" si="6"/>
        <v>0</v>
      </c>
      <c r="N55" s="40" t="b">
        <f t="shared" si="7"/>
        <v>0</v>
      </c>
      <c r="O55" s="41">
        <f t="shared" si="8"/>
        <v>0</v>
      </c>
      <c r="P55" s="41" t="b">
        <f t="shared" si="3"/>
        <v>0</v>
      </c>
      <c r="Q55" s="27"/>
      <c r="R55" s="27"/>
      <c r="S55" s="43"/>
      <c r="T55" s="27"/>
      <c r="U55" s="1"/>
      <c r="V55" s="1"/>
      <c r="W55" s="17"/>
      <c r="X55" s="17"/>
      <c r="Y55" s="17"/>
    </row>
    <row r="56" spans="1:25">
      <c r="A56" s="25"/>
      <c r="B56" s="26"/>
      <c r="C56" s="27"/>
      <c r="D56" s="27"/>
      <c r="E56" s="27"/>
      <c r="F56" s="31" t="b">
        <f t="shared" si="4"/>
        <v>0</v>
      </c>
      <c r="G56" s="32" t="b">
        <f t="shared" si="0"/>
        <v>0</v>
      </c>
      <c r="H56" s="27"/>
      <c r="I56" s="33" t="b">
        <f t="shared" si="5"/>
        <v>0</v>
      </c>
      <c r="J56" s="32" t="b">
        <f t="shared" si="1"/>
        <v>0</v>
      </c>
      <c r="K56" s="27"/>
      <c r="L56" s="33" t="b">
        <f t="shared" si="2"/>
        <v>0</v>
      </c>
      <c r="M56" s="40">
        <f t="shared" si="6"/>
        <v>0</v>
      </c>
      <c r="N56" s="40" t="b">
        <f t="shared" si="7"/>
        <v>0</v>
      </c>
      <c r="O56" s="41">
        <f t="shared" si="8"/>
        <v>0</v>
      </c>
      <c r="P56" s="41" t="b">
        <f t="shared" si="3"/>
        <v>0</v>
      </c>
      <c r="Q56" s="27"/>
      <c r="R56" s="27"/>
      <c r="S56" s="43"/>
      <c r="T56" s="27"/>
      <c r="U56" s="1"/>
      <c r="V56" s="1"/>
      <c r="W56" s="17"/>
      <c r="X56" s="17"/>
      <c r="Y56" s="17"/>
    </row>
    <row r="57" spans="1:25">
      <c r="A57" s="25"/>
      <c r="B57" s="26"/>
      <c r="C57" s="27"/>
      <c r="D57" s="27"/>
      <c r="E57" s="27"/>
      <c r="F57" s="31" t="b">
        <f t="shared" si="4"/>
        <v>0</v>
      </c>
      <c r="G57" s="32" t="b">
        <f t="shared" si="0"/>
        <v>0</v>
      </c>
      <c r="H57" s="27"/>
      <c r="I57" s="33" t="b">
        <f t="shared" si="5"/>
        <v>0</v>
      </c>
      <c r="J57" s="32" t="b">
        <f t="shared" si="1"/>
        <v>0</v>
      </c>
      <c r="K57" s="27"/>
      <c r="L57" s="33" t="b">
        <f t="shared" si="2"/>
        <v>0</v>
      </c>
      <c r="M57" s="40">
        <f t="shared" si="6"/>
        <v>0</v>
      </c>
      <c r="N57" s="40" t="b">
        <f t="shared" si="7"/>
        <v>0</v>
      </c>
      <c r="O57" s="41">
        <f t="shared" si="8"/>
        <v>0</v>
      </c>
      <c r="P57" s="41" t="b">
        <f t="shared" si="3"/>
        <v>0</v>
      </c>
      <c r="Q57" s="27"/>
      <c r="R57" s="27"/>
      <c r="S57" s="43"/>
      <c r="T57" s="27"/>
      <c r="U57" s="1"/>
      <c r="V57" s="1"/>
      <c r="W57" s="17"/>
      <c r="X57" s="17"/>
      <c r="Y57" s="17"/>
    </row>
    <row r="58" spans="1:25">
      <c r="A58" s="25"/>
      <c r="B58" s="26"/>
      <c r="C58" s="27"/>
      <c r="D58" s="27"/>
      <c r="E58" s="27"/>
      <c r="F58" s="31" t="b">
        <f t="shared" si="4"/>
        <v>0</v>
      </c>
      <c r="G58" s="32" t="b">
        <f t="shared" si="0"/>
        <v>0</v>
      </c>
      <c r="H58" s="27"/>
      <c r="I58" s="33" t="b">
        <f t="shared" si="5"/>
        <v>0</v>
      </c>
      <c r="J58" s="32" t="b">
        <f t="shared" si="1"/>
        <v>0</v>
      </c>
      <c r="K58" s="27"/>
      <c r="L58" s="33" t="b">
        <f t="shared" si="2"/>
        <v>0</v>
      </c>
      <c r="M58" s="40">
        <f t="shared" si="6"/>
        <v>0</v>
      </c>
      <c r="N58" s="40" t="b">
        <f t="shared" si="7"/>
        <v>0</v>
      </c>
      <c r="O58" s="41">
        <f t="shared" si="8"/>
        <v>0</v>
      </c>
      <c r="P58" s="41" t="b">
        <f t="shared" si="3"/>
        <v>0</v>
      </c>
      <c r="Q58" s="27"/>
      <c r="R58" s="27"/>
      <c r="S58" s="43"/>
      <c r="T58" s="27"/>
      <c r="U58" s="1"/>
      <c r="V58" s="1"/>
      <c r="W58" s="17"/>
      <c r="X58" s="17"/>
      <c r="Y58" s="17"/>
    </row>
    <row r="59" spans="1:25">
      <c r="A59" s="25"/>
      <c r="B59" s="26"/>
      <c r="C59" s="27"/>
      <c r="D59" s="27"/>
      <c r="E59" s="27"/>
      <c r="F59" s="31" t="b">
        <f t="shared" si="4"/>
        <v>0</v>
      </c>
      <c r="G59" s="32" t="b">
        <f t="shared" si="0"/>
        <v>0</v>
      </c>
      <c r="H59" s="27"/>
      <c r="I59" s="33" t="b">
        <f t="shared" si="5"/>
        <v>0</v>
      </c>
      <c r="J59" s="32" t="b">
        <f t="shared" si="1"/>
        <v>0</v>
      </c>
      <c r="K59" s="27"/>
      <c r="L59" s="33" t="b">
        <f t="shared" si="2"/>
        <v>0</v>
      </c>
      <c r="M59" s="40">
        <f t="shared" si="6"/>
        <v>0</v>
      </c>
      <c r="N59" s="40" t="b">
        <f t="shared" si="7"/>
        <v>0</v>
      </c>
      <c r="O59" s="41">
        <f t="shared" si="8"/>
        <v>0</v>
      </c>
      <c r="P59" s="41" t="b">
        <f t="shared" si="3"/>
        <v>0</v>
      </c>
      <c r="Q59" s="27"/>
      <c r="R59" s="27"/>
      <c r="S59" s="43"/>
      <c r="T59" s="27"/>
      <c r="U59" s="1"/>
      <c r="V59" s="1"/>
      <c r="W59" s="17"/>
      <c r="X59" s="17"/>
      <c r="Y59" s="17"/>
    </row>
    <row r="60" spans="1:25">
      <c r="A60" s="25"/>
      <c r="B60" s="26"/>
      <c r="C60" s="27"/>
      <c r="D60" s="27"/>
      <c r="E60" s="27"/>
      <c r="F60" s="31" t="b">
        <f t="shared" si="4"/>
        <v>0</v>
      </c>
      <c r="G60" s="32" t="b">
        <f t="shared" si="0"/>
        <v>0</v>
      </c>
      <c r="H60" s="27"/>
      <c r="I60" s="33" t="b">
        <f t="shared" si="5"/>
        <v>0</v>
      </c>
      <c r="J60" s="32" t="b">
        <f t="shared" si="1"/>
        <v>0</v>
      </c>
      <c r="K60" s="27"/>
      <c r="L60" s="33" t="b">
        <f t="shared" si="2"/>
        <v>0</v>
      </c>
      <c r="M60" s="40">
        <f t="shared" si="6"/>
        <v>0</v>
      </c>
      <c r="N60" s="40" t="b">
        <f t="shared" si="7"/>
        <v>0</v>
      </c>
      <c r="O60" s="41">
        <f t="shared" si="8"/>
        <v>0</v>
      </c>
      <c r="P60" s="41" t="b">
        <f t="shared" si="3"/>
        <v>0</v>
      </c>
      <c r="Q60" s="27"/>
      <c r="R60" s="27"/>
      <c r="S60" s="43"/>
      <c r="T60" s="27"/>
      <c r="U60" s="1"/>
      <c r="V60" s="1"/>
      <c r="W60" s="17"/>
      <c r="X60" s="17"/>
      <c r="Y60" s="17"/>
    </row>
    <row r="61" spans="1:25">
      <c r="A61" s="25"/>
      <c r="B61" s="26"/>
      <c r="C61" s="27"/>
      <c r="D61" s="27"/>
      <c r="E61" s="27"/>
      <c r="F61" s="31" t="b">
        <f t="shared" si="4"/>
        <v>0</v>
      </c>
      <c r="G61" s="32" t="b">
        <f t="shared" si="0"/>
        <v>0</v>
      </c>
      <c r="H61" s="27"/>
      <c r="I61" s="33" t="b">
        <f t="shared" si="5"/>
        <v>0</v>
      </c>
      <c r="J61" s="32" t="b">
        <f t="shared" si="1"/>
        <v>0</v>
      </c>
      <c r="K61" s="27"/>
      <c r="L61" s="33" t="b">
        <f t="shared" si="2"/>
        <v>0</v>
      </c>
      <c r="M61" s="40">
        <f t="shared" si="6"/>
        <v>0</v>
      </c>
      <c r="N61" s="40" t="b">
        <f t="shared" si="7"/>
        <v>0</v>
      </c>
      <c r="O61" s="41">
        <f t="shared" si="8"/>
        <v>0</v>
      </c>
      <c r="P61" s="41" t="b">
        <f t="shared" si="3"/>
        <v>0</v>
      </c>
      <c r="Q61" s="27"/>
      <c r="R61" s="27"/>
      <c r="S61" s="43"/>
      <c r="T61" s="27"/>
      <c r="U61" s="1"/>
      <c r="V61" s="1"/>
      <c r="W61" s="17"/>
      <c r="X61" s="17"/>
      <c r="Y61" s="17"/>
    </row>
    <row r="62" spans="1:25">
      <c r="A62" s="25"/>
      <c r="B62" s="26"/>
      <c r="C62" s="27"/>
      <c r="D62" s="27"/>
      <c r="E62" s="27"/>
      <c r="F62" s="31" t="b">
        <f t="shared" si="4"/>
        <v>0</v>
      </c>
      <c r="G62" s="32" t="b">
        <f t="shared" si="0"/>
        <v>0</v>
      </c>
      <c r="H62" s="27"/>
      <c r="I62" s="33" t="b">
        <f t="shared" si="5"/>
        <v>0</v>
      </c>
      <c r="J62" s="32" t="b">
        <f t="shared" si="1"/>
        <v>0</v>
      </c>
      <c r="K62" s="27"/>
      <c r="L62" s="33" t="b">
        <f t="shared" si="2"/>
        <v>0</v>
      </c>
      <c r="M62" s="40">
        <f t="shared" si="6"/>
        <v>0</v>
      </c>
      <c r="N62" s="40" t="b">
        <f t="shared" si="7"/>
        <v>0</v>
      </c>
      <c r="O62" s="41">
        <f t="shared" si="8"/>
        <v>0</v>
      </c>
      <c r="P62" s="41" t="b">
        <f t="shared" si="3"/>
        <v>0</v>
      </c>
      <c r="Q62" s="27"/>
      <c r="R62" s="27"/>
      <c r="S62" s="43"/>
      <c r="T62" s="27"/>
      <c r="U62" s="1"/>
      <c r="V62" s="1"/>
      <c r="W62" s="17"/>
      <c r="X62" s="17"/>
      <c r="Y62" s="17"/>
    </row>
    <row r="63" spans="1:25">
      <c r="A63" s="25"/>
      <c r="B63" s="26"/>
      <c r="C63" s="27"/>
      <c r="D63" s="27"/>
      <c r="E63" s="27"/>
      <c r="F63" s="31" t="b">
        <f t="shared" si="4"/>
        <v>0</v>
      </c>
      <c r="G63" s="32" t="b">
        <f t="shared" si="0"/>
        <v>0</v>
      </c>
      <c r="H63" s="27"/>
      <c r="I63" s="33" t="b">
        <f t="shared" si="5"/>
        <v>0</v>
      </c>
      <c r="J63" s="32" t="b">
        <f t="shared" si="1"/>
        <v>0</v>
      </c>
      <c r="K63" s="27"/>
      <c r="L63" s="33" t="b">
        <f t="shared" si="2"/>
        <v>0</v>
      </c>
      <c r="M63" s="40">
        <f t="shared" si="6"/>
        <v>0</v>
      </c>
      <c r="N63" s="40" t="b">
        <f t="shared" si="7"/>
        <v>0</v>
      </c>
      <c r="O63" s="41">
        <f t="shared" si="8"/>
        <v>0</v>
      </c>
      <c r="P63" s="41" t="b">
        <f t="shared" si="3"/>
        <v>0</v>
      </c>
      <c r="Q63" s="27"/>
      <c r="R63" s="27"/>
      <c r="S63" s="43"/>
      <c r="T63" s="27"/>
      <c r="U63" s="1"/>
      <c r="V63" s="1"/>
      <c r="W63" s="17"/>
      <c r="X63" s="17"/>
      <c r="Y63" s="17"/>
    </row>
    <row r="64" spans="1:25">
      <c r="A64" s="25"/>
      <c r="B64" s="26"/>
      <c r="C64" s="27"/>
      <c r="D64" s="27"/>
      <c r="E64" s="27"/>
      <c r="F64" s="31" t="b">
        <f t="shared" si="4"/>
        <v>0</v>
      </c>
      <c r="G64" s="32" t="b">
        <f t="shared" si="0"/>
        <v>0</v>
      </c>
      <c r="H64" s="27"/>
      <c r="I64" s="33" t="b">
        <f t="shared" si="5"/>
        <v>0</v>
      </c>
      <c r="J64" s="32" t="b">
        <f t="shared" si="1"/>
        <v>0</v>
      </c>
      <c r="K64" s="27"/>
      <c r="L64" s="33" t="b">
        <f t="shared" si="2"/>
        <v>0</v>
      </c>
      <c r="M64" s="40">
        <f t="shared" si="6"/>
        <v>0</v>
      </c>
      <c r="N64" s="40" t="b">
        <f t="shared" si="7"/>
        <v>0</v>
      </c>
      <c r="O64" s="41">
        <f t="shared" si="8"/>
        <v>0</v>
      </c>
      <c r="P64" s="41" t="b">
        <f t="shared" si="3"/>
        <v>0</v>
      </c>
      <c r="Q64" s="27"/>
      <c r="R64" s="27"/>
      <c r="S64" s="43"/>
      <c r="T64" s="27"/>
      <c r="U64" s="1"/>
      <c r="V64" s="1"/>
      <c r="W64" s="17"/>
      <c r="X64" s="17"/>
      <c r="Y64" s="17"/>
    </row>
    <row r="65" spans="1:25">
      <c r="A65" s="25"/>
      <c r="B65" s="26"/>
      <c r="C65" s="27"/>
      <c r="D65" s="27"/>
      <c r="E65" s="27"/>
      <c r="F65" s="31" t="b">
        <f t="shared" si="4"/>
        <v>0</v>
      </c>
      <c r="G65" s="32" t="b">
        <f t="shared" si="0"/>
        <v>0</v>
      </c>
      <c r="H65" s="27"/>
      <c r="I65" s="33" t="b">
        <f t="shared" si="5"/>
        <v>0</v>
      </c>
      <c r="J65" s="32" t="b">
        <f t="shared" si="1"/>
        <v>0</v>
      </c>
      <c r="K65" s="27"/>
      <c r="L65" s="33" t="b">
        <f t="shared" si="2"/>
        <v>0</v>
      </c>
      <c r="M65" s="40">
        <f t="shared" si="6"/>
        <v>0</v>
      </c>
      <c r="N65" s="40" t="b">
        <f t="shared" si="7"/>
        <v>0</v>
      </c>
      <c r="O65" s="41">
        <f t="shared" si="8"/>
        <v>0</v>
      </c>
      <c r="P65" s="41" t="b">
        <f t="shared" si="3"/>
        <v>0</v>
      </c>
      <c r="Q65" s="27"/>
      <c r="R65" s="27"/>
      <c r="S65" s="43"/>
      <c r="T65" s="27"/>
      <c r="U65" s="1"/>
      <c r="V65" s="1"/>
      <c r="W65" s="17"/>
      <c r="X65" s="17"/>
      <c r="Y65" s="17"/>
    </row>
    <row r="66" spans="1:25">
      <c r="A66" s="25"/>
      <c r="B66" s="26"/>
      <c r="C66" s="27"/>
      <c r="D66" s="27"/>
      <c r="E66" s="27"/>
      <c r="F66" s="31" t="b">
        <f t="shared" si="4"/>
        <v>0</v>
      </c>
      <c r="G66" s="32" t="b">
        <f t="shared" si="0"/>
        <v>0</v>
      </c>
      <c r="H66" s="27"/>
      <c r="I66" s="33" t="b">
        <f t="shared" si="5"/>
        <v>0</v>
      </c>
      <c r="J66" s="32" t="b">
        <f t="shared" si="1"/>
        <v>0</v>
      </c>
      <c r="K66" s="27"/>
      <c r="L66" s="33" t="b">
        <f t="shared" si="2"/>
        <v>0</v>
      </c>
      <c r="M66" s="40">
        <f t="shared" si="6"/>
        <v>0</v>
      </c>
      <c r="N66" s="40" t="b">
        <f t="shared" si="7"/>
        <v>0</v>
      </c>
      <c r="O66" s="41">
        <f t="shared" si="8"/>
        <v>0</v>
      </c>
      <c r="P66" s="41" t="b">
        <f t="shared" si="3"/>
        <v>0</v>
      </c>
      <c r="Q66" s="27"/>
      <c r="R66" s="27"/>
      <c r="S66" s="43"/>
      <c r="T66" s="27"/>
      <c r="U66" s="1"/>
      <c r="V66" s="1"/>
      <c r="W66" s="17"/>
      <c r="X66" s="17"/>
      <c r="Y66" s="17"/>
    </row>
    <row r="67" spans="1:25">
      <c r="A67" s="25"/>
      <c r="B67" s="26"/>
      <c r="C67" s="27"/>
      <c r="D67" s="27"/>
      <c r="E67" s="27"/>
      <c r="F67" s="31" t="b">
        <f t="shared" si="4"/>
        <v>0</v>
      </c>
      <c r="G67" s="32" t="b">
        <f t="shared" si="0"/>
        <v>0</v>
      </c>
      <c r="H67" s="27"/>
      <c r="I67" s="33" t="b">
        <f t="shared" si="5"/>
        <v>0</v>
      </c>
      <c r="J67" s="32" t="b">
        <f t="shared" si="1"/>
        <v>0</v>
      </c>
      <c r="K67" s="27"/>
      <c r="L67" s="33" t="b">
        <f t="shared" si="2"/>
        <v>0</v>
      </c>
      <c r="M67" s="40">
        <f t="shared" si="6"/>
        <v>0</v>
      </c>
      <c r="N67" s="40" t="b">
        <f t="shared" si="7"/>
        <v>0</v>
      </c>
      <c r="O67" s="41">
        <f t="shared" si="8"/>
        <v>0</v>
      </c>
      <c r="P67" s="41" t="b">
        <f t="shared" si="3"/>
        <v>0</v>
      </c>
      <c r="Q67" s="27"/>
      <c r="R67" s="27"/>
      <c r="S67" s="43"/>
      <c r="T67" s="27"/>
      <c r="U67" s="1"/>
      <c r="V67" s="1"/>
      <c r="W67" s="17"/>
      <c r="X67" s="17"/>
      <c r="Y67" s="17"/>
    </row>
    <row r="68" spans="1:25">
      <c r="A68" s="25"/>
      <c r="B68" s="26"/>
      <c r="C68" s="27"/>
      <c r="D68" s="27"/>
      <c r="E68" s="27"/>
      <c r="F68" s="31" t="b">
        <f t="shared" ref="F68:F101" si="9">IF(B68="BUY",(C68*(1-2%)),IF(B68="SELL",(C68*(1+2%))))</f>
        <v>0</v>
      </c>
      <c r="G68" s="32" t="b">
        <f t="shared" si="0"/>
        <v>0</v>
      </c>
      <c r="H68" s="27"/>
      <c r="I68" s="33" t="b">
        <f t="shared" si="5"/>
        <v>0</v>
      </c>
      <c r="J68" s="32" t="b">
        <f t="shared" si="1"/>
        <v>0</v>
      </c>
      <c r="K68" s="27"/>
      <c r="L68" s="33" t="b">
        <f t="shared" si="2"/>
        <v>0</v>
      </c>
      <c r="M68" s="40">
        <f t="shared" si="6"/>
        <v>0</v>
      </c>
      <c r="N68" s="40" t="b">
        <f t="shared" si="7"/>
        <v>0</v>
      </c>
      <c r="O68" s="41">
        <f t="shared" si="8"/>
        <v>0</v>
      </c>
      <c r="P68" s="41" t="b">
        <f t="shared" si="3"/>
        <v>0</v>
      </c>
      <c r="Q68" s="27"/>
      <c r="R68" s="27"/>
      <c r="S68" s="43"/>
      <c r="T68" s="27"/>
      <c r="U68" s="1"/>
      <c r="V68" s="1"/>
      <c r="W68" s="17"/>
      <c r="X68" s="17"/>
      <c r="Y68" s="17"/>
    </row>
    <row r="69" spans="1:25">
      <c r="A69" s="25"/>
      <c r="B69" s="26"/>
      <c r="C69" s="27"/>
      <c r="D69" s="27"/>
      <c r="E69" s="27"/>
      <c r="F69" s="31" t="b">
        <f t="shared" si="9"/>
        <v>0</v>
      </c>
      <c r="G69" s="32" t="b">
        <f t="shared" si="0"/>
        <v>0</v>
      </c>
      <c r="H69" s="27"/>
      <c r="I69" s="33" t="b">
        <f t="shared" si="5"/>
        <v>0</v>
      </c>
      <c r="J69" s="32" t="b">
        <f t="shared" si="1"/>
        <v>0</v>
      </c>
      <c r="K69" s="27"/>
      <c r="L69" s="33" t="b">
        <f t="shared" si="2"/>
        <v>0</v>
      </c>
      <c r="M69" s="40">
        <f t="shared" si="6"/>
        <v>0</v>
      </c>
      <c r="N69" s="40" t="b">
        <f t="shared" si="7"/>
        <v>0</v>
      </c>
      <c r="O69" s="41">
        <f t="shared" si="8"/>
        <v>0</v>
      </c>
      <c r="P69" s="41" t="b">
        <f t="shared" si="3"/>
        <v>0</v>
      </c>
      <c r="Q69" s="27"/>
      <c r="R69" s="27"/>
      <c r="S69" s="43"/>
      <c r="T69" s="27"/>
      <c r="U69" s="1"/>
      <c r="V69" s="1"/>
      <c r="W69" s="17"/>
      <c r="X69" s="17"/>
      <c r="Y69" s="17"/>
    </row>
    <row r="70" spans="1:25">
      <c r="A70" s="25"/>
      <c r="B70" s="26"/>
      <c r="C70" s="27"/>
      <c r="D70" s="27"/>
      <c r="E70" s="27"/>
      <c r="F70" s="31" t="b">
        <f t="shared" si="9"/>
        <v>0</v>
      </c>
      <c r="G70" s="32" t="b">
        <f t="shared" si="0"/>
        <v>0</v>
      </c>
      <c r="H70" s="27"/>
      <c r="I70" s="33" t="b">
        <f t="shared" si="5"/>
        <v>0</v>
      </c>
      <c r="J70" s="32" t="b">
        <f t="shared" si="1"/>
        <v>0</v>
      </c>
      <c r="K70" s="27"/>
      <c r="L70" s="33" t="b">
        <f t="shared" si="2"/>
        <v>0</v>
      </c>
      <c r="M70" s="40">
        <f t="shared" si="6"/>
        <v>0</v>
      </c>
      <c r="N70" s="40" t="b">
        <f t="shared" si="7"/>
        <v>0</v>
      </c>
      <c r="O70" s="41">
        <f t="shared" si="8"/>
        <v>0</v>
      </c>
      <c r="P70" s="41" t="b">
        <f t="shared" si="3"/>
        <v>0</v>
      </c>
      <c r="Q70" s="27"/>
      <c r="R70" s="27"/>
      <c r="S70" s="43"/>
      <c r="T70" s="27"/>
      <c r="U70" s="1"/>
      <c r="V70" s="1"/>
      <c r="W70" s="17"/>
      <c r="X70" s="17"/>
      <c r="Y70" s="17"/>
    </row>
    <row r="71" spans="1:25">
      <c r="A71" s="25"/>
      <c r="B71" s="26"/>
      <c r="C71" s="27"/>
      <c r="D71" s="27"/>
      <c r="E71" s="27"/>
      <c r="F71" s="31" t="b">
        <f t="shared" si="9"/>
        <v>0</v>
      </c>
      <c r="G71" s="32" t="b">
        <f t="shared" si="0"/>
        <v>0</v>
      </c>
      <c r="H71" s="27"/>
      <c r="I71" s="33" t="b">
        <f t="shared" si="5"/>
        <v>0</v>
      </c>
      <c r="J71" s="32" t="b">
        <f t="shared" si="1"/>
        <v>0</v>
      </c>
      <c r="K71" s="27"/>
      <c r="L71" s="33" t="b">
        <f t="shared" si="2"/>
        <v>0</v>
      </c>
      <c r="M71" s="40">
        <f t="shared" si="6"/>
        <v>0</v>
      </c>
      <c r="N71" s="40" t="b">
        <f t="shared" si="7"/>
        <v>0</v>
      </c>
      <c r="O71" s="41">
        <f t="shared" si="8"/>
        <v>0</v>
      </c>
      <c r="P71" s="41" t="b">
        <f t="shared" si="3"/>
        <v>0</v>
      </c>
      <c r="Q71" s="27"/>
      <c r="R71" s="27"/>
      <c r="S71" s="43"/>
      <c r="T71" s="27"/>
      <c r="U71" s="1"/>
      <c r="V71" s="1"/>
      <c r="W71" s="17"/>
      <c r="X71" s="17"/>
      <c r="Y71" s="17"/>
    </row>
    <row r="72" spans="1:25">
      <c r="A72" s="25"/>
      <c r="B72" s="26"/>
      <c r="C72" s="27"/>
      <c r="D72" s="27"/>
      <c r="E72" s="27"/>
      <c r="F72" s="31" t="b">
        <f t="shared" si="9"/>
        <v>0</v>
      </c>
      <c r="G72" s="32" t="b">
        <f t="shared" si="0"/>
        <v>0</v>
      </c>
      <c r="H72" s="27"/>
      <c r="I72" s="33" t="b">
        <f t="shared" si="5"/>
        <v>0</v>
      </c>
      <c r="J72" s="32" t="b">
        <f t="shared" si="1"/>
        <v>0</v>
      </c>
      <c r="K72" s="27"/>
      <c r="L72" s="33" t="b">
        <f t="shared" si="2"/>
        <v>0</v>
      </c>
      <c r="M72" s="40">
        <f t="shared" si="6"/>
        <v>0</v>
      </c>
      <c r="N72" s="40" t="b">
        <f t="shared" si="7"/>
        <v>0</v>
      </c>
      <c r="O72" s="41">
        <f t="shared" si="8"/>
        <v>0</v>
      </c>
      <c r="P72" s="41" t="b">
        <f t="shared" si="3"/>
        <v>0</v>
      </c>
      <c r="Q72" s="27"/>
      <c r="R72" s="27"/>
      <c r="S72" s="43"/>
      <c r="T72" s="27"/>
      <c r="U72" s="1"/>
      <c r="V72" s="1"/>
      <c r="W72" s="17"/>
      <c r="X72" s="17"/>
      <c r="Y72" s="17"/>
    </row>
    <row r="73" spans="1:25">
      <c r="A73" s="25"/>
      <c r="B73" s="26"/>
      <c r="C73" s="27"/>
      <c r="D73" s="27"/>
      <c r="E73" s="27"/>
      <c r="F73" s="31" t="b">
        <f t="shared" si="9"/>
        <v>0</v>
      </c>
      <c r="G73" s="32" t="b">
        <f t="shared" si="0"/>
        <v>0</v>
      </c>
      <c r="H73" s="27"/>
      <c r="I73" s="33" t="b">
        <f t="shared" si="5"/>
        <v>0</v>
      </c>
      <c r="J73" s="32" t="b">
        <f t="shared" si="1"/>
        <v>0</v>
      </c>
      <c r="K73" s="27"/>
      <c r="L73" s="33" t="b">
        <f t="shared" si="2"/>
        <v>0</v>
      </c>
      <c r="M73" s="40">
        <f t="shared" si="6"/>
        <v>0</v>
      </c>
      <c r="N73" s="40" t="b">
        <f t="shared" si="7"/>
        <v>0</v>
      </c>
      <c r="O73" s="41">
        <f t="shared" si="8"/>
        <v>0</v>
      </c>
      <c r="P73" s="41" t="b">
        <f t="shared" si="3"/>
        <v>0</v>
      </c>
      <c r="Q73" s="27"/>
      <c r="R73" s="27"/>
      <c r="S73" s="43"/>
      <c r="T73" s="27"/>
      <c r="U73" s="1"/>
      <c r="V73" s="1"/>
      <c r="W73" s="17"/>
      <c r="X73" s="17"/>
      <c r="Y73" s="17"/>
    </row>
    <row r="74" spans="1:25">
      <c r="A74" s="25"/>
      <c r="B74" s="26"/>
      <c r="C74" s="27"/>
      <c r="D74" s="27"/>
      <c r="E74" s="27"/>
      <c r="F74" s="31" t="b">
        <f t="shared" si="9"/>
        <v>0</v>
      </c>
      <c r="G74" s="32" t="b">
        <f t="shared" si="0"/>
        <v>0</v>
      </c>
      <c r="H74" s="27"/>
      <c r="I74" s="33" t="b">
        <f t="shared" si="5"/>
        <v>0</v>
      </c>
      <c r="J74" s="32" t="b">
        <f t="shared" si="1"/>
        <v>0</v>
      </c>
      <c r="K74" s="27"/>
      <c r="L74" s="33" t="b">
        <f t="shared" si="2"/>
        <v>0</v>
      </c>
      <c r="M74" s="40">
        <f t="shared" si="6"/>
        <v>0</v>
      </c>
      <c r="N74" s="40" t="b">
        <f t="shared" si="7"/>
        <v>0</v>
      </c>
      <c r="O74" s="41">
        <f t="shared" si="8"/>
        <v>0</v>
      </c>
      <c r="P74" s="41" t="b">
        <f t="shared" si="3"/>
        <v>0</v>
      </c>
      <c r="Q74" s="27"/>
      <c r="R74" s="27"/>
      <c r="S74" s="43"/>
      <c r="T74" s="27"/>
      <c r="U74" s="1"/>
      <c r="V74" s="1"/>
      <c r="W74" s="17"/>
      <c r="X74" s="17"/>
      <c r="Y74" s="17"/>
    </row>
    <row r="75" spans="1:25">
      <c r="A75" s="25"/>
      <c r="B75" s="26"/>
      <c r="C75" s="27"/>
      <c r="D75" s="27"/>
      <c r="E75" s="27"/>
      <c r="F75" s="31" t="b">
        <f t="shared" si="9"/>
        <v>0</v>
      </c>
      <c r="G75" s="32" t="b">
        <f t="shared" si="0"/>
        <v>0</v>
      </c>
      <c r="H75" s="27"/>
      <c r="I75" s="33" t="b">
        <f t="shared" si="5"/>
        <v>0</v>
      </c>
      <c r="J75" s="32" t="b">
        <f t="shared" si="1"/>
        <v>0</v>
      </c>
      <c r="K75" s="27"/>
      <c r="L75" s="33" t="b">
        <f t="shared" si="2"/>
        <v>0</v>
      </c>
      <c r="M75" s="40">
        <f t="shared" si="6"/>
        <v>0</v>
      </c>
      <c r="N75" s="40" t="b">
        <f t="shared" si="7"/>
        <v>0</v>
      </c>
      <c r="O75" s="41">
        <f t="shared" si="8"/>
        <v>0</v>
      </c>
      <c r="P75" s="41" t="b">
        <f t="shared" si="3"/>
        <v>0</v>
      </c>
      <c r="Q75" s="27"/>
      <c r="R75" s="27"/>
      <c r="S75" s="43"/>
      <c r="T75" s="27"/>
      <c r="U75" s="1"/>
      <c r="V75" s="1"/>
      <c r="W75" s="17"/>
      <c r="X75" s="17"/>
      <c r="Y75" s="17"/>
    </row>
    <row r="76" spans="1:25">
      <c r="A76" s="25"/>
      <c r="B76" s="26"/>
      <c r="C76" s="27"/>
      <c r="D76" s="27"/>
      <c r="E76" s="27"/>
      <c r="F76" s="31" t="b">
        <f t="shared" si="9"/>
        <v>0</v>
      </c>
      <c r="G76" s="32" t="b">
        <f t="shared" si="0"/>
        <v>0</v>
      </c>
      <c r="H76" s="27"/>
      <c r="I76" s="33" t="b">
        <f t="shared" si="5"/>
        <v>0</v>
      </c>
      <c r="J76" s="32" t="b">
        <f t="shared" si="1"/>
        <v>0</v>
      </c>
      <c r="K76" s="27"/>
      <c r="L76" s="33" t="b">
        <f t="shared" si="2"/>
        <v>0</v>
      </c>
      <c r="M76" s="40">
        <f t="shared" si="6"/>
        <v>0</v>
      </c>
      <c r="N76" s="40" t="b">
        <f t="shared" si="7"/>
        <v>0</v>
      </c>
      <c r="O76" s="41">
        <f t="shared" si="8"/>
        <v>0</v>
      </c>
      <c r="P76" s="41" t="b">
        <f t="shared" si="3"/>
        <v>0</v>
      </c>
      <c r="Q76" s="27"/>
      <c r="R76" s="27"/>
      <c r="S76" s="43"/>
      <c r="T76" s="27"/>
      <c r="U76" s="1"/>
      <c r="V76" s="1"/>
      <c r="W76" s="17"/>
      <c r="X76" s="17"/>
      <c r="Y76" s="17"/>
    </row>
    <row r="77" spans="1:25">
      <c r="A77" s="25"/>
      <c r="B77" s="26"/>
      <c r="C77" s="27"/>
      <c r="D77" s="27"/>
      <c r="E77" s="27"/>
      <c r="F77" s="31" t="b">
        <f t="shared" si="9"/>
        <v>0</v>
      </c>
      <c r="G77" s="32" t="b">
        <f t="shared" si="0"/>
        <v>0</v>
      </c>
      <c r="H77" s="27"/>
      <c r="I77" s="33" t="b">
        <f t="shared" si="5"/>
        <v>0</v>
      </c>
      <c r="J77" s="32" t="b">
        <f t="shared" si="1"/>
        <v>0</v>
      </c>
      <c r="K77" s="27"/>
      <c r="L77" s="33" t="b">
        <f t="shared" si="2"/>
        <v>0</v>
      </c>
      <c r="M77" s="40">
        <f t="shared" si="6"/>
        <v>0</v>
      </c>
      <c r="N77" s="40" t="b">
        <f t="shared" si="7"/>
        <v>0</v>
      </c>
      <c r="O77" s="41">
        <f t="shared" si="8"/>
        <v>0</v>
      </c>
      <c r="P77" s="41" t="b">
        <f t="shared" si="3"/>
        <v>0</v>
      </c>
      <c r="Q77" s="27"/>
      <c r="R77" s="27"/>
      <c r="S77" s="43"/>
      <c r="T77" s="27"/>
      <c r="U77" s="1"/>
      <c r="V77" s="1"/>
      <c r="W77" s="17"/>
      <c r="X77" s="17"/>
      <c r="Y77" s="17"/>
    </row>
    <row r="78" spans="1:25">
      <c r="A78" s="25"/>
      <c r="B78" s="26"/>
      <c r="C78" s="27"/>
      <c r="D78" s="27"/>
      <c r="E78" s="27"/>
      <c r="F78" s="31" t="b">
        <f t="shared" si="9"/>
        <v>0</v>
      </c>
      <c r="G78" s="32" t="b">
        <f t="shared" si="0"/>
        <v>0</v>
      </c>
      <c r="H78" s="27"/>
      <c r="I78" s="33" t="b">
        <f t="shared" si="5"/>
        <v>0</v>
      </c>
      <c r="J78" s="32" t="b">
        <f t="shared" si="1"/>
        <v>0</v>
      </c>
      <c r="K78" s="27"/>
      <c r="L78" s="33" t="b">
        <f t="shared" si="2"/>
        <v>0</v>
      </c>
      <c r="M78" s="40">
        <f t="shared" si="6"/>
        <v>0</v>
      </c>
      <c r="N78" s="40" t="b">
        <f t="shared" si="7"/>
        <v>0</v>
      </c>
      <c r="O78" s="41">
        <f t="shared" si="8"/>
        <v>0</v>
      </c>
      <c r="P78" s="41" t="b">
        <f t="shared" si="3"/>
        <v>0</v>
      </c>
      <c r="Q78" s="27"/>
      <c r="R78" s="27"/>
      <c r="S78" s="43"/>
      <c r="T78" s="27"/>
      <c r="U78" s="1"/>
      <c r="V78" s="1"/>
      <c r="W78" s="17"/>
      <c r="X78" s="17"/>
      <c r="Y78" s="17"/>
    </row>
    <row r="79" spans="1:25">
      <c r="A79" s="25"/>
      <c r="B79" s="26"/>
      <c r="C79" s="27"/>
      <c r="D79" s="27"/>
      <c r="E79" s="27"/>
      <c r="F79" s="31" t="b">
        <f t="shared" si="9"/>
        <v>0</v>
      </c>
      <c r="G79" s="32" t="b">
        <f t="shared" si="0"/>
        <v>0</v>
      </c>
      <c r="H79" s="27"/>
      <c r="I79" s="33" t="b">
        <f t="shared" si="5"/>
        <v>0</v>
      </c>
      <c r="J79" s="32" t="b">
        <f t="shared" si="1"/>
        <v>0</v>
      </c>
      <c r="K79" s="27"/>
      <c r="L79" s="33" t="b">
        <f t="shared" si="2"/>
        <v>0</v>
      </c>
      <c r="M79" s="40">
        <f t="shared" si="6"/>
        <v>0</v>
      </c>
      <c r="N79" s="40" t="b">
        <f t="shared" si="7"/>
        <v>0</v>
      </c>
      <c r="O79" s="41">
        <f t="shared" si="8"/>
        <v>0</v>
      </c>
      <c r="P79" s="41" t="b">
        <f t="shared" si="3"/>
        <v>0</v>
      </c>
      <c r="Q79" s="27"/>
      <c r="R79" s="27"/>
      <c r="S79" s="43"/>
      <c r="T79" s="27"/>
      <c r="U79" s="1"/>
      <c r="V79" s="1"/>
      <c r="W79" s="17"/>
      <c r="X79" s="17"/>
      <c r="Y79" s="17"/>
    </row>
    <row r="80" spans="1:25">
      <c r="A80" s="25"/>
      <c r="B80" s="26"/>
      <c r="C80" s="27"/>
      <c r="D80" s="27"/>
      <c r="E80" s="27"/>
      <c r="F80" s="31" t="b">
        <f t="shared" si="9"/>
        <v>0</v>
      </c>
      <c r="G80" s="32" t="b">
        <f t="shared" si="0"/>
        <v>0</v>
      </c>
      <c r="H80" s="27"/>
      <c r="I80" s="33" t="b">
        <f t="shared" si="5"/>
        <v>0</v>
      </c>
      <c r="J80" s="32" t="b">
        <f t="shared" si="1"/>
        <v>0</v>
      </c>
      <c r="K80" s="27"/>
      <c r="L80" s="33" t="b">
        <f t="shared" si="2"/>
        <v>0</v>
      </c>
      <c r="M80" s="40">
        <f t="shared" si="6"/>
        <v>0</v>
      </c>
      <c r="N80" s="40" t="b">
        <f t="shared" si="7"/>
        <v>0</v>
      </c>
      <c r="O80" s="41">
        <f t="shared" si="8"/>
        <v>0</v>
      </c>
      <c r="P80" s="41" t="b">
        <f t="shared" si="3"/>
        <v>0</v>
      </c>
      <c r="Q80" s="27"/>
      <c r="R80" s="27"/>
      <c r="S80" s="43"/>
      <c r="T80" s="27"/>
      <c r="U80" s="1"/>
      <c r="V80" s="1"/>
      <c r="W80" s="17"/>
      <c r="X80" s="17"/>
      <c r="Y80" s="17"/>
    </row>
    <row r="81" spans="1:25">
      <c r="A81" s="25"/>
      <c r="B81" s="26"/>
      <c r="C81" s="27"/>
      <c r="D81" s="27"/>
      <c r="E81" s="27"/>
      <c r="F81" s="31" t="b">
        <f t="shared" si="9"/>
        <v>0</v>
      </c>
      <c r="G81" s="32" t="b">
        <f t="shared" si="0"/>
        <v>0</v>
      </c>
      <c r="H81" s="27"/>
      <c r="I81" s="33" t="b">
        <f t="shared" si="5"/>
        <v>0</v>
      </c>
      <c r="J81" s="32" t="b">
        <f t="shared" si="1"/>
        <v>0</v>
      </c>
      <c r="K81" s="27"/>
      <c r="L81" s="33" t="b">
        <f t="shared" si="2"/>
        <v>0</v>
      </c>
      <c r="M81" s="40">
        <f t="shared" si="6"/>
        <v>0</v>
      </c>
      <c r="N81" s="40" t="b">
        <f t="shared" si="7"/>
        <v>0</v>
      </c>
      <c r="O81" s="41">
        <f t="shared" si="8"/>
        <v>0</v>
      </c>
      <c r="P81" s="41" t="b">
        <f t="shared" si="3"/>
        <v>0</v>
      </c>
      <c r="Q81" s="27"/>
      <c r="R81" s="27"/>
      <c r="S81" s="43"/>
      <c r="T81" s="27"/>
      <c r="U81" s="1"/>
      <c r="V81" s="1"/>
      <c r="W81" s="17"/>
      <c r="X81" s="17"/>
      <c r="Y81" s="17"/>
    </row>
    <row r="82" spans="1:25">
      <c r="A82" s="25"/>
      <c r="B82" s="26"/>
      <c r="C82" s="27"/>
      <c r="D82" s="27"/>
      <c r="E82" s="27"/>
      <c r="F82" s="31" t="b">
        <f t="shared" si="9"/>
        <v>0</v>
      </c>
      <c r="G82" s="32" t="b">
        <f t="shared" si="0"/>
        <v>0</v>
      </c>
      <c r="H82" s="27"/>
      <c r="I82" s="33" t="b">
        <f t="shared" si="5"/>
        <v>0</v>
      </c>
      <c r="J82" s="32" t="b">
        <f t="shared" si="1"/>
        <v>0</v>
      </c>
      <c r="K82" s="27"/>
      <c r="L82" s="33" t="b">
        <f t="shared" si="2"/>
        <v>0</v>
      </c>
      <c r="M82" s="40">
        <f t="shared" si="6"/>
        <v>0</v>
      </c>
      <c r="N82" s="40" t="b">
        <f t="shared" si="7"/>
        <v>0</v>
      </c>
      <c r="O82" s="41">
        <f t="shared" si="8"/>
        <v>0</v>
      </c>
      <c r="P82" s="41" t="b">
        <f t="shared" si="3"/>
        <v>0</v>
      </c>
      <c r="Q82" s="27"/>
      <c r="R82" s="27"/>
      <c r="S82" s="43"/>
      <c r="T82" s="27"/>
      <c r="U82" s="1"/>
      <c r="V82" s="1"/>
      <c r="W82" s="17"/>
      <c r="X82" s="17"/>
      <c r="Y82" s="17"/>
    </row>
    <row r="83" spans="1:25">
      <c r="A83" s="25"/>
      <c r="B83" s="26"/>
      <c r="C83" s="27"/>
      <c r="D83" s="27"/>
      <c r="E83" s="27"/>
      <c r="F83" s="31" t="b">
        <f t="shared" si="9"/>
        <v>0</v>
      </c>
      <c r="G83" s="32" t="b">
        <f t="shared" si="0"/>
        <v>0</v>
      </c>
      <c r="H83" s="27"/>
      <c r="I83" s="33" t="b">
        <f t="shared" si="5"/>
        <v>0</v>
      </c>
      <c r="J83" s="32" t="b">
        <f t="shared" si="1"/>
        <v>0</v>
      </c>
      <c r="K83" s="27"/>
      <c r="L83" s="33" t="b">
        <f t="shared" si="2"/>
        <v>0</v>
      </c>
      <c r="M83" s="40">
        <f t="shared" si="6"/>
        <v>0</v>
      </c>
      <c r="N83" s="40" t="b">
        <f t="shared" si="7"/>
        <v>0</v>
      </c>
      <c r="O83" s="41">
        <f t="shared" si="8"/>
        <v>0</v>
      </c>
      <c r="P83" s="41" t="b">
        <f t="shared" si="3"/>
        <v>0</v>
      </c>
      <c r="Q83" s="27"/>
      <c r="R83" s="27"/>
      <c r="S83" s="43"/>
      <c r="T83" s="27"/>
      <c r="U83" s="1"/>
      <c r="V83" s="1"/>
      <c r="W83" s="17"/>
      <c r="X83" s="17"/>
      <c r="Y83" s="17"/>
    </row>
    <row r="84" spans="1:25">
      <c r="A84" s="25"/>
      <c r="B84" s="26"/>
      <c r="C84" s="27"/>
      <c r="D84" s="27"/>
      <c r="E84" s="27"/>
      <c r="F84" s="31" t="b">
        <f t="shared" si="9"/>
        <v>0</v>
      </c>
      <c r="G84" s="32" t="b">
        <f t="shared" si="0"/>
        <v>0</v>
      </c>
      <c r="H84" s="27"/>
      <c r="I84" s="33" t="b">
        <f t="shared" si="5"/>
        <v>0</v>
      </c>
      <c r="J84" s="32" t="b">
        <f t="shared" si="1"/>
        <v>0</v>
      </c>
      <c r="K84" s="27"/>
      <c r="L84" s="33" t="b">
        <f t="shared" si="2"/>
        <v>0</v>
      </c>
      <c r="M84" s="40">
        <f t="shared" si="6"/>
        <v>0</v>
      </c>
      <c r="N84" s="40" t="b">
        <f t="shared" si="7"/>
        <v>0</v>
      </c>
      <c r="O84" s="41">
        <f t="shared" si="8"/>
        <v>0</v>
      </c>
      <c r="P84" s="41" t="b">
        <f t="shared" si="3"/>
        <v>0</v>
      </c>
      <c r="Q84" s="27"/>
      <c r="R84" s="27"/>
      <c r="S84" s="43"/>
      <c r="T84" s="27"/>
      <c r="U84" s="1"/>
      <c r="V84" s="1"/>
      <c r="W84" s="17"/>
      <c r="X84" s="17"/>
      <c r="Y84" s="17"/>
    </row>
    <row r="85" spans="1:25">
      <c r="A85" s="25"/>
      <c r="B85" s="26"/>
      <c r="C85" s="27"/>
      <c r="D85" s="27"/>
      <c r="E85" s="27"/>
      <c r="F85" s="31" t="b">
        <f t="shared" si="9"/>
        <v>0</v>
      </c>
      <c r="G85" s="32" t="b">
        <f t="shared" si="0"/>
        <v>0</v>
      </c>
      <c r="H85" s="27"/>
      <c r="I85" s="33" t="b">
        <f t="shared" si="5"/>
        <v>0</v>
      </c>
      <c r="J85" s="32" t="b">
        <f t="shared" si="1"/>
        <v>0</v>
      </c>
      <c r="K85" s="27"/>
      <c r="L85" s="33" t="b">
        <f t="shared" si="2"/>
        <v>0</v>
      </c>
      <c r="M85" s="40">
        <f t="shared" si="6"/>
        <v>0</v>
      </c>
      <c r="N85" s="40" t="b">
        <f t="shared" si="7"/>
        <v>0</v>
      </c>
      <c r="O85" s="41">
        <f t="shared" si="8"/>
        <v>0</v>
      </c>
      <c r="P85" s="41" t="b">
        <f t="shared" si="3"/>
        <v>0</v>
      </c>
      <c r="Q85" s="27"/>
      <c r="R85" s="27"/>
      <c r="S85" s="43"/>
      <c r="T85" s="27"/>
      <c r="U85" s="1"/>
      <c r="V85" s="1"/>
      <c r="W85" s="17"/>
      <c r="X85" s="17"/>
      <c r="Y85" s="17"/>
    </row>
    <row r="86" spans="1:25">
      <c r="A86" s="25"/>
      <c r="B86" s="26"/>
      <c r="C86" s="27"/>
      <c r="D86" s="27"/>
      <c r="E86" s="27"/>
      <c r="F86" s="31" t="b">
        <f t="shared" si="9"/>
        <v>0</v>
      </c>
      <c r="G86" s="32" t="b">
        <f t="shared" si="0"/>
        <v>0</v>
      </c>
      <c r="H86" s="27"/>
      <c r="I86" s="33" t="b">
        <f t="shared" si="5"/>
        <v>0</v>
      </c>
      <c r="J86" s="32" t="b">
        <f t="shared" si="1"/>
        <v>0</v>
      </c>
      <c r="K86" s="27"/>
      <c r="L86" s="33" t="b">
        <f t="shared" si="2"/>
        <v>0</v>
      </c>
      <c r="M86" s="40">
        <f t="shared" si="6"/>
        <v>0</v>
      </c>
      <c r="N86" s="40" t="b">
        <f t="shared" si="7"/>
        <v>0</v>
      </c>
      <c r="O86" s="41">
        <f t="shared" si="8"/>
        <v>0</v>
      </c>
      <c r="P86" s="41" t="b">
        <f t="shared" si="3"/>
        <v>0</v>
      </c>
      <c r="Q86" s="27"/>
      <c r="R86" s="27"/>
      <c r="S86" s="43"/>
      <c r="T86" s="27"/>
      <c r="U86" s="1"/>
      <c r="V86" s="1"/>
      <c r="W86" s="17"/>
      <c r="X86" s="17"/>
      <c r="Y86" s="17"/>
    </row>
    <row r="87" spans="1:25">
      <c r="A87" s="25"/>
      <c r="B87" s="26"/>
      <c r="C87" s="27"/>
      <c r="D87" s="27"/>
      <c r="E87" s="27"/>
      <c r="F87" s="31" t="b">
        <f t="shared" si="9"/>
        <v>0</v>
      </c>
      <c r="G87" s="32" t="b">
        <f t="shared" si="0"/>
        <v>0</v>
      </c>
      <c r="H87" s="27"/>
      <c r="I87" s="33" t="b">
        <f t="shared" si="5"/>
        <v>0</v>
      </c>
      <c r="J87" s="32" t="b">
        <f t="shared" si="1"/>
        <v>0</v>
      </c>
      <c r="K87" s="27"/>
      <c r="L87" s="33" t="b">
        <f t="shared" si="2"/>
        <v>0</v>
      </c>
      <c r="M87" s="40">
        <f t="shared" si="6"/>
        <v>0</v>
      </c>
      <c r="N87" s="40" t="b">
        <f t="shared" si="7"/>
        <v>0</v>
      </c>
      <c r="O87" s="41">
        <f t="shared" si="8"/>
        <v>0</v>
      </c>
      <c r="P87" s="41" t="b">
        <f t="shared" si="3"/>
        <v>0</v>
      </c>
      <c r="Q87" s="27"/>
      <c r="R87" s="27"/>
      <c r="S87" s="43"/>
      <c r="T87" s="27"/>
      <c r="U87" s="1"/>
      <c r="V87" s="1"/>
      <c r="W87" s="17"/>
      <c r="X87" s="17"/>
      <c r="Y87" s="17"/>
    </row>
    <row r="88" spans="1:25">
      <c r="A88" s="25"/>
      <c r="B88" s="26"/>
      <c r="C88" s="27"/>
      <c r="D88" s="27"/>
      <c r="E88" s="27"/>
      <c r="F88" s="31" t="b">
        <f t="shared" si="9"/>
        <v>0</v>
      </c>
      <c r="G88" s="32" t="b">
        <f t="shared" si="0"/>
        <v>0</v>
      </c>
      <c r="H88" s="27"/>
      <c r="I88" s="33" t="b">
        <f t="shared" si="5"/>
        <v>0</v>
      </c>
      <c r="J88" s="32" t="b">
        <f t="shared" si="1"/>
        <v>0</v>
      </c>
      <c r="K88" s="27"/>
      <c r="L88" s="33" t="b">
        <f t="shared" si="2"/>
        <v>0</v>
      </c>
      <c r="M88" s="40">
        <f t="shared" si="6"/>
        <v>0</v>
      </c>
      <c r="N88" s="40" t="b">
        <f t="shared" si="7"/>
        <v>0</v>
      </c>
      <c r="O88" s="41">
        <f t="shared" si="8"/>
        <v>0</v>
      </c>
      <c r="P88" s="41" t="b">
        <f t="shared" si="3"/>
        <v>0</v>
      </c>
      <c r="Q88" s="27"/>
      <c r="R88" s="27"/>
      <c r="S88" s="43"/>
      <c r="T88" s="27"/>
      <c r="U88" s="1"/>
      <c r="V88" s="1"/>
      <c r="W88" s="17"/>
      <c r="X88" s="17"/>
      <c r="Y88" s="17"/>
    </row>
    <row r="89" spans="1:25">
      <c r="A89" s="25"/>
      <c r="B89" s="26"/>
      <c r="C89" s="27"/>
      <c r="D89" s="27"/>
      <c r="E89" s="27"/>
      <c r="F89" s="31" t="b">
        <f t="shared" si="9"/>
        <v>0</v>
      </c>
      <c r="G89" s="32" t="b">
        <f t="shared" si="0"/>
        <v>0</v>
      </c>
      <c r="H89" s="27"/>
      <c r="I89" s="33" t="b">
        <f t="shared" si="5"/>
        <v>0</v>
      </c>
      <c r="J89" s="32" t="b">
        <f t="shared" si="1"/>
        <v>0</v>
      </c>
      <c r="K89" s="27"/>
      <c r="L89" s="33" t="b">
        <f t="shared" si="2"/>
        <v>0</v>
      </c>
      <c r="M89" s="40">
        <f t="shared" si="6"/>
        <v>0</v>
      </c>
      <c r="N89" s="40" t="b">
        <f t="shared" si="7"/>
        <v>0</v>
      </c>
      <c r="O89" s="41">
        <f t="shared" si="8"/>
        <v>0</v>
      </c>
      <c r="P89" s="41" t="b">
        <f t="shared" si="3"/>
        <v>0</v>
      </c>
      <c r="Q89" s="27"/>
      <c r="R89" s="27"/>
      <c r="S89" s="43"/>
      <c r="T89" s="27"/>
      <c r="U89" s="1"/>
      <c r="V89" s="1"/>
      <c r="W89" s="17"/>
      <c r="X89" s="17"/>
      <c r="Y89" s="17"/>
    </row>
    <row r="90" spans="1:25">
      <c r="A90" s="25"/>
      <c r="B90" s="26"/>
      <c r="C90" s="27"/>
      <c r="D90" s="27"/>
      <c r="E90" s="27"/>
      <c r="F90" s="31" t="b">
        <f t="shared" si="9"/>
        <v>0</v>
      </c>
      <c r="G90" s="32" t="b">
        <f t="shared" si="0"/>
        <v>0</v>
      </c>
      <c r="H90" s="27"/>
      <c r="I90" s="33" t="b">
        <f t="shared" si="5"/>
        <v>0</v>
      </c>
      <c r="J90" s="32" t="b">
        <f t="shared" si="1"/>
        <v>0</v>
      </c>
      <c r="K90" s="27"/>
      <c r="L90" s="33" t="b">
        <f t="shared" si="2"/>
        <v>0</v>
      </c>
      <c r="M90" s="40">
        <f t="shared" si="6"/>
        <v>0</v>
      </c>
      <c r="N90" s="40" t="b">
        <f t="shared" si="7"/>
        <v>0</v>
      </c>
      <c r="O90" s="41">
        <f t="shared" si="8"/>
        <v>0</v>
      </c>
      <c r="P90" s="41" t="b">
        <f t="shared" si="3"/>
        <v>0</v>
      </c>
      <c r="Q90" s="27"/>
      <c r="R90" s="27"/>
      <c r="S90" s="43"/>
      <c r="T90" s="27"/>
      <c r="U90" s="1"/>
      <c r="V90" s="1"/>
      <c r="W90" s="17"/>
      <c r="X90" s="17"/>
      <c r="Y90" s="17"/>
    </row>
    <row r="91" spans="1:25">
      <c r="A91" s="25"/>
      <c r="B91" s="26"/>
      <c r="C91" s="27"/>
      <c r="D91" s="27"/>
      <c r="E91" s="27"/>
      <c r="F91" s="31" t="b">
        <f t="shared" si="9"/>
        <v>0</v>
      </c>
      <c r="G91" s="32" t="b">
        <f t="shared" si="0"/>
        <v>0</v>
      </c>
      <c r="H91" s="27"/>
      <c r="I91" s="33" t="b">
        <f t="shared" si="5"/>
        <v>0</v>
      </c>
      <c r="J91" s="32" t="b">
        <f t="shared" si="1"/>
        <v>0</v>
      </c>
      <c r="K91" s="27"/>
      <c r="L91" s="33" t="b">
        <f t="shared" si="2"/>
        <v>0</v>
      </c>
      <c r="M91" s="40">
        <f t="shared" si="6"/>
        <v>0</v>
      </c>
      <c r="N91" s="40" t="b">
        <f t="shared" si="7"/>
        <v>0</v>
      </c>
      <c r="O91" s="41">
        <f t="shared" si="8"/>
        <v>0</v>
      </c>
      <c r="P91" s="41" t="b">
        <f t="shared" si="3"/>
        <v>0</v>
      </c>
      <c r="Q91" s="27"/>
      <c r="R91" s="27"/>
      <c r="S91" s="43"/>
      <c r="T91" s="27"/>
      <c r="U91" s="1"/>
      <c r="V91" s="1"/>
      <c r="W91" s="17"/>
      <c r="X91" s="17"/>
      <c r="Y91" s="17"/>
    </row>
    <row r="92" spans="1:25">
      <c r="A92" s="25"/>
      <c r="B92" s="26"/>
      <c r="C92" s="27"/>
      <c r="D92" s="27"/>
      <c r="E92" s="27"/>
      <c r="F92" s="31" t="b">
        <f t="shared" si="9"/>
        <v>0</v>
      </c>
      <c r="G92" s="32" t="b">
        <f t="shared" si="0"/>
        <v>0</v>
      </c>
      <c r="H92" s="27"/>
      <c r="I92" s="33" t="b">
        <f t="shared" si="5"/>
        <v>0</v>
      </c>
      <c r="J92" s="32" t="b">
        <f t="shared" si="1"/>
        <v>0</v>
      </c>
      <c r="K92" s="27"/>
      <c r="L92" s="33" t="b">
        <f t="shared" si="2"/>
        <v>0</v>
      </c>
      <c r="M92" s="40">
        <f t="shared" si="6"/>
        <v>0</v>
      </c>
      <c r="N92" s="40" t="b">
        <f t="shared" si="7"/>
        <v>0</v>
      </c>
      <c r="O92" s="41">
        <f t="shared" si="8"/>
        <v>0</v>
      </c>
      <c r="P92" s="41" t="b">
        <f t="shared" si="3"/>
        <v>0</v>
      </c>
      <c r="Q92" s="27"/>
      <c r="R92" s="27"/>
      <c r="S92" s="43"/>
      <c r="T92" s="27"/>
      <c r="U92" s="1"/>
      <c r="V92" s="1"/>
      <c r="W92" s="17"/>
      <c r="X92" s="17"/>
      <c r="Y92" s="17"/>
    </row>
    <row r="93" spans="1:25">
      <c r="A93" s="25"/>
      <c r="B93" s="26"/>
      <c r="C93" s="27"/>
      <c r="D93" s="27"/>
      <c r="E93" s="27"/>
      <c r="F93" s="31" t="b">
        <f t="shared" si="9"/>
        <v>0</v>
      </c>
      <c r="G93" s="32" t="b">
        <f t="shared" si="0"/>
        <v>0</v>
      </c>
      <c r="H93" s="27"/>
      <c r="I93" s="33" t="b">
        <f t="shared" si="5"/>
        <v>0</v>
      </c>
      <c r="J93" s="32" t="b">
        <f t="shared" si="1"/>
        <v>0</v>
      </c>
      <c r="K93" s="27"/>
      <c r="L93" s="33" t="b">
        <f t="shared" si="2"/>
        <v>0</v>
      </c>
      <c r="M93" s="40">
        <f t="shared" si="6"/>
        <v>0</v>
      </c>
      <c r="N93" s="40" t="b">
        <f t="shared" si="7"/>
        <v>0</v>
      </c>
      <c r="O93" s="41">
        <f t="shared" si="8"/>
        <v>0</v>
      </c>
      <c r="P93" s="41" t="b">
        <f t="shared" si="3"/>
        <v>0</v>
      </c>
      <c r="Q93" s="27"/>
      <c r="R93" s="27"/>
      <c r="S93" s="43"/>
      <c r="T93" s="27"/>
      <c r="U93" s="1"/>
      <c r="V93" s="1"/>
      <c r="W93" s="17"/>
      <c r="X93" s="17"/>
      <c r="Y93" s="17"/>
    </row>
    <row r="94" spans="1:25">
      <c r="A94" s="25"/>
      <c r="B94" s="26"/>
      <c r="C94" s="27"/>
      <c r="D94" s="27"/>
      <c r="E94" s="27"/>
      <c r="F94" s="31" t="b">
        <f t="shared" si="9"/>
        <v>0</v>
      </c>
      <c r="G94" s="32" t="b">
        <f t="shared" si="0"/>
        <v>0</v>
      </c>
      <c r="H94" s="27"/>
      <c r="I94" s="33" t="b">
        <f t="shared" si="5"/>
        <v>0</v>
      </c>
      <c r="J94" s="32" t="b">
        <f t="shared" si="1"/>
        <v>0</v>
      </c>
      <c r="K94" s="27"/>
      <c r="L94" s="33" t="b">
        <f t="shared" si="2"/>
        <v>0</v>
      </c>
      <c r="M94" s="40">
        <f t="shared" si="6"/>
        <v>0</v>
      </c>
      <c r="N94" s="40" t="b">
        <f t="shared" si="7"/>
        <v>0</v>
      </c>
      <c r="O94" s="41">
        <f t="shared" si="8"/>
        <v>0</v>
      </c>
      <c r="P94" s="41" t="b">
        <f t="shared" si="3"/>
        <v>0</v>
      </c>
      <c r="Q94" s="27"/>
      <c r="R94" s="27"/>
      <c r="S94" s="43"/>
      <c r="T94" s="27"/>
      <c r="U94" s="1"/>
      <c r="V94" s="1"/>
      <c r="W94" s="17"/>
      <c r="X94" s="17"/>
      <c r="Y94" s="17"/>
    </row>
    <row r="95" spans="1:25">
      <c r="A95" s="25"/>
      <c r="B95" s="26"/>
      <c r="C95" s="27"/>
      <c r="D95" s="27"/>
      <c r="E95" s="27"/>
      <c r="F95" s="31" t="b">
        <f t="shared" si="9"/>
        <v>0</v>
      </c>
      <c r="G95" s="32" t="b">
        <f t="shared" si="0"/>
        <v>0</v>
      </c>
      <c r="H95" s="27"/>
      <c r="I95" s="33" t="b">
        <f t="shared" si="5"/>
        <v>0</v>
      </c>
      <c r="J95" s="32" t="b">
        <f t="shared" si="1"/>
        <v>0</v>
      </c>
      <c r="K95" s="27"/>
      <c r="L95" s="33" t="b">
        <f t="shared" si="2"/>
        <v>0</v>
      </c>
      <c r="M95" s="40">
        <f t="shared" si="6"/>
        <v>0</v>
      </c>
      <c r="N95" s="40" t="b">
        <f t="shared" si="7"/>
        <v>0</v>
      </c>
      <c r="O95" s="41">
        <f t="shared" si="8"/>
        <v>0</v>
      </c>
      <c r="P95" s="41" t="b">
        <f t="shared" si="3"/>
        <v>0</v>
      </c>
      <c r="Q95" s="27"/>
      <c r="R95" s="27"/>
      <c r="S95" s="43"/>
      <c r="T95" s="27"/>
      <c r="U95" s="1"/>
      <c r="V95" s="1"/>
      <c r="W95" s="17"/>
      <c r="X95" s="17"/>
      <c r="Y95" s="17"/>
    </row>
    <row r="96" spans="1:25">
      <c r="A96" s="25"/>
      <c r="B96" s="26"/>
      <c r="C96" s="27"/>
      <c r="D96" s="27"/>
      <c r="E96" s="27"/>
      <c r="F96" s="31" t="b">
        <f t="shared" si="9"/>
        <v>0</v>
      </c>
      <c r="G96" s="32" t="b">
        <f t="shared" si="0"/>
        <v>0</v>
      </c>
      <c r="H96" s="27"/>
      <c r="I96" s="33" t="b">
        <f t="shared" si="5"/>
        <v>0</v>
      </c>
      <c r="J96" s="32" t="b">
        <f t="shared" si="1"/>
        <v>0</v>
      </c>
      <c r="K96" s="27"/>
      <c r="L96" s="33" t="b">
        <f t="shared" si="2"/>
        <v>0</v>
      </c>
      <c r="M96" s="40">
        <f t="shared" si="6"/>
        <v>0</v>
      </c>
      <c r="N96" s="40" t="b">
        <f t="shared" si="7"/>
        <v>0</v>
      </c>
      <c r="O96" s="41">
        <f t="shared" si="8"/>
        <v>0</v>
      </c>
      <c r="P96" s="41" t="b">
        <f t="shared" si="3"/>
        <v>0</v>
      </c>
      <c r="Q96" s="27"/>
      <c r="R96" s="27"/>
      <c r="S96" s="43"/>
      <c r="T96" s="27"/>
      <c r="U96" s="1"/>
      <c r="V96" s="1"/>
      <c r="W96" s="17"/>
      <c r="X96" s="17"/>
      <c r="Y96" s="17"/>
    </row>
    <row r="97" spans="1:25">
      <c r="A97" s="25"/>
      <c r="B97" s="26"/>
      <c r="C97" s="27"/>
      <c r="D97" s="27"/>
      <c r="E97" s="27"/>
      <c r="F97" s="31" t="b">
        <f t="shared" si="9"/>
        <v>0</v>
      </c>
      <c r="G97" s="32" t="b">
        <f t="shared" si="0"/>
        <v>0</v>
      </c>
      <c r="H97" s="27"/>
      <c r="I97" s="33" t="b">
        <f t="shared" si="5"/>
        <v>0</v>
      </c>
      <c r="J97" s="32" t="b">
        <f t="shared" si="1"/>
        <v>0</v>
      </c>
      <c r="K97" s="27"/>
      <c r="L97" s="33" t="b">
        <f t="shared" si="2"/>
        <v>0</v>
      </c>
      <c r="M97" s="40">
        <f t="shared" si="6"/>
        <v>0</v>
      </c>
      <c r="N97" s="40" t="b">
        <f t="shared" si="7"/>
        <v>0</v>
      </c>
      <c r="O97" s="41">
        <f t="shared" si="8"/>
        <v>0</v>
      </c>
      <c r="P97" s="41" t="b">
        <f t="shared" si="3"/>
        <v>0</v>
      </c>
      <c r="Q97" s="27"/>
      <c r="R97" s="27"/>
      <c r="S97" s="43"/>
      <c r="T97" s="27"/>
      <c r="U97" s="1"/>
      <c r="V97" s="1"/>
      <c r="W97" s="17"/>
      <c r="X97" s="17"/>
      <c r="Y97" s="17"/>
    </row>
    <row r="98" spans="1:25">
      <c r="A98" s="25"/>
      <c r="B98" s="26"/>
      <c r="C98" s="27"/>
      <c r="D98" s="27"/>
      <c r="E98" s="27"/>
      <c r="F98" s="31" t="b">
        <f t="shared" si="9"/>
        <v>0</v>
      </c>
      <c r="G98" s="32" t="b">
        <f t="shared" si="0"/>
        <v>0</v>
      </c>
      <c r="H98" s="27"/>
      <c r="I98" s="33" t="b">
        <f t="shared" si="5"/>
        <v>0</v>
      </c>
      <c r="J98" s="32" t="b">
        <f t="shared" si="1"/>
        <v>0</v>
      </c>
      <c r="K98" s="27"/>
      <c r="L98" s="33" t="b">
        <f t="shared" si="2"/>
        <v>0</v>
      </c>
      <c r="M98" s="40">
        <f t="shared" si="6"/>
        <v>0</v>
      </c>
      <c r="N98" s="40" t="b">
        <f t="shared" si="7"/>
        <v>0</v>
      </c>
      <c r="O98" s="41">
        <f t="shared" si="8"/>
        <v>0</v>
      </c>
      <c r="P98" s="41" t="b">
        <f t="shared" si="3"/>
        <v>0</v>
      </c>
      <c r="Q98" s="27"/>
      <c r="R98" s="27"/>
      <c r="S98" s="43"/>
      <c r="T98" s="27"/>
      <c r="U98" s="1"/>
      <c r="V98" s="1"/>
      <c r="W98" s="17"/>
      <c r="X98" s="17"/>
      <c r="Y98" s="17"/>
    </row>
    <row r="99" spans="1:25">
      <c r="A99" s="25"/>
      <c r="B99" s="26"/>
      <c r="C99" s="27"/>
      <c r="D99" s="27"/>
      <c r="E99" s="27"/>
      <c r="F99" s="31" t="b">
        <f t="shared" si="9"/>
        <v>0</v>
      </c>
      <c r="G99" s="32" t="b">
        <f t="shared" si="0"/>
        <v>0</v>
      </c>
      <c r="H99" s="27"/>
      <c r="I99" s="33" t="b">
        <f t="shared" si="5"/>
        <v>0</v>
      </c>
      <c r="J99" s="32" t="b">
        <f t="shared" si="1"/>
        <v>0</v>
      </c>
      <c r="K99" s="27"/>
      <c r="L99" s="33" t="b">
        <f t="shared" si="2"/>
        <v>0</v>
      </c>
      <c r="M99" s="40">
        <f t="shared" si="6"/>
        <v>0</v>
      </c>
      <c r="N99" s="40" t="b">
        <f t="shared" si="7"/>
        <v>0</v>
      </c>
      <c r="O99" s="41">
        <f t="shared" si="8"/>
        <v>0</v>
      </c>
      <c r="P99" s="41" t="b">
        <f t="shared" si="3"/>
        <v>0</v>
      </c>
      <c r="Q99" s="27"/>
      <c r="R99" s="27"/>
      <c r="S99" s="43"/>
      <c r="T99" s="27"/>
      <c r="U99" s="1"/>
      <c r="V99" s="1"/>
      <c r="W99" s="17"/>
      <c r="X99" s="17"/>
      <c r="Y99" s="17"/>
    </row>
    <row r="100" spans="1:25">
      <c r="A100" s="25"/>
      <c r="B100" s="26"/>
      <c r="C100" s="27"/>
      <c r="D100" s="27"/>
      <c r="E100" s="27"/>
      <c r="F100" s="31" t="b">
        <f t="shared" si="9"/>
        <v>0</v>
      </c>
      <c r="G100" s="32" t="b">
        <f t="shared" si="0"/>
        <v>0</v>
      </c>
      <c r="H100" s="27"/>
      <c r="I100" s="33" t="b">
        <f t="shared" si="5"/>
        <v>0</v>
      </c>
      <c r="J100" s="32" t="b">
        <f t="shared" si="1"/>
        <v>0</v>
      </c>
      <c r="K100" s="27"/>
      <c r="L100" s="33" t="b">
        <f t="shared" si="2"/>
        <v>0</v>
      </c>
      <c r="M100" s="40">
        <f t="shared" si="6"/>
        <v>0</v>
      </c>
      <c r="N100" s="40" t="b">
        <f t="shared" si="7"/>
        <v>0</v>
      </c>
      <c r="O100" s="41">
        <f t="shared" si="8"/>
        <v>0</v>
      </c>
      <c r="P100" s="41" t="b">
        <f t="shared" si="3"/>
        <v>0</v>
      </c>
      <c r="Q100" s="27"/>
      <c r="R100" s="27"/>
      <c r="S100" s="43"/>
      <c r="T100" s="27"/>
      <c r="U100" s="1"/>
      <c r="V100" s="1"/>
      <c r="W100" s="17"/>
      <c r="X100" s="17"/>
      <c r="Y100" s="17"/>
    </row>
    <row r="101" spans="1:25">
      <c r="A101" s="25"/>
      <c r="B101" s="26"/>
      <c r="C101" s="27"/>
      <c r="D101" s="27"/>
      <c r="E101" s="27"/>
      <c r="F101" s="31" t="b">
        <f t="shared" si="9"/>
        <v>0</v>
      </c>
      <c r="G101" s="32" t="b">
        <f t="shared" si="0"/>
        <v>0</v>
      </c>
      <c r="H101" s="27"/>
      <c r="I101" s="33" t="b">
        <f t="shared" si="5"/>
        <v>0</v>
      </c>
      <c r="J101" s="32" t="b">
        <f t="shared" si="1"/>
        <v>0</v>
      </c>
      <c r="K101" s="27"/>
      <c r="L101" s="33" t="b">
        <f t="shared" si="2"/>
        <v>0</v>
      </c>
      <c r="M101" s="40">
        <f t="shared" si="6"/>
        <v>0</v>
      </c>
      <c r="N101" s="40" t="b">
        <f t="shared" si="7"/>
        <v>0</v>
      </c>
      <c r="O101" s="41">
        <f t="shared" si="8"/>
        <v>0</v>
      </c>
      <c r="P101" s="41" t="b">
        <f t="shared" si="3"/>
        <v>0</v>
      </c>
      <c r="Q101" s="27"/>
      <c r="R101" s="27"/>
      <c r="S101" s="43"/>
      <c r="T101" s="27"/>
      <c r="U101" s="1"/>
      <c r="V101" s="1"/>
      <c r="W101" s="17"/>
      <c r="X101" s="17"/>
      <c r="Y101" s="17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44" t="s">
        <v>17</v>
      </c>
      <c r="R102" s="45"/>
      <c r="S102" s="46">
        <f>SUM(S3:S101)</f>
        <v>0</v>
      </c>
      <c r="T102" s="1"/>
      <c r="U102" s="1"/>
      <c r="V102" s="1"/>
      <c r="W102" s="17"/>
      <c r="X102" s="17"/>
      <c r="Y102" s="17"/>
    </row>
    <row r="103" spans="1:2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2:22">
      <c r="B104" s="16"/>
      <c r="C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2:22">
      <c r="B105" s="16"/>
      <c r="C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2:22">
      <c r="B106" s="16"/>
      <c r="C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2:22">
      <c r="B107" s="16"/>
      <c r="C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>
      <c r="A108" s="17"/>
      <c r="B108" s="18"/>
      <c r="C108" s="18"/>
      <c r="D108" s="17"/>
      <c r="E108" s="17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J+dbeA66AIpjIwQ1mB39AbqrTwgJI94FB2Tai9DY9wy2taSav1VaUDlz2m4LplIko+Hi2z2tDeNcRxpXsbhGGg==" saltValue="UGLLdwRxb+0qQ1vJA4TK7w==" spinCount="100000" sheet="1" objects="1" scenarios="1"/>
  <mergeCells count="5">
    <mergeCell ref="G1:I1"/>
    <mergeCell ref="J1:L1"/>
    <mergeCell ref="M1:N1"/>
    <mergeCell ref="O1:P1"/>
    <mergeCell ref="Q102:R102"/>
  </mergeCells>
  <dataValidations count="1">
    <dataValidation type="list" allowBlank="1" showErrorMessage="1" sqref="B3:B101">
      <formula1>$W$2:$W$3</formula1>
    </dataValidation>
  </dataValidations>
  <pageMargins left="0.699305555555556" right="0.699305555555556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5"/>
  <sheetViews>
    <sheetView workbookViewId="0">
      <selection activeCell="W19" sqref="W19:W20"/>
    </sheetView>
  </sheetViews>
  <sheetFormatPr defaultColWidth="9" defaultRowHeight="17.6"/>
  <cols>
    <col min="1" max="1" width="13.1607142857143" customWidth="1"/>
    <col min="2" max="2" width="12.5" customWidth="1"/>
    <col min="3" max="3" width="13.1607142857143" customWidth="1"/>
    <col min="4" max="4" width="13.3303571428571" customWidth="1"/>
    <col min="5" max="5" width="13" customWidth="1"/>
    <col min="6" max="6" width="13" hidden="1" customWidth="1"/>
    <col min="7" max="7" width="13.1607142857143" customWidth="1"/>
    <col min="8" max="8" width="13" customWidth="1"/>
    <col min="9" max="9" width="13.3303571428571" hidden="1" customWidth="1"/>
    <col min="10" max="10" width="13.1607142857143" customWidth="1"/>
    <col min="11" max="11" width="12.6607142857143" customWidth="1"/>
    <col min="12" max="12" width="12.8303571428571" hidden="1" customWidth="1"/>
    <col min="13" max="13" width="12.8303571428571" customWidth="1"/>
    <col min="14" max="14" width="13.3303571428571" customWidth="1"/>
    <col min="15" max="15" width="12.8303571428571" customWidth="1"/>
    <col min="16" max="16" width="13.1607142857143" customWidth="1"/>
    <col min="17" max="17" width="12.8303571428571" customWidth="1"/>
    <col min="18" max="18" width="12.6607142857143" customWidth="1"/>
    <col min="19" max="19" width="13.3303571428571" customWidth="1"/>
    <col min="20" max="20" width="13.5" customWidth="1"/>
    <col min="22" max="22" width="9" hidden="1" customWidth="1"/>
  </cols>
  <sheetData>
    <row r="1" spans="1:23">
      <c r="A1" s="1"/>
      <c r="B1" s="1"/>
      <c r="C1" s="1"/>
      <c r="D1" s="1"/>
      <c r="E1" s="1"/>
      <c r="F1" s="1"/>
      <c r="G1" s="6" t="s">
        <v>25</v>
      </c>
      <c r="H1" s="6"/>
      <c r="I1" s="6"/>
      <c r="J1" s="6" t="s">
        <v>26</v>
      </c>
      <c r="K1" s="6"/>
      <c r="L1" s="6"/>
      <c r="M1" s="1"/>
      <c r="N1" s="1"/>
      <c r="O1" s="1"/>
      <c r="P1" s="1"/>
      <c r="Q1" s="1"/>
      <c r="R1" s="1"/>
      <c r="S1" s="1"/>
      <c r="T1" s="1"/>
      <c r="U1" s="1"/>
      <c r="V1" s="1" t="s">
        <v>19</v>
      </c>
      <c r="W1" s="15"/>
    </row>
    <row r="2" spans="1:2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32</v>
      </c>
      <c r="K2" s="2" t="s">
        <v>9</v>
      </c>
      <c r="L2" s="2" t="s">
        <v>10</v>
      </c>
      <c r="M2" s="10" t="s">
        <v>28</v>
      </c>
      <c r="N2" s="10" t="s">
        <v>29</v>
      </c>
      <c r="O2" s="11" t="s">
        <v>30</v>
      </c>
      <c r="P2" s="11" t="s">
        <v>31</v>
      </c>
      <c r="Q2" s="2" t="s">
        <v>15</v>
      </c>
      <c r="R2" s="2" t="s">
        <v>16</v>
      </c>
      <c r="S2" s="2" t="s">
        <v>17</v>
      </c>
      <c r="T2" s="2" t="s">
        <v>18</v>
      </c>
      <c r="U2" s="1"/>
      <c r="V2" s="1" t="s">
        <v>20</v>
      </c>
      <c r="W2" s="15"/>
    </row>
    <row r="3" spans="1:23">
      <c r="A3" s="3"/>
      <c r="B3" s="4"/>
      <c r="C3" s="5"/>
      <c r="D3" s="5"/>
      <c r="E3" s="5"/>
      <c r="F3" s="7" t="b">
        <f>IF(B3="BUY",(C3*(1-4%)),IF(B3="SELL",(C3*(1+4%))))</f>
        <v>0</v>
      </c>
      <c r="G3" s="8" t="b">
        <f>IF(B3="BUY","2DLL",IF(B3="SELL","2DHH"))</f>
        <v>0</v>
      </c>
      <c r="H3" s="5"/>
      <c r="I3" s="9" t="b">
        <f>IF(G3="2DHH",(H3*(1+0.4%)),IF(G3="2DLL",(H3*(1-0.4%))))</f>
        <v>0</v>
      </c>
      <c r="J3" s="8" t="b">
        <f>IF(B3="BUY","3DLL",IF(B3="SELL","3DHH"))</f>
        <v>0</v>
      </c>
      <c r="K3" s="5"/>
      <c r="L3" s="9" t="b">
        <f>IF(J3="3DHH",(K3*(1+0.4%)),IF(J3="3DLL",(K3*(1-0.4%))))</f>
        <v>0</v>
      </c>
      <c r="M3" s="12" t="e">
        <f t="shared" ref="M3:M34" si="0">MROUND(IF(B3="BUY",MAX(F3,I3),IF(B3="SELL",MIN(F3,I3))),0.1)</f>
        <v>#VALUE!</v>
      </c>
      <c r="N3" s="12" t="b">
        <f t="shared" ref="N3:N34" si="1">IF(B3="BUY",(M3*(1-0.1%)),IF(B3="SELL",(M3*(1+0.1%))))</f>
        <v>0</v>
      </c>
      <c r="O3" s="13" t="e">
        <f t="shared" ref="O3:O34" si="2">MROUND(IF(B3="BUY",MAX(F3,L3),IF(B3="SELL",MIN(F3,L3))),0.1)</f>
        <v>#VALUE!</v>
      </c>
      <c r="P3" s="13" t="b">
        <f t="shared" ref="P3:P34" si="3">IF(B3="BUY",(O3*(1-0.1%)),IF(B3="SELL",(O3*(1+0.1%))))</f>
        <v>0</v>
      </c>
      <c r="Q3" s="5"/>
      <c r="R3" s="5"/>
      <c r="S3" s="14"/>
      <c r="T3" s="5"/>
      <c r="U3" s="1"/>
      <c r="V3" s="15"/>
      <c r="W3" s="15"/>
    </row>
    <row r="4" spans="1:23">
      <c r="A4" s="3"/>
      <c r="B4" s="4"/>
      <c r="C4" s="5"/>
      <c r="D4" s="5"/>
      <c r="E4" s="5"/>
      <c r="F4" s="7" t="b">
        <f t="shared" ref="F4:F67" si="4">IF(B4="BUY",(C4*(1-4%)),IF(B4="SELL",(C4*(1+4%))))</f>
        <v>0</v>
      </c>
      <c r="G4" s="8" t="b">
        <f t="shared" ref="G4:G67" si="5">IF(B4="BUY","2DLL",IF(B4="SELL","2DHH"))</f>
        <v>0</v>
      </c>
      <c r="H4" s="5"/>
      <c r="I4" s="9" t="b">
        <f t="shared" ref="I4:I67" si="6">IF(G4="2DHH",(H4*(1+0.4%)),IF(G4="2DLL",(H4*(1-0.4%))))</f>
        <v>0</v>
      </c>
      <c r="J4" s="8" t="b">
        <f t="shared" ref="J4:J67" si="7">IF(B4="BUY","3DLL",IF(B4="SELL","3DHH"))</f>
        <v>0</v>
      </c>
      <c r="K4" s="5"/>
      <c r="L4" s="9" t="b">
        <f t="shared" ref="L4:L67" si="8">IF(J4="3DHH",(K4*(1+0.4%)),IF(J4="3DLL",(K4*(1-0.4%))))</f>
        <v>0</v>
      </c>
      <c r="M4" s="12" t="e">
        <f t="shared" si="0"/>
        <v>#VALUE!</v>
      </c>
      <c r="N4" s="12" t="b">
        <f t="shared" si="1"/>
        <v>0</v>
      </c>
      <c r="O4" s="13" t="e">
        <f t="shared" si="2"/>
        <v>#VALUE!</v>
      </c>
      <c r="P4" s="13" t="b">
        <f t="shared" si="3"/>
        <v>0</v>
      </c>
      <c r="Q4" s="5"/>
      <c r="R4" s="5"/>
      <c r="S4" s="14"/>
      <c r="T4" s="5"/>
      <c r="U4" s="1"/>
      <c r="V4" s="15"/>
      <c r="W4" s="15"/>
    </row>
    <row r="5" spans="1:23">
      <c r="A5" s="3"/>
      <c r="B5" s="4"/>
      <c r="C5" s="5"/>
      <c r="D5" s="5"/>
      <c r="E5" s="5"/>
      <c r="F5" s="7" t="b">
        <f t="shared" si="4"/>
        <v>0</v>
      </c>
      <c r="G5" s="8" t="b">
        <f t="shared" si="5"/>
        <v>0</v>
      </c>
      <c r="H5" s="5"/>
      <c r="I5" s="9" t="b">
        <f t="shared" si="6"/>
        <v>0</v>
      </c>
      <c r="J5" s="8" t="b">
        <f t="shared" si="7"/>
        <v>0</v>
      </c>
      <c r="K5" s="5"/>
      <c r="L5" s="9" t="b">
        <f t="shared" si="8"/>
        <v>0</v>
      </c>
      <c r="M5" s="12" t="e">
        <f t="shared" si="0"/>
        <v>#VALUE!</v>
      </c>
      <c r="N5" s="12" t="b">
        <f t="shared" si="1"/>
        <v>0</v>
      </c>
      <c r="O5" s="13" t="e">
        <f t="shared" si="2"/>
        <v>#VALUE!</v>
      </c>
      <c r="P5" s="13" t="b">
        <f t="shared" si="3"/>
        <v>0</v>
      </c>
      <c r="Q5" s="5"/>
      <c r="R5" s="5"/>
      <c r="S5" s="14"/>
      <c r="T5" s="5"/>
      <c r="U5" s="1"/>
      <c r="V5" s="15"/>
      <c r="W5" s="15"/>
    </row>
    <row r="6" spans="1:23">
      <c r="A6" s="3"/>
      <c r="B6" s="4"/>
      <c r="C6" s="5"/>
      <c r="D6" s="5"/>
      <c r="E6" s="5"/>
      <c r="F6" s="7" t="b">
        <f t="shared" si="4"/>
        <v>0</v>
      </c>
      <c r="G6" s="8" t="b">
        <f t="shared" si="5"/>
        <v>0</v>
      </c>
      <c r="H6" s="5"/>
      <c r="I6" s="9" t="b">
        <f t="shared" si="6"/>
        <v>0</v>
      </c>
      <c r="J6" s="8" t="b">
        <f t="shared" si="7"/>
        <v>0</v>
      </c>
      <c r="K6" s="5"/>
      <c r="L6" s="9" t="b">
        <f t="shared" si="8"/>
        <v>0</v>
      </c>
      <c r="M6" s="12" t="e">
        <f t="shared" si="0"/>
        <v>#VALUE!</v>
      </c>
      <c r="N6" s="12" t="b">
        <f t="shared" si="1"/>
        <v>0</v>
      </c>
      <c r="O6" s="13" t="e">
        <f t="shared" si="2"/>
        <v>#VALUE!</v>
      </c>
      <c r="P6" s="13" t="b">
        <f t="shared" si="3"/>
        <v>0</v>
      </c>
      <c r="Q6" s="5"/>
      <c r="R6" s="5"/>
      <c r="S6" s="14"/>
      <c r="T6" s="5"/>
      <c r="U6" s="1"/>
      <c r="V6" s="15"/>
      <c r="W6" s="15"/>
    </row>
    <row r="7" spans="1:23">
      <c r="A7" s="3"/>
      <c r="B7" s="4"/>
      <c r="C7" s="5"/>
      <c r="D7" s="5"/>
      <c r="E7" s="5"/>
      <c r="F7" s="7" t="b">
        <f t="shared" si="4"/>
        <v>0</v>
      </c>
      <c r="G7" s="8" t="b">
        <f t="shared" si="5"/>
        <v>0</v>
      </c>
      <c r="H7" s="5"/>
      <c r="I7" s="9" t="b">
        <f t="shared" si="6"/>
        <v>0</v>
      </c>
      <c r="J7" s="8" t="b">
        <f t="shared" si="7"/>
        <v>0</v>
      </c>
      <c r="K7" s="5"/>
      <c r="L7" s="9" t="b">
        <f t="shared" si="8"/>
        <v>0</v>
      </c>
      <c r="M7" s="12" t="e">
        <f t="shared" si="0"/>
        <v>#VALUE!</v>
      </c>
      <c r="N7" s="12" t="b">
        <f t="shared" si="1"/>
        <v>0</v>
      </c>
      <c r="O7" s="13" t="e">
        <f t="shared" si="2"/>
        <v>#VALUE!</v>
      </c>
      <c r="P7" s="13" t="b">
        <f t="shared" si="3"/>
        <v>0</v>
      </c>
      <c r="Q7" s="5"/>
      <c r="R7" s="5"/>
      <c r="S7" s="14"/>
      <c r="T7" s="5"/>
      <c r="U7" s="1"/>
      <c r="V7" s="15"/>
      <c r="W7" s="15"/>
    </row>
    <row r="8" spans="1:23">
      <c r="A8" s="5"/>
      <c r="B8" s="4"/>
      <c r="C8" s="5"/>
      <c r="D8" s="5"/>
      <c r="E8" s="5"/>
      <c r="F8" s="7" t="b">
        <f t="shared" si="4"/>
        <v>0</v>
      </c>
      <c r="G8" s="8" t="b">
        <f t="shared" si="5"/>
        <v>0</v>
      </c>
      <c r="H8" s="5"/>
      <c r="I8" s="9" t="b">
        <f t="shared" si="6"/>
        <v>0</v>
      </c>
      <c r="J8" s="8" t="b">
        <f t="shared" si="7"/>
        <v>0</v>
      </c>
      <c r="K8" s="5"/>
      <c r="L8" s="9" t="b">
        <f t="shared" si="8"/>
        <v>0</v>
      </c>
      <c r="M8" s="12" t="e">
        <f t="shared" si="0"/>
        <v>#VALUE!</v>
      </c>
      <c r="N8" s="12" t="b">
        <f t="shared" si="1"/>
        <v>0</v>
      </c>
      <c r="O8" s="13" t="e">
        <f t="shared" si="2"/>
        <v>#VALUE!</v>
      </c>
      <c r="P8" s="13" t="b">
        <f t="shared" si="3"/>
        <v>0</v>
      </c>
      <c r="Q8" s="5"/>
      <c r="R8" s="5"/>
      <c r="S8" s="14"/>
      <c r="T8" s="5"/>
      <c r="U8" s="1"/>
      <c r="V8" s="15"/>
      <c r="W8" s="15"/>
    </row>
    <row r="9" spans="1:23">
      <c r="A9" s="5"/>
      <c r="B9" s="4"/>
      <c r="C9" s="5"/>
      <c r="D9" s="5"/>
      <c r="E9" s="5"/>
      <c r="F9" s="7" t="b">
        <f t="shared" si="4"/>
        <v>0</v>
      </c>
      <c r="G9" s="8" t="b">
        <f t="shared" si="5"/>
        <v>0</v>
      </c>
      <c r="H9" s="5"/>
      <c r="I9" s="9" t="b">
        <f t="shared" si="6"/>
        <v>0</v>
      </c>
      <c r="J9" s="8" t="b">
        <f t="shared" si="7"/>
        <v>0</v>
      </c>
      <c r="K9" s="5"/>
      <c r="L9" s="9" t="b">
        <f t="shared" si="8"/>
        <v>0</v>
      </c>
      <c r="M9" s="12" t="e">
        <f t="shared" si="0"/>
        <v>#VALUE!</v>
      </c>
      <c r="N9" s="12" t="b">
        <f t="shared" si="1"/>
        <v>0</v>
      </c>
      <c r="O9" s="13" t="e">
        <f t="shared" si="2"/>
        <v>#VALUE!</v>
      </c>
      <c r="P9" s="13" t="b">
        <f t="shared" si="3"/>
        <v>0</v>
      </c>
      <c r="Q9" s="5"/>
      <c r="R9" s="5"/>
      <c r="S9" s="14"/>
      <c r="T9" s="5"/>
      <c r="U9" s="1"/>
      <c r="V9" s="15"/>
      <c r="W9" s="15"/>
    </row>
    <row r="10" spans="1:23">
      <c r="A10" s="5"/>
      <c r="B10" s="4"/>
      <c r="C10" s="5"/>
      <c r="D10" s="5"/>
      <c r="E10" s="5"/>
      <c r="F10" s="7" t="b">
        <f t="shared" si="4"/>
        <v>0</v>
      </c>
      <c r="G10" s="8" t="b">
        <f t="shared" si="5"/>
        <v>0</v>
      </c>
      <c r="H10" s="5"/>
      <c r="I10" s="9" t="b">
        <f t="shared" si="6"/>
        <v>0</v>
      </c>
      <c r="J10" s="8" t="b">
        <f t="shared" si="7"/>
        <v>0</v>
      </c>
      <c r="K10" s="5"/>
      <c r="L10" s="9" t="b">
        <f t="shared" si="8"/>
        <v>0</v>
      </c>
      <c r="M10" s="12" t="e">
        <f t="shared" si="0"/>
        <v>#VALUE!</v>
      </c>
      <c r="N10" s="12" t="b">
        <f t="shared" si="1"/>
        <v>0</v>
      </c>
      <c r="O10" s="13" t="e">
        <f t="shared" si="2"/>
        <v>#VALUE!</v>
      </c>
      <c r="P10" s="13" t="b">
        <f t="shared" si="3"/>
        <v>0</v>
      </c>
      <c r="Q10" s="5"/>
      <c r="R10" s="5"/>
      <c r="S10" s="14"/>
      <c r="T10" s="5"/>
      <c r="U10" s="1"/>
      <c r="V10" s="15"/>
      <c r="W10" s="15"/>
    </row>
    <row r="11" spans="1:23">
      <c r="A11" s="5"/>
      <c r="B11" s="4"/>
      <c r="C11" s="5"/>
      <c r="D11" s="5"/>
      <c r="E11" s="5"/>
      <c r="F11" s="7" t="b">
        <f t="shared" si="4"/>
        <v>0</v>
      </c>
      <c r="G11" s="8" t="b">
        <f t="shared" si="5"/>
        <v>0</v>
      </c>
      <c r="H11" s="5"/>
      <c r="I11" s="9" t="b">
        <f t="shared" si="6"/>
        <v>0</v>
      </c>
      <c r="J11" s="8" t="b">
        <f t="shared" si="7"/>
        <v>0</v>
      </c>
      <c r="K11" s="5"/>
      <c r="L11" s="9" t="b">
        <f t="shared" si="8"/>
        <v>0</v>
      </c>
      <c r="M11" s="12" t="e">
        <f t="shared" si="0"/>
        <v>#VALUE!</v>
      </c>
      <c r="N11" s="12" t="b">
        <f t="shared" si="1"/>
        <v>0</v>
      </c>
      <c r="O11" s="13" t="e">
        <f t="shared" si="2"/>
        <v>#VALUE!</v>
      </c>
      <c r="P11" s="13" t="b">
        <f t="shared" si="3"/>
        <v>0</v>
      </c>
      <c r="Q11" s="5"/>
      <c r="R11" s="5"/>
      <c r="S11" s="14"/>
      <c r="T11" s="5"/>
      <c r="U11" s="1"/>
      <c r="V11" s="15"/>
      <c r="W11" s="15"/>
    </row>
    <row r="12" spans="1:23">
      <c r="A12" s="5"/>
      <c r="B12" s="4"/>
      <c r="C12" s="5"/>
      <c r="D12" s="5"/>
      <c r="E12" s="5"/>
      <c r="F12" s="7" t="b">
        <f t="shared" si="4"/>
        <v>0</v>
      </c>
      <c r="G12" s="8" t="b">
        <f t="shared" si="5"/>
        <v>0</v>
      </c>
      <c r="H12" s="5"/>
      <c r="I12" s="9" t="b">
        <f t="shared" si="6"/>
        <v>0</v>
      </c>
      <c r="J12" s="8" t="b">
        <f t="shared" si="7"/>
        <v>0</v>
      </c>
      <c r="K12" s="5"/>
      <c r="L12" s="9" t="b">
        <f t="shared" si="8"/>
        <v>0</v>
      </c>
      <c r="M12" s="12" t="e">
        <f t="shared" si="0"/>
        <v>#VALUE!</v>
      </c>
      <c r="N12" s="12" t="b">
        <f t="shared" si="1"/>
        <v>0</v>
      </c>
      <c r="O12" s="13" t="e">
        <f t="shared" si="2"/>
        <v>#VALUE!</v>
      </c>
      <c r="P12" s="13" t="b">
        <f t="shared" si="3"/>
        <v>0</v>
      </c>
      <c r="Q12" s="5"/>
      <c r="R12" s="5"/>
      <c r="S12" s="14"/>
      <c r="T12" s="5"/>
      <c r="U12" s="1"/>
      <c r="V12" s="15"/>
      <c r="W12" s="15"/>
    </row>
    <row r="13" spans="1:23">
      <c r="A13" s="5"/>
      <c r="B13" s="4"/>
      <c r="C13" s="5"/>
      <c r="D13" s="5"/>
      <c r="E13" s="5"/>
      <c r="F13" s="7" t="b">
        <f t="shared" si="4"/>
        <v>0</v>
      </c>
      <c r="G13" s="8" t="b">
        <f t="shared" si="5"/>
        <v>0</v>
      </c>
      <c r="H13" s="5"/>
      <c r="I13" s="9" t="b">
        <f t="shared" si="6"/>
        <v>0</v>
      </c>
      <c r="J13" s="8" t="b">
        <f t="shared" si="7"/>
        <v>0</v>
      </c>
      <c r="K13" s="5"/>
      <c r="L13" s="9" t="b">
        <f t="shared" si="8"/>
        <v>0</v>
      </c>
      <c r="M13" s="12" t="e">
        <f t="shared" si="0"/>
        <v>#VALUE!</v>
      </c>
      <c r="N13" s="12" t="b">
        <f t="shared" si="1"/>
        <v>0</v>
      </c>
      <c r="O13" s="13" t="e">
        <f t="shared" si="2"/>
        <v>#VALUE!</v>
      </c>
      <c r="P13" s="13" t="b">
        <f t="shared" si="3"/>
        <v>0</v>
      </c>
      <c r="Q13" s="5"/>
      <c r="R13" s="5"/>
      <c r="S13" s="14"/>
      <c r="T13" s="5"/>
      <c r="U13" s="1"/>
      <c r="V13" s="15"/>
      <c r="W13" s="15"/>
    </row>
    <row r="14" spans="1:23">
      <c r="A14" s="5"/>
      <c r="B14" s="4"/>
      <c r="C14" s="5"/>
      <c r="D14" s="5"/>
      <c r="E14" s="5"/>
      <c r="F14" s="7" t="b">
        <f t="shared" si="4"/>
        <v>0</v>
      </c>
      <c r="G14" s="8" t="b">
        <f t="shared" si="5"/>
        <v>0</v>
      </c>
      <c r="H14" s="5"/>
      <c r="I14" s="9" t="b">
        <f t="shared" si="6"/>
        <v>0</v>
      </c>
      <c r="J14" s="8" t="b">
        <f t="shared" si="7"/>
        <v>0</v>
      </c>
      <c r="K14" s="5"/>
      <c r="L14" s="9" t="b">
        <f t="shared" si="8"/>
        <v>0</v>
      </c>
      <c r="M14" s="12" t="e">
        <f t="shared" si="0"/>
        <v>#VALUE!</v>
      </c>
      <c r="N14" s="12" t="b">
        <f t="shared" si="1"/>
        <v>0</v>
      </c>
      <c r="O14" s="13" t="e">
        <f t="shared" si="2"/>
        <v>#VALUE!</v>
      </c>
      <c r="P14" s="13" t="b">
        <f t="shared" si="3"/>
        <v>0</v>
      </c>
      <c r="Q14" s="5"/>
      <c r="R14" s="5"/>
      <c r="S14" s="14"/>
      <c r="T14" s="5"/>
      <c r="U14" s="1"/>
      <c r="V14" s="15"/>
      <c r="W14" s="15"/>
    </row>
    <row r="15" spans="1:23">
      <c r="A15" s="5"/>
      <c r="B15" s="4"/>
      <c r="C15" s="5"/>
      <c r="D15" s="5"/>
      <c r="E15" s="5"/>
      <c r="F15" s="7" t="b">
        <f t="shared" si="4"/>
        <v>0</v>
      </c>
      <c r="G15" s="8" t="b">
        <f t="shared" si="5"/>
        <v>0</v>
      </c>
      <c r="H15" s="5"/>
      <c r="I15" s="9" t="b">
        <f t="shared" si="6"/>
        <v>0</v>
      </c>
      <c r="J15" s="8" t="b">
        <f t="shared" si="7"/>
        <v>0</v>
      </c>
      <c r="K15" s="5"/>
      <c r="L15" s="9" t="b">
        <f t="shared" si="8"/>
        <v>0</v>
      </c>
      <c r="M15" s="12" t="e">
        <f t="shared" si="0"/>
        <v>#VALUE!</v>
      </c>
      <c r="N15" s="12" t="b">
        <f t="shared" si="1"/>
        <v>0</v>
      </c>
      <c r="O15" s="13" t="e">
        <f t="shared" si="2"/>
        <v>#VALUE!</v>
      </c>
      <c r="P15" s="13" t="b">
        <f t="shared" si="3"/>
        <v>0</v>
      </c>
      <c r="Q15" s="5"/>
      <c r="R15" s="5"/>
      <c r="S15" s="14"/>
      <c r="T15" s="5"/>
      <c r="U15" s="1"/>
      <c r="V15" s="15"/>
      <c r="W15" s="15"/>
    </row>
    <row r="16" spans="1:23">
      <c r="A16" s="5"/>
      <c r="B16" s="4"/>
      <c r="C16" s="5"/>
      <c r="D16" s="5"/>
      <c r="E16" s="5"/>
      <c r="F16" s="7" t="b">
        <f t="shared" si="4"/>
        <v>0</v>
      </c>
      <c r="G16" s="8" t="b">
        <f t="shared" si="5"/>
        <v>0</v>
      </c>
      <c r="H16" s="5"/>
      <c r="I16" s="9" t="b">
        <f t="shared" si="6"/>
        <v>0</v>
      </c>
      <c r="J16" s="8" t="b">
        <f t="shared" si="7"/>
        <v>0</v>
      </c>
      <c r="K16" s="5"/>
      <c r="L16" s="9" t="b">
        <f t="shared" si="8"/>
        <v>0</v>
      </c>
      <c r="M16" s="12" t="e">
        <f t="shared" si="0"/>
        <v>#VALUE!</v>
      </c>
      <c r="N16" s="12" t="b">
        <f t="shared" si="1"/>
        <v>0</v>
      </c>
      <c r="O16" s="13" t="e">
        <f t="shared" si="2"/>
        <v>#VALUE!</v>
      </c>
      <c r="P16" s="13" t="b">
        <f t="shared" si="3"/>
        <v>0</v>
      </c>
      <c r="Q16" s="5"/>
      <c r="R16" s="5"/>
      <c r="S16" s="14"/>
      <c r="T16" s="5"/>
      <c r="U16" s="1"/>
      <c r="V16" s="15"/>
      <c r="W16" s="15"/>
    </row>
    <row r="17" spans="1:23">
      <c r="A17" s="5"/>
      <c r="B17" s="4"/>
      <c r="C17" s="5"/>
      <c r="D17" s="5"/>
      <c r="E17" s="5"/>
      <c r="F17" s="7" t="b">
        <f t="shared" si="4"/>
        <v>0</v>
      </c>
      <c r="G17" s="8" t="b">
        <f t="shared" si="5"/>
        <v>0</v>
      </c>
      <c r="H17" s="5"/>
      <c r="I17" s="9" t="b">
        <f t="shared" si="6"/>
        <v>0</v>
      </c>
      <c r="J17" s="8" t="b">
        <f t="shared" si="7"/>
        <v>0</v>
      </c>
      <c r="K17" s="5"/>
      <c r="L17" s="9" t="b">
        <f t="shared" si="8"/>
        <v>0</v>
      </c>
      <c r="M17" s="12" t="e">
        <f t="shared" si="0"/>
        <v>#VALUE!</v>
      </c>
      <c r="N17" s="12" t="b">
        <f t="shared" si="1"/>
        <v>0</v>
      </c>
      <c r="O17" s="13" t="e">
        <f t="shared" si="2"/>
        <v>#VALUE!</v>
      </c>
      <c r="P17" s="13" t="b">
        <f t="shared" si="3"/>
        <v>0</v>
      </c>
      <c r="Q17" s="5"/>
      <c r="R17" s="5"/>
      <c r="S17" s="14"/>
      <c r="T17" s="5"/>
      <c r="U17" s="1"/>
      <c r="V17" s="15"/>
      <c r="W17" s="15"/>
    </row>
    <row r="18" spans="1:23">
      <c r="A18" s="5"/>
      <c r="B18" s="4"/>
      <c r="C18" s="5"/>
      <c r="D18" s="5"/>
      <c r="E18" s="5"/>
      <c r="F18" s="7" t="b">
        <f t="shared" si="4"/>
        <v>0</v>
      </c>
      <c r="G18" s="8" t="b">
        <f t="shared" si="5"/>
        <v>0</v>
      </c>
      <c r="H18" s="5"/>
      <c r="I18" s="9" t="b">
        <f t="shared" si="6"/>
        <v>0</v>
      </c>
      <c r="J18" s="8" t="b">
        <f t="shared" si="7"/>
        <v>0</v>
      </c>
      <c r="K18" s="5"/>
      <c r="L18" s="9" t="b">
        <f t="shared" si="8"/>
        <v>0</v>
      </c>
      <c r="M18" s="12" t="e">
        <f t="shared" si="0"/>
        <v>#VALUE!</v>
      </c>
      <c r="N18" s="12" t="b">
        <f t="shared" si="1"/>
        <v>0</v>
      </c>
      <c r="O18" s="13" t="e">
        <f t="shared" si="2"/>
        <v>#VALUE!</v>
      </c>
      <c r="P18" s="13" t="b">
        <f t="shared" si="3"/>
        <v>0</v>
      </c>
      <c r="Q18" s="5"/>
      <c r="R18" s="5"/>
      <c r="S18" s="14"/>
      <c r="T18" s="5"/>
      <c r="U18" s="1"/>
      <c r="V18" s="15"/>
      <c r="W18" s="15"/>
    </row>
    <row r="19" spans="1:23">
      <c r="A19" s="5"/>
      <c r="B19" s="4"/>
      <c r="C19" s="5"/>
      <c r="D19" s="5"/>
      <c r="E19" s="5"/>
      <c r="F19" s="7" t="b">
        <f t="shared" si="4"/>
        <v>0</v>
      </c>
      <c r="G19" s="8" t="b">
        <f t="shared" si="5"/>
        <v>0</v>
      </c>
      <c r="H19" s="5"/>
      <c r="I19" s="9" t="b">
        <f t="shared" si="6"/>
        <v>0</v>
      </c>
      <c r="J19" s="8" t="b">
        <f t="shared" si="7"/>
        <v>0</v>
      </c>
      <c r="K19" s="5"/>
      <c r="L19" s="9" t="b">
        <f t="shared" si="8"/>
        <v>0</v>
      </c>
      <c r="M19" s="12" t="e">
        <f t="shared" si="0"/>
        <v>#VALUE!</v>
      </c>
      <c r="N19" s="12" t="b">
        <f t="shared" si="1"/>
        <v>0</v>
      </c>
      <c r="O19" s="13" t="e">
        <f t="shared" si="2"/>
        <v>#VALUE!</v>
      </c>
      <c r="P19" s="13" t="b">
        <f t="shared" si="3"/>
        <v>0</v>
      </c>
      <c r="Q19" s="5"/>
      <c r="R19" s="5"/>
      <c r="S19" s="14"/>
      <c r="T19" s="5"/>
      <c r="U19" s="1"/>
      <c r="V19" s="15"/>
      <c r="W19" s="15"/>
    </row>
    <row r="20" spans="1:23">
      <c r="A20" s="5"/>
      <c r="B20" s="4"/>
      <c r="C20" s="5"/>
      <c r="D20" s="5"/>
      <c r="E20" s="5"/>
      <c r="F20" s="7" t="b">
        <f t="shared" si="4"/>
        <v>0</v>
      </c>
      <c r="G20" s="8" t="b">
        <f t="shared" si="5"/>
        <v>0</v>
      </c>
      <c r="H20" s="5"/>
      <c r="I20" s="9" t="b">
        <f t="shared" si="6"/>
        <v>0</v>
      </c>
      <c r="J20" s="8" t="b">
        <f t="shared" si="7"/>
        <v>0</v>
      </c>
      <c r="K20" s="5"/>
      <c r="L20" s="9" t="b">
        <f t="shared" si="8"/>
        <v>0</v>
      </c>
      <c r="M20" s="12" t="e">
        <f t="shared" si="0"/>
        <v>#VALUE!</v>
      </c>
      <c r="N20" s="12" t="b">
        <f t="shared" si="1"/>
        <v>0</v>
      </c>
      <c r="O20" s="13" t="e">
        <f t="shared" si="2"/>
        <v>#VALUE!</v>
      </c>
      <c r="P20" s="13" t="b">
        <f t="shared" si="3"/>
        <v>0</v>
      </c>
      <c r="Q20" s="5"/>
      <c r="R20" s="5"/>
      <c r="S20" s="14"/>
      <c r="T20" s="5"/>
      <c r="U20" s="1"/>
      <c r="V20" s="15"/>
      <c r="W20" s="15"/>
    </row>
    <row r="21" spans="1:23">
      <c r="A21" s="5"/>
      <c r="B21" s="4"/>
      <c r="C21" s="5"/>
      <c r="D21" s="5"/>
      <c r="E21" s="5"/>
      <c r="F21" s="7" t="b">
        <f t="shared" si="4"/>
        <v>0</v>
      </c>
      <c r="G21" s="8" t="b">
        <f t="shared" si="5"/>
        <v>0</v>
      </c>
      <c r="H21" s="5"/>
      <c r="I21" s="9" t="b">
        <f t="shared" si="6"/>
        <v>0</v>
      </c>
      <c r="J21" s="8" t="b">
        <f t="shared" si="7"/>
        <v>0</v>
      </c>
      <c r="K21" s="5"/>
      <c r="L21" s="9" t="b">
        <f t="shared" si="8"/>
        <v>0</v>
      </c>
      <c r="M21" s="12" t="e">
        <f t="shared" si="0"/>
        <v>#VALUE!</v>
      </c>
      <c r="N21" s="12" t="b">
        <f t="shared" si="1"/>
        <v>0</v>
      </c>
      <c r="O21" s="13" t="e">
        <f t="shared" si="2"/>
        <v>#VALUE!</v>
      </c>
      <c r="P21" s="13" t="b">
        <f t="shared" si="3"/>
        <v>0</v>
      </c>
      <c r="Q21" s="5"/>
      <c r="R21" s="5"/>
      <c r="S21" s="14"/>
      <c r="T21" s="5"/>
      <c r="U21" s="1"/>
      <c r="V21" s="15"/>
      <c r="W21" s="15"/>
    </row>
    <row r="22" spans="1:23">
      <c r="A22" s="5"/>
      <c r="B22" s="4"/>
      <c r="C22" s="5"/>
      <c r="D22" s="5"/>
      <c r="E22" s="5"/>
      <c r="F22" s="7" t="b">
        <f t="shared" si="4"/>
        <v>0</v>
      </c>
      <c r="G22" s="8" t="b">
        <f t="shared" si="5"/>
        <v>0</v>
      </c>
      <c r="H22" s="5"/>
      <c r="I22" s="9" t="b">
        <f t="shared" si="6"/>
        <v>0</v>
      </c>
      <c r="J22" s="8" t="b">
        <f t="shared" si="7"/>
        <v>0</v>
      </c>
      <c r="K22" s="5"/>
      <c r="L22" s="9" t="b">
        <f t="shared" si="8"/>
        <v>0</v>
      </c>
      <c r="M22" s="12" t="e">
        <f t="shared" si="0"/>
        <v>#VALUE!</v>
      </c>
      <c r="N22" s="12" t="b">
        <f t="shared" si="1"/>
        <v>0</v>
      </c>
      <c r="O22" s="13" t="e">
        <f t="shared" si="2"/>
        <v>#VALUE!</v>
      </c>
      <c r="P22" s="13" t="b">
        <f t="shared" si="3"/>
        <v>0</v>
      </c>
      <c r="Q22" s="5"/>
      <c r="R22" s="5"/>
      <c r="S22" s="14"/>
      <c r="T22" s="5"/>
      <c r="U22" s="1"/>
      <c r="V22" s="15"/>
      <c r="W22" s="15"/>
    </row>
    <row r="23" spans="1:23">
      <c r="A23" s="5"/>
      <c r="B23" s="4"/>
      <c r="C23" s="5"/>
      <c r="D23" s="5"/>
      <c r="E23" s="5"/>
      <c r="F23" s="7" t="b">
        <f t="shared" si="4"/>
        <v>0</v>
      </c>
      <c r="G23" s="8" t="b">
        <f t="shared" si="5"/>
        <v>0</v>
      </c>
      <c r="H23" s="5"/>
      <c r="I23" s="9" t="b">
        <f t="shared" si="6"/>
        <v>0</v>
      </c>
      <c r="J23" s="8" t="b">
        <f t="shared" si="7"/>
        <v>0</v>
      </c>
      <c r="K23" s="5"/>
      <c r="L23" s="9" t="b">
        <f t="shared" si="8"/>
        <v>0</v>
      </c>
      <c r="M23" s="12" t="e">
        <f t="shared" si="0"/>
        <v>#VALUE!</v>
      </c>
      <c r="N23" s="12" t="b">
        <f t="shared" si="1"/>
        <v>0</v>
      </c>
      <c r="O23" s="13" t="e">
        <f t="shared" si="2"/>
        <v>#VALUE!</v>
      </c>
      <c r="P23" s="13" t="b">
        <f t="shared" si="3"/>
        <v>0</v>
      </c>
      <c r="Q23" s="5"/>
      <c r="R23" s="5"/>
      <c r="S23" s="14"/>
      <c r="T23" s="5"/>
      <c r="U23" s="1"/>
      <c r="V23" s="15"/>
      <c r="W23" s="15"/>
    </row>
    <row r="24" spans="1:23">
      <c r="A24" s="5"/>
      <c r="B24" s="4"/>
      <c r="C24" s="5"/>
      <c r="D24" s="5"/>
      <c r="E24" s="5"/>
      <c r="F24" s="7" t="b">
        <f t="shared" si="4"/>
        <v>0</v>
      </c>
      <c r="G24" s="8" t="b">
        <f t="shared" si="5"/>
        <v>0</v>
      </c>
      <c r="H24" s="5"/>
      <c r="I24" s="9" t="b">
        <f t="shared" si="6"/>
        <v>0</v>
      </c>
      <c r="J24" s="8" t="b">
        <f t="shared" si="7"/>
        <v>0</v>
      </c>
      <c r="K24" s="5"/>
      <c r="L24" s="9" t="b">
        <f t="shared" si="8"/>
        <v>0</v>
      </c>
      <c r="M24" s="12" t="e">
        <f t="shared" si="0"/>
        <v>#VALUE!</v>
      </c>
      <c r="N24" s="12" t="b">
        <f t="shared" si="1"/>
        <v>0</v>
      </c>
      <c r="O24" s="13" t="e">
        <f t="shared" si="2"/>
        <v>#VALUE!</v>
      </c>
      <c r="P24" s="13" t="b">
        <f t="shared" si="3"/>
        <v>0</v>
      </c>
      <c r="Q24" s="5"/>
      <c r="R24" s="5"/>
      <c r="S24" s="14"/>
      <c r="T24" s="5"/>
      <c r="U24" s="1"/>
      <c r="V24" s="15"/>
      <c r="W24" s="15"/>
    </row>
    <row r="25" spans="1:23">
      <c r="A25" s="5"/>
      <c r="B25" s="4"/>
      <c r="C25" s="5"/>
      <c r="D25" s="5"/>
      <c r="E25" s="5"/>
      <c r="F25" s="7" t="b">
        <f t="shared" si="4"/>
        <v>0</v>
      </c>
      <c r="G25" s="8" t="b">
        <f t="shared" si="5"/>
        <v>0</v>
      </c>
      <c r="H25" s="5"/>
      <c r="I25" s="9" t="b">
        <f t="shared" si="6"/>
        <v>0</v>
      </c>
      <c r="J25" s="8" t="b">
        <f t="shared" si="7"/>
        <v>0</v>
      </c>
      <c r="K25" s="5"/>
      <c r="L25" s="9" t="b">
        <f t="shared" si="8"/>
        <v>0</v>
      </c>
      <c r="M25" s="12" t="e">
        <f t="shared" si="0"/>
        <v>#VALUE!</v>
      </c>
      <c r="N25" s="12" t="b">
        <f t="shared" si="1"/>
        <v>0</v>
      </c>
      <c r="O25" s="13" t="e">
        <f t="shared" si="2"/>
        <v>#VALUE!</v>
      </c>
      <c r="P25" s="13" t="b">
        <f t="shared" si="3"/>
        <v>0</v>
      </c>
      <c r="Q25" s="5"/>
      <c r="R25" s="5"/>
      <c r="S25" s="14"/>
      <c r="T25" s="5"/>
      <c r="U25" s="1"/>
      <c r="V25" s="15"/>
      <c r="W25" s="15"/>
    </row>
    <row r="26" spans="1:23">
      <c r="A26" s="5"/>
      <c r="B26" s="4"/>
      <c r="C26" s="5"/>
      <c r="D26" s="5"/>
      <c r="E26" s="5"/>
      <c r="F26" s="7" t="b">
        <f t="shared" si="4"/>
        <v>0</v>
      </c>
      <c r="G26" s="8" t="b">
        <f t="shared" si="5"/>
        <v>0</v>
      </c>
      <c r="H26" s="5"/>
      <c r="I26" s="9" t="b">
        <f t="shared" si="6"/>
        <v>0</v>
      </c>
      <c r="J26" s="8" t="b">
        <f t="shared" si="7"/>
        <v>0</v>
      </c>
      <c r="K26" s="5"/>
      <c r="L26" s="9" t="b">
        <f t="shared" si="8"/>
        <v>0</v>
      </c>
      <c r="M26" s="12" t="e">
        <f t="shared" si="0"/>
        <v>#VALUE!</v>
      </c>
      <c r="N26" s="12" t="b">
        <f t="shared" si="1"/>
        <v>0</v>
      </c>
      <c r="O26" s="13" t="e">
        <f t="shared" si="2"/>
        <v>#VALUE!</v>
      </c>
      <c r="P26" s="13" t="b">
        <f t="shared" si="3"/>
        <v>0</v>
      </c>
      <c r="Q26" s="5"/>
      <c r="R26" s="5"/>
      <c r="S26" s="14"/>
      <c r="T26" s="5"/>
      <c r="U26" s="1"/>
      <c r="V26" s="15"/>
      <c r="W26" s="15"/>
    </row>
    <row r="27" spans="1:23">
      <c r="A27" s="5"/>
      <c r="B27" s="4"/>
      <c r="C27" s="5"/>
      <c r="D27" s="5"/>
      <c r="E27" s="5"/>
      <c r="F27" s="7" t="b">
        <f t="shared" si="4"/>
        <v>0</v>
      </c>
      <c r="G27" s="8" t="b">
        <f t="shared" si="5"/>
        <v>0</v>
      </c>
      <c r="H27" s="5"/>
      <c r="I27" s="9" t="b">
        <f t="shared" si="6"/>
        <v>0</v>
      </c>
      <c r="J27" s="8" t="b">
        <f t="shared" si="7"/>
        <v>0</v>
      </c>
      <c r="K27" s="5"/>
      <c r="L27" s="9" t="b">
        <f t="shared" si="8"/>
        <v>0</v>
      </c>
      <c r="M27" s="12" t="e">
        <f t="shared" si="0"/>
        <v>#VALUE!</v>
      </c>
      <c r="N27" s="12" t="b">
        <f t="shared" si="1"/>
        <v>0</v>
      </c>
      <c r="O27" s="13" t="e">
        <f t="shared" si="2"/>
        <v>#VALUE!</v>
      </c>
      <c r="P27" s="13" t="b">
        <f t="shared" si="3"/>
        <v>0</v>
      </c>
      <c r="Q27" s="5"/>
      <c r="R27" s="5"/>
      <c r="S27" s="14"/>
      <c r="T27" s="5"/>
      <c r="U27" s="1"/>
      <c r="V27" s="15"/>
      <c r="W27" s="15"/>
    </row>
    <row r="28" spans="1:23">
      <c r="A28" s="5"/>
      <c r="B28" s="4"/>
      <c r="C28" s="5"/>
      <c r="D28" s="5"/>
      <c r="E28" s="5"/>
      <c r="F28" s="7" t="b">
        <f t="shared" si="4"/>
        <v>0</v>
      </c>
      <c r="G28" s="8" t="b">
        <f t="shared" si="5"/>
        <v>0</v>
      </c>
      <c r="H28" s="5"/>
      <c r="I28" s="9" t="b">
        <f t="shared" si="6"/>
        <v>0</v>
      </c>
      <c r="J28" s="8" t="b">
        <f t="shared" si="7"/>
        <v>0</v>
      </c>
      <c r="K28" s="5"/>
      <c r="L28" s="9" t="b">
        <f t="shared" si="8"/>
        <v>0</v>
      </c>
      <c r="M28" s="12" t="e">
        <f t="shared" si="0"/>
        <v>#VALUE!</v>
      </c>
      <c r="N28" s="12" t="b">
        <f t="shared" si="1"/>
        <v>0</v>
      </c>
      <c r="O28" s="13" t="e">
        <f t="shared" si="2"/>
        <v>#VALUE!</v>
      </c>
      <c r="P28" s="13" t="b">
        <f t="shared" si="3"/>
        <v>0</v>
      </c>
      <c r="Q28" s="5"/>
      <c r="R28" s="5"/>
      <c r="S28" s="14"/>
      <c r="T28" s="5"/>
      <c r="U28" s="1"/>
      <c r="V28" s="15"/>
      <c r="W28" s="15"/>
    </row>
    <row r="29" spans="1:23">
      <c r="A29" s="5"/>
      <c r="B29" s="4"/>
      <c r="C29" s="5"/>
      <c r="D29" s="5"/>
      <c r="E29" s="5"/>
      <c r="F29" s="7" t="b">
        <f t="shared" si="4"/>
        <v>0</v>
      </c>
      <c r="G29" s="8" t="b">
        <f t="shared" si="5"/>
        <v>0</v>
      </c>
      <c r="H29" s="5"/>
      <c r="I29" s="9" t="b">
        <f t="shared" si="6"/>
        <v>0</v>
      </c>
      <c r="J29" s="8" t="b">
        <f t="shared" si="7"/>
        <v>0</v>
      </c>
      <c r="K29" s="5"/>
      <c r="L29" s="9" t="b">
        <f t="shared" si="8"/>
        <v>0</v>
      </c>
      <c r="M29" s="12" t="e">
        <f t="shared" si="0"/>
        <v>#VALUE!</v>
      </c>
      <c r="N29" s="12" t="b">
        <f t="shared" si="1"/>
        <v>0</v>
      </c>
      <c r="O29" s="13" t="e">
        <f t="shared" si="2"/>
        <v>#VALUE!</v>
      </c>
      <c r="P29" s="13" t="b">
        <f t="shared" si="3"/>
        <v>0</v>
      </c>
      <c r="Q29" s="5"/>
      <c r="R29" s="5"/>
      <c r="S29" s="14"/>
      <c r="T29" s="5"/>
      <c r="U29" s="1"/>
      <c r="V29" s="15"/>
      <c r="W29" s="15"/>
    </row>
    <row r="30" spans="1:23">
      <c r="A30" s="5"/>
      <c r="B30" s="4"/>
      <c r="C30" s="5"/>
      <c r="D30" s="5"/>
      <c r="E30" s="5"/>
      <c r="F30" s="7" t="b">
        <f t="shared" si="4"/>
        <v>0</v>
      </c>
      <c r="G30" s="8" t="b">
        <f t="shared" si="5"/>
        <v>0</v>
      </c>
      <c r="H30" s="5"/>
      <c r="I30" s="9" t="b">
        <f t="shared" si="6"/>
        <v>0</v>
      </c>
      <c r="J30" s="8" t="b">
        <f t="shared" si="7"/>
        <v>0</v>
      </c>
      <c r="K30" s="5"/>
      <c r="L30" s="9" t="b">
        <f t="shared" si="8"/>
        <v>0</v>
      </c>
      <c r="M30" s="12" t="e">
        <f t="shared" si="0"/>
        <v>#VALUE!</v>
      </c>
      <c r="N30" s="12" t="b">
        <f t="shared" si="1"/>
        <v>0</v>
      </c>
      <c r="O30" s="13" t="e">
        <f t="shared" si="2"/>
        <v>#VALUE!</v>
      </c>
      <c r="P30" s="13" t="b">
        <f t="shared" si="3"/>
        <v>0</v>
      </c>
      <c r="Q30" s="5"/>
      <c r="R30" s="5"/>
      <c r="S30" s="14"/>
      <c r="T30" s="5"/>
      <c r="U30" s="1"/>
      <c r="V30" s="15"/>
      <c r="W30" s="15"/>
    </row>
    <row r="31" spans="1:23">
      <c r="A31" s="5"/>
      <c r="B31" s="4"/>
      <c r="C31" s="5"/>
      <c r="D31" s="5"/>
      <c r="E31" s="5"/>
      <c r="F31" s="7" t="b">
        <f t="shared" si="4"/>
        <v>0</v>
      </c>
      <c r="G31" s="8" t="b">
        <f t="shared" si="5"/>
        <v>0</v>
      </c>
      <c r="H31" s="5"/>
      <c r="I31" s="9" t="b">
        <f t="shared" si="6"/>
        <v>0</v>
      </c>
      <c r="J31" s="8" t="b">
        <f t="shared" si="7"/>
        <v>0</v>
      </c>
      <c r="K31" s="5"/>
      <c r="L31" s="9" t="b">
        <f t="shared" si="8"/>
        <v>0</v>
      </c>
      <c r="M31" s="12" t="e">
        <f t="shared" si="0"/>
        <v>#VALUE!</v>
      </c>
      <c r="N31" s="12" t="b">
        <f t="shared" si="1"/>
        <v>0</v>
      </c>
      <c r="O31" s="13" t="e">
        <f t="shared" si="2"/>
        <v>#VALUE!</v>
      </c>
      <c r="P31" s="13" t="b">
        <f t="shared" si="3"/>
        <v>0</v>
      </c>
      <c r="Q31" s="5"/>
      <c r="R31" s="5"/>
      <c r="S31" s="14"/>
      <c r="T31" s="5"/>
      <c r="U31" s="1"/>
      <c r="V31" s="15"/>
      <c r="W31" s="15"/>
    </row>
    <row r="32" spans="1:23">
      <c r="A32" s="5"/>
      <c r="B32" s="4"/>
      <c r="C32" s="5"/>
      <c r="D32" s="5"/>
      <c r="E32" s="5"/>
      <c r="F32" s="7" t="b">
        <f t="shared" si="4"/>
        <v>0</v>
      </c>
      <c r="G32" s="8" t="b">
        <f t="shared" si="5"/>
        <v>0</v>
      </c>
      <c r="H32" s="5"/>
      <c r="I32" s="9" t="b">
        <f t="shared" si="6"/>
        <v>0</v>
      </c>
      <c r="J32" s="8" t="b">
        <f t="shared" si="7"/>
        <v>0</v>
      </c>
      <c r="K32" s="5"/>
      <c r="L32" s="9" t="b">
        <f t="shared" si="8"/>
        <v>0</v>
      </c>
      <c r="M32" s="12" t="e">
        <f t="shared" si="0"/>
        <v>#VALUE!</v>
      </c>
      <c r="N32" s="12" t="b">
        <f t="shared" si="1"/>
        <v>0</v>
      </c>
      <c r="O32" s="13" t="e">
        <f t="shared" si="2"/>
        <v>#VALUE!</v>
      </c>
      <c r="P32" s="13" t="b">
        <f t="shared" si="3"/>
        <v>0</v>
      </c>
      <c r="Q32" s="5"/>
      <c r="R32" s="5"/>
      <c r="S32" s="14"/>
      <c r="T32" s="5"/>
      <c r="U32" s="1"/>
      <c r="V32" s="15"/>
      <c r="W32" s="15"/>
    </row>
    <row r="33" spans="1:23">
      <c r="A33" s="5"/>
      <c r="B33" s="4"/>
      <c r="C33" s="5"/>
      <c r="D33" s="5"/>
      <c r="E33" s="5"/>
      <c r="F33" s="7" t="b">
        <f t="shared" si="4"/>
        <v>0</v>
      </c>
      <c r="G33" s="8" t="b">
        <f t="shared" si="5"/>
        <v>0</v>
      </c>
      <c r="H33" s="5"/>
      <c r="I33" s="9" t="b">
        <f t="shared" si="6"/>
        <v>0</v>
      </c>
      <c r="J33" s="8" t="b">
        <f t="shared" si="7"/>
        <v>0</v>
      </c>
      <c r="K33" s="5"/>
      <c r="L33" s="9" t="b">
        <f t="shared" si="8"/>
        <v>0</v>
      </c>
      <c r="M33" s="12" t="e">
        <f t="shared" si="0"/>
        <v>#VALUE!</v>
      </c>
      <c r="N33" s="12" t="b">
        <f t="shared" si="1"/>
        <v>0</v>
      </c>
      <c r="O33" s="13" t="e">
        <f t="shared" si="2"/>
        <v>#VALUE!</v>
      </c>
      <c r="P33" s="13" t="b">
        <f t="shared" si="3"/>
        <v>0</v>
      </c>
      <c r="Q33" s="5"/>
      <c r="R33" s="5"/>
      <c r="S33" s="14"/>
      <c r="T33" s="5"/>
      <c r="U33" s="1"/>
      <c r="V33" s="15"/>
      <c r="W33" s="15"/>
    </row>
    <row r="34" spans="1:23">
      <c r="A34" s="5"/>
      <c r="B34" s="4"/>
      <c r="C34" s="5"/>
      <c r="D34" s="5"/>
      <c r="E34" s="5"/>
      <c r="F34" s="7" t="b">
        <f t="shared" si="4"/>
        <v>0</v>
      </c>
      <c r="G34" s="8" t="b">
        <f t="shared" si="5"/>
        <v>0</v>
      </c>
      <c r="H34" s="5"/>
      <c r="I34" s="9" t="b">
        <f t="shared" si="6"/>
        <v>0</v>
      </c>
      <c r="J34" s="8" t="b">
        <f t="shared" si="7"/>
        <v>0</v>
      </c>
      <c r="K34" s="5"/>
      <c r="L34" s="9" t="b">
        <f t="shared" si="8"/>
        <v>0</v>
      </c>
      <c r="M34" s="12" t="e">
        <f t="shared" si="0"/>
        <v>#VALUE!</v>
      </c>
      <c r="N34" s="12" t="b">
        <f t="shared" si="1"/>
        <v>0</v>
      </c>
      <c r="O34" s="13" t="e">
        <f t="shared" si="2"/>
        <v>#VALUE!</v>
      </c>
      <c r="P34" s="13" t="b">
        <f t="shared" si="3"/>
        <v>0</v>
      </c>
      <c r="Q34" s="5"/>
      <c r="R34" s="5"/>
      <c r="S34" s="14"/>
      <c r="T34" s="5"/>
      <c r="U34" s="1"/>
      <c r="V34" s="15"/>
      <c r="W34" s="15"/>
    </row>
    <row r="35" spans="1:23">
      <c r="A35" s="5"/>
      <c r="B35" s="4"/>
      <c r="C35" s="5"/>
      <c r="D35" s="5"/>
      <c r="E35" s="5"/>
      <c r="F35" s="7" t="b">
        <f t="shared" si="4"/>
        <v>0</v>
      </c>
      <c r="G35" s="8" t="b">
        <f t="shared" si="5"/>
        <v>0</v>
      </c>
      <c r="H35" s="5"/>
      <c r="I35" s="9" t="b">
        <f t="shared" si="6"/>
        <v>0</v>
      </c>
      <c r="J35" s="8" t="b">
        <f t="shared" si="7"/>
        <v>0</v>
      </c>
      <c r="K35" s="5"/>
      <c r="L35" s="9" t="b">
        <f t="shared" si="8"/>
        <v>0</v>
      </c>
      <c r="M35" s="12" t="e">
        <f t="shared" ref="M35:M66" si="9">MROUND(IF(B35="BUY",MAX(F35,I35),IF(B35="SELL",MIN(F35,I35))),0.1)</f>
        <v>#VALUE!</v>
      </c>
      <c r="N35" s="12" t="b">
        <f t="shared" ref="N35:N66" si="10">IF(B35="BUY",(M35*(1-0.1%)),IF(B35="SELL",(M35*(1+0.1%))))</f>
        <v>0</v>
      </c>
      <c r="O35" s="13" t="e">
        <f t="shared" ref="O35:O66" si="11">MROUND(IF(B35="BUY",MAX(F35,L35),IF(B35="SELL",MIN(F35,L35))),0.1)</f>
        <v>#VALUE!</v>
      </c>
      <c r="P35" s="13" t="b">
        <f t="shared" ref="P35:P66" si="12">IF(B35="BUY",(O35*(1-0.1%)),IF(B35="SELL",(O35*(1+0.1%))))</f>
        <v>0</v>
      </c>
      <c r="Q35" s="5"/>
      <c r="R35" s="5"/>
      <c r="S35" s="14"/>
      <c r="T35" s="5"/>
      <c r="U35" s="1"/>
      <c r="V35" s="15"/>
      <c r="W35" s="15"/>
    </row>
    <row r="36" spans="1:23">
      <c r="A36" s="5"/>
      <c r="B36" s="4"/>
      <c r="C36" s="5"/>
      <c r="D36" s="5"/>
      <c r="E36" s="5"/>
      <c r="F36" s="7" t="b">
        <f t="shared" si="4"/>
        <v>0</v>
      </c>
      <c r="G36" s="8" t="b">
        <f t="shared" si="5"/>
        <v>0</v>
      </c>
      <c r="H36" s="5"/>
      <c r="I36" s="9" t="b">
        <f t="shared" si="6"/>
        <v>0</v>
      </c>
      <c r="J36" s="8" t="b">
        <f t="shared" si="7"/>
        <v>0</v>
      </c>
      <c r="K36" s="5"/>
      <c r="L36" s="9" t="b">
        <f t="shared" si="8"/>
        <v>0</v>
      </c>
      <c r="M36" s="12" t="e">
        <f t="shared" si="9"/>
        <v>#VALUE!</v>
      </c>
      <c r="N36" s="12" t="b">
        <f t="shared" si="10"/>
        <v>0</v>
      </c>
      <c r="O36" s="13" t="e">
        <f t="shared" si="11"/>
        <v>#VALUE!</v>
      </c>
      <c r="P36" s="13" t="b">
        <f t="shared" si="12"/>
        <v>0</v>
      </c>
      <c r="Q36" s="5"/>
      <c r="R36" s="5"/>
      <c r="S36" s="14"/>
      <c r="T36" s="5"/>
      <c r="U36" s="1"/>
      <c r="V36" s="15"/>
      <c r="W36" s="15"/>
    </row>
    <row r="37" spans="1:23">
      <c r="A37" s="5"/>
      <c r="B37" s="4"/>
      <c r="C37" s="5"/>
      <c r="D37" s="5"/>
      <c r="E37" s="5"/>
      <c r="F37" s="7" t="b">
        <f t="shared" si="4"/>
        <v>0</v>
      </c>
      <c r="G37" s="8" t="b">
        <f t="shared" si="5"/>
        <v>0</v>
      </c>
      <c r="H37" s="5"/>
      <c r="I37" s="9" t="b">
        <f t="shared" si="6"/>
        <v>0</v>
      </c>
      <c r="J37" s="8" t="b">
        <f t="shared" si="7"/>
        <v>0</v>
      </c>
      <c r="K37" s="5"/>
      <c r="L37" s="9" t="b">
        <f t="shared" si="8"/>
        <v>0</v>
      </c>
      <c r="M37" s="12" t="e">
        <f t="shared" si="9"/>
        <v>#VALUE!</v>
      </c>
      <c r="N37" s="12" t="b">
        <f t="shared" si="10"/>
        <v>0</v>
      </c>
      <c r="O37" s="13" t="e">
        <f t="shared" si="11"/>
        <v>#VALUE!</v>
      </c>
      <c r="P37" s="13" t="b">
        <f t="shared" si="12"/>
        <v>0</v>
      </c>
      <c r="Q37" s="5"/>
      <c r="R37" s="5"/>
      <c r="S37" s="14"/>
      <c r="T37" s="5"/>
      <c r="U37" s="1"/>
      <c r="V37" s="15"/>
      <c r="W37" s="15"/>
    </row>
    <row r="38" spans="1:23">
      <c r="A38" s="5"/>
      <c r="B38" s="4"/>
      <c r="C38" s="5"/>
      <c r="D38" s="5"/>
      <c r="E38" s="5"/>
      <c r="F38" s="7" t="b">
        <f t="shared" si="4"/>
        <v>0</v>
      </c>
      <c r="G38" s="8" t="b">
        <f t="shared" si="5"/>
        <v>0</v>
      </c>
      <c r="H38" s="5"/>
      <c r="I38" s="9" t="b">
        <f t="shared" si="6"/>
        <v>0</v>
      </c>
      <c r="J38" s="8" t="b">
        <f t="shared" si="7"/>
        <v>0</v>
      </c>
      <c r="K38" s="5"/>
      <c r="L38" s="9" t="b">
        <f t="shared" si="8"/>
        <v>0</v>
      </c>
      <c r="M38" s="12" t="e">
        <f t="shared" si="9"/>
        <v>#VALUE!</v>
      </c>
      <c r="N38" s="12" t="b">
        <f t="shared" si="10"/>
        <v>0</v>
      </c>
      <c r="O38" s="13" t="e">
        <f t="shared" si="11"/>
        <v>#VALUE!</v>
      </c>
      <c r="P38" s="13" t="b">
        <f t="shared" si="12"/>
        <v>0</v>
      </c>
      <c r="Q38" s="5"/>
      <c r="R38" s="5"/>
      <c r="S38" s="14"/>
      <c r="T38" s="5"/>
      <c r="U38" s="1"/>
      <c r="V38" s="15"/>
      <c r="W38" s="15"/>
    </row>
    <row r="39" spans="1:23">
      <c r="A39" s="5"/>
      <c r="B39" s="4"/>
      <c r="C39" s="5"/>
      <c r="D39" s="5"/>
      <c r="E39" s="5"/>
      <c r="F39" s="7" t="b">
        <f t="shared" si="4"/>
        <v>0</v>
      </c>
      <c r="G39" s="8" t="b">
        <f t="shared" si="5"/>
        <v>0</v>
      </c>
      <c r="H39" s="5"/>
      <c r="I39" s="9" t="b">
        <f t="shared" si="6"/>
        <v>0</v>
      </c>
      <c r="J39" s="8" t="b">
        <f t="shared" si="7"/>
        <v>0</v>
      </c>
      <c r="K39" s="5"/>
      <c r="L39" s="9" t="b">
        <f t="shared" si="8"/>
        <v>0</v>
      </c>
      <c r="M39" s="12" t="e">
        <f t="shared" si="9"/>
        <v>#VALUE!</v>
      </c>
      <c r="N39" s="12" t="b">
        <f t="shared" si="10"/>
        <v>0</v>
      </c>
      <c r="O39" s="13" t="e">
        <f t="shared" si="11"/>
        <v>#VALUE!</v>
      </c>
      <c r="P39" s="13" t="b">
        <f t="shared" si="12"/>
        <v>0</v>
      </c>
      <c r="Q39" s="5"/>
      <c r="R39" s="5"/>
      <c r="S39" s="14"/>
      <c r="T39" s="5"/>
      <c r="U39" s="1"/>
      <c r="V39" s="15"/>
      <c r="W39" s="15"/>
    </row>
    <row r="40" spans="1:23">
      <c r="A40" s="5"/>
      <c r="B40" s="4"/>
      <c r="C40" s="5"/>
      <c r="D40" s="5"/>
      <c r="E40" s="5"/>
      <c r="F40" s="7" t="b">
        <f t="shared" si="4"/>
        <v>0</v>
      </c>
      <c r="G40" s="8" t="b">
        <f t="shared" si="5"/>
        <v>0</v>
      </c>
      <c r="H40" s="5"/>
      <c r="I40" s="9" t="b">
        <f t="shared" si="6"/>
        <v>0</v>
      </c>
      <c r="J40" s="8" t="b">
        <f t="shared" si="7"/>
        <v>0</v>
      </c>
      <c r="K40" s="5"/>
      <c r="L40" s="9" t="b">
        <f t="shared" si="8"/>
        <v>0</v>
      </c>
      <c r="M40" s="12" t="e">
        <f t="shared" si="9"/>
        <v>#VALUE!</v>
      </c>
      <c r="N40" s="12" t="b">
        <f t="shared" si="10"/>
        <v>0</v>
      </c>
      <c r="O40" s="13" t="e">
        <f t="shared" si="11"/>
        <v>#VALUE!</v>
      </c>
      <c r="P40" s="13" t="b">
        <f t="shared" si="12"/>
        <v>0</v>
      </c>
      <c r="Q40" s="5"/>
      <c r="R40" s="5"/>
      <c r="S40" s="14"/>
      <c r="T40" s="5"/>
      <c r="U40" s="1"/>
      <c r="V40" s="15"/>
      <c r="W40" s="15"/>
    </row>
    <row r="41" spans="1:23">
      <c r="A41" s="5"/>
      <c r="B41" s="4"/>
      <c r="C41" s="5"/>
      <c r="D41" s="5"/>
      <c r="E41" s="5"/>
      <c r="F41" s="7" t="b">
        <f t="shared" si="4"/>
        <v>0</v>
      </c>
      <c r="G41" s="8" t="b">
        <f t="shared" si="5"/>
        <v>0</v>
      </c>
      <c r="H41" s="5"/>
      <c r="I41" s="9" t="b">
        <f t="shared" si="6"/>
        <v>0</v>
      </c>
      <c r="J41" s="8" t="b">
        <f t="shared" si="7"/>
        <v>0</v>
      </c>
      <c r="K41" s="5"/>
      <c r="L41" s="9" t="b">
        <f t="shared" si="8"/>
        <v>0</v>
      </c>
      <c r="M41" s="12" t="e">
        <f t="shared" si="9"/>
        <v>#VALUE!</v>
      </c>
      <c r="N41" s="12" t="b">
        <f t="shared" si="10"/>
        <v>0</v>
      </c>
      <c r="O41" s="13" t="e">
        <f t="shared" si="11"/>
        <v>#VALUE!</v>
      </c>
      <c r="P41" s="13" t="b">
        <f t="shared" si="12"/>
        <v>0</v>
      </c>
      <c r="Q41" s="5"/>
      <c r="R41" s="5"/>
      <c r="S41" s="14"/>
      <c r="T41" s="5"/>
      <c r="U41" s="1"/>
      <c r="V41" s="15"/>
      <c r="W41" s="15"/>
    </row>
    <row r="42" spans="1:23">
      <c r="A42" s="5"/>
      <c r="B42" s="4"/>
      <c r="C42" s="5"/>
      <c r="D42" s="5"/>
      <c r="E42" s="5"/>
      <c r="F42" s="7" t="b">
        <f t="shared" si="4"/>
        <v>0</v>
      </c>
      <c r="G42" s="8" t="b">
        <f t="shared" si="5"/>
        <v>0</v>
      </c>
      <c r="H42" s="5"/>
      <c r="I42" s="9" t="b">
        <f t="shared" si="6"/>
        <v>0</v>
      </c>
      <c r="J42" s="8" t="b">
        <f t="shared" si="7"/>
        <v>0</v>
      </c>
      <c r="K42" s="5"/>
      <c r="L42" s="9" t="b">
        <f t="shared" si="8"/>
        <v>0</v>
      </c>
      <c r="M42" s="12" t="e">
        <f t="shared" si="9"/>
        <v>#VALUE!</v>
      </c>
      <c r="N42" s="12" t="b">
        <f t="shared" si="10"/>
        <v>0</v>
      </c>
      <c r="O42" s="13" t="e">
        <f t="shared" si="11"/>
        <v>#VALUE!</v>
      </c>
      <c r="P42" s="13" t="b">
        <f t="shared" si="12"/>
        <v>0</v>
      </c>
      <c r="Q42" s="5"/>
      <c r="R42" s="5"/>
      <c r="S42" s="14"/>
      <c r="T42" s="5"/>
      <c r="U42" s="1"/>
      <c r="V42" s="15"/>
      <c r="W42" s="15"/>
    </row>
    <row r="43" spans="1:23">
      <c r="A43" s="5"/>
      <c r="B43" s="4"/>
      <c r="C43" s="5"/>
      <c r="D43" s="5"/>
      <c r="E43" s="5"/>
      <c r="F43" s="7" t="b">
        <f t="shared" si="4"/>
        <v>0</v>
      </c>
      <c r="G43" s="8" t="b">
        <f t="shared" si="5"/>
        <v>0</v>
      </c>
      <c r="H43" s="5"/>
      <c r="I43" s="9" t="b">
        <f t="shared" si="6"/>
        <v>0</v>
      </c>
      <c r="J43" s="8" t="b">
        <f t="shared" si="7"/>
        <v>0</v>
      </c>
      <c r="K43" s="5"/>
      <c r="L43" s="9" t="b">
        <f t="shared" si="8"/>
        <v>0</v>
      </c>
      <c r="M43" s="12" t="e">
        <f t="shared" si="9"/>
        <v>#VALUE!</v>
      </c>
      <c r="N43" s="12" t="b">
        <f t="shared" si="10"/>
        <v>0</v>
      </c>
      <c r="O43" s="13" t="e">
        <f t="shared" si="11"/>
        <v>#VALUE!</v>
      </c>
      <c r="P43" s="13" t="b">
        <f t="shared" si="12"/>
        <v>0</v>
      </c>
      <c r="Q43" s="5"/>
      <c r="R43" s="5"/>
      <c r="S43" s="14"/>
      <c r="T43" s="5"/>
      <c r="U43" s="1"/>
      <c r="V43" s="15"/>
      <c r="W43" s="15"/>
    </row>
    <row r="44" spans="1:23">
      <c r="A44" s="5"/>
      <c r="B44" s="4"/>
      <c r="C44" s="5"/>
      <c r="D44" s="5"/>
      <c r="E44" s="5"/>
      <c r="F44" s="7" t="b">
        <f t="shared" si="4"/>
        <v>0</v>
      </c>
      <c r="G44" s="8" t="b">
        <f t="shared" si="5"/>
        <v>0</v>
      </c>
      <c r="H44" s="5"/>
      <c r="I44" s="9" t="b">
        <f t="shared" si="6"/>
        <v>0</v>
      </c>
      <c r="J44" s="8" t="b">
        <f t="shared" si="7"/>
        <v>0</v>
      </c>
      <c r="K44" s="5"/>
      <c r="L44" s="9" t="b">
        <f t="shared" si="8"/>
        <v>0</v>
      </c>
      <c r="M44" s="12" t="e">
        <f t="shared" si="9"/>
        <v>#VALUE!</v>
      </c>
      <c r="N44" s="12" t="b">
        <f t="shared" si="10"/>
        <v>0</v>
      </c>
      <c r="O44" s="13" t="e">
        <f t="shared" si="11"/>
        <v>#VALUE!</v>
      </c>
      <c r="P44" s="13" t="b">
        <f t="shared" si="12"/>
        <v>0</v>
      </c>
      <c r="Q44" s="5"/>
      <c r="R44" s="5"/>
      <c r="S44" s="14"/>
      <c r="T44" s="5"/>
      <c r="U44" s="1"/>
      <c r="V44" s="15"/>
      <c r="W44" s="15"/>
    </row>
    <row r="45" spans="1:23">
      <c r="A45" s="5"/>
      <c r="B45" s="4"/>
      <c r="C45" s="5"/>
      <c r="D45" s="5"/>
      <c r="E45" s="5"/>
      <c r="F45" s="7" t="b">
        <f t="shared" si="4"/>
        <v>0</v>
      </c>
      <c r="G45" s="8" t="b">
        <f t="shared" si="5"/>
        <v>0</v>
      </c>
      <c r="H45" s="5"/>
      <c r="I45" s="9" t="b">
        <f t="shared" si="6"/>
        <v>0</v>
      </c>
      <c r="J45" s="8" t="b">
        <f t="shared" si="7"/>
        <v>0</v>
      </c>
      <c r="K45" s="5"/>
      <c r="L45" s="9" t="b">
        <f t="shared" si="8"/>
        <v>0</v>
      </c>
      <c r="M45" s="12" t="e">
        <f t="shared" si="9"/>
        <v>#VALUE!</v>
      </c>
      <c r="N45" s="12" t="b">
        <f t="shared" si="10"/>
        <v>0</v>
      </c>
      <c r="O45" s="13" t="e">
        <f t="shared" si="11"/>
        <v>#VALUE!</v>
      </c>
      <c r="P45" s="13" t="b">
        <f t="shared" si="12"/>
        <v>0</v>
      </c>
      <c r="Q45" s="5"/>
      <c r="R45" s="5"/>
      <c r="S45" s="14"/>
      <c r="T45" s="5"/>
      <c r="U45" s="1"/>
      <c r="V45" s="15"/>
      <c r="W45" s="15"/>
    </row>
    <row r="46" spans="1:23">
      <c r="A46" s="5"/>
      <c r="B46" s="4"/>
      <c r="C46" s="5"/>
      <c r="D46" s="5"/>
      <c r="E46" s="5"/>
      <c r="F46" s="7" t="b">
        <f t="shared" si="4"/>
        <v>0</v>
      </c>
      <c r="G46" s="8" t="b">
        <f t="shared" si="5"/>
        <v>0</v>
      </c>
      <c r="H46" s="5"/>
      <c r="I46" s="9" t="b">
        <f t="shared" si="6"/>
        <v>0</v>
      </c>
      <c r="J46" s="8" t="b">
        <f t="shared" si="7"/>
        <v>0</v>
      </c>
      <c r="K46" s="5"/>
      <c r="L46" s="9" t="b">
        <f t="shared" si="8"/>
        <v>0</v>
      </c>
      <c r="M46" s="12" t="e">
        <f t="shared" si="9"/>
        <v>#VALUE!</v>
      </c>
      <c r="N46" s="12" t="b">
        <f t="shared" si="10"/>
        <v>0</v>
      </c>
      <c r="O46" s="13" t="e">
        <f t="shared" si="11"/>
        <v>#VALUE!</v>
      </c>
      <c r="P46" s="13" t="b">
        <f t="shared" si="12"/>
        <v>0</v>
      </c>
      <c r="Q46" s="5"/>
      <c r="R46" s="5"/>
      <c r="S46" s="14"/>
      <c r="T46" s="5"/>
      <c r="U46" s="1"/>
      <c r="V46" s="15"/>
      <c r="W46" s="15"/>
    </row>
    <row r="47" spans="1:23">
      <c r="A47" s="5"/>
      <c r="B47" s="4"/>
      <c r="C47" s="5"/>
      <c r="D47" s="5"/>
      <c r="E47" s="5"/>
      <c r="F47" s="7" t="b">
        <f t="shared" si="4"/>
        <v>0</v>
      </c>
      <c r="G47" s="8" t="b">
        <f t="shared" si="5"/>
        <v>0</v>
      </c>
      <c r="H47" s="5"/>
      <c r="I47" s="9" t="b">
        <f t="shared" si="6"/>
        <v>0</v>
      </c>
      <c r="J47" s="8" t="b">
        <f t="shared" si="7"/>
        <v>0</v>
      </c>
      <c r="K47" s="5"/>
      <c r="L47" s="9" t="b">
        <f t="shared" si="8"/>
        <v>0</v>
      </c>
      <c r="M47" s="12" t="e">
        <f t="shared" si="9"/>
        <v>#VALUE!</v>
      </c>
      <c r="N47" s="12" t="b">
        <f t="shared" si="10"/>
        <v>0</v>
      </c>
      <c r="O47" s="13" t="e">
        <f t="shared" si="11"/>
        <v>#VALUE!</v>
      </c>
      <c r="P47" s="13" t="b">
        <f t="shared" si="12"/>
        <v>0</v>
      </c>
      <c r="Q47" s="5"/>
      <c r="R47" s="5"/>
      <c r="S47" s="14"/>
      <c r="T47" s="5"/>
      <c r="U47" s="1"/>
      <c r="V47" s="15"/>
      <c r="W47" s="15"/>
    </row>
    <row r="48" spans="1:23">
      <c r="A48" s="5"/>
      <c r="B48" s="4"/>
      <c r="C48" s="5"/>
      <c r="D48" s="5"/>
      <c r="E48" s="5"/>
      <c r="F48" s="7" t="b">
        <f t="shared" si="4"/>
        <v>0</v>
      </c>
      <c r="G48" s="8" t="b">
        <f t="shared" si="5"/>
        <v>0</v>
      </c>
      <c r="H48" s="5"/>
      <c r="I48" s="9" t="b">
        <f t="shared" si="6"/>
        <v>0</v>
      </c>
      <c r="J48" s="8" t="b">
        <f t="shared" si="7"/>
        <v>0</v>
      </c>
      <c r="K48" s="5"/>
      <c r="L48" s="9" t="b">
        <f t="shared" si="8"/>
        <v>0</v>
      </c>
      <c r="M48" s="12" t="e">
        <f t="shared" si="9"/>
        <v>#VALUE!</v>
      </c>
      <c r="N48" s="12" t="b">
        <f t="shared" si="10"/>
        <v>0</v>
      </c>
      <c r="O48" s="13" t="e">
        <f t="shared" si="11"/>
        <v>#VALUE!</v>
      </c>
      <c r="P48" s="13" t="b">
        <f t="shared" si="12"/>
        <v>0</v>
      </c>
      <c r="Q48" s="5"/>
      <c r="R48" s="5"/>
      <c r="S48" s="14"/>
      <c r="T48" s="5"/>
      <c r="U48" s="1"/>
      <c r="V48" s="15"/>
      <c r="W48" s="15"/>
    </row>
    <row r="49" spans="1:23">
      <c r="A49" s="5"/>
      <c r="B49" s="4"/>
      <c r="C49" s="5"/>
      <c r="D49" s="5"/>
      <c r="E49" s="5"/>
      <c r="F49" s="7" t="b">
        <f t="shared" si="4"/>
        <v>0</v>
      </c>
      <c r="G49" s="8" t="b">
        <f t="shared" si="5"/>
        <v>0</v>
      </c>
      <c r="H49" s="5"/>
      <c r="I49" s="9" t="b">
        <f t="shared" si="6"/>
        <v>0</v>
      </c>
      <c r="J49" s="8" t="b">
        <f t="shared" si="7"/>
        <v>0</v>
      </c>
      <c r="K49" s="5"/>
      <c r="L49" s="9" t="b">
        <f t="shared" si="8"/>
        <v>0</v>
      </c>
      <c r="M49" s="12" t="e">
        <f t="shared" si="9"/>
        <v>#VALUE!</v>
      </c>
      <c r="N49" s="12" t="b">
        <f t="shared" si="10"/>
        <v>0</v>
      </c>
      <c r="O49" s="13" t="e">
        <f t="shared" si="11"/>
        <v>#VALUE!</v>
      </c>
      <c r="P49" s="13" t="b">
        <f t="shared" si="12"/>
        <v>0</v>
      </c>
      <c r="Q49" s="5"/>
      <c r="R49" s="5"/>
      <c r="S49" s="14"/>
      <c r="T49" s="5"/>
      <c r="U49" s="1"/>
      <c r="V49" s="15"/>
      <c r="W49" s="15"/>
    </row>
    <row r="50" spans="1:23">
      <c r="A50" s="5"/>
      <c r="B50" s="4"/>
      <c r="C50" s="5"/>
      <c r="D50" s="5"/>
      <c r="E50" s="5"/>
      <c r="F50" s="7" t="b">
        <f t="shared" si="4"/>
        <v>0</v>
      </c>
      <c r="G50" s="8" t="b">
        <f t="shared" si="5"/>
        <v>0</v>
      </c>
      <c r="H50" s="5"/>
      <c r="I50" s="9" t="b">
        <f t="shared" si="6"/>
        <v>0</v>
      </c>
      <c r="J50" s="8" t="b">
        <f t="shared" si="7"/>
        <v>0</v>
      </c>
      <c r="K50" s="5"/>
      <c r="L50" s="9" t="b">
        <f t="shared" si="8"/>
        <v>0</v>
      </c>
      <c r="M50" s="12" t="e">
        <f t="shared" si="9"/>
        <v>#VALUE!</v>
      </c>
      <c r="N50" s="12" t="b">
        <f t="shared" si="10"/>
        <v>0</v>
      </c>
      <c r="O50" s="13" t="e">
        <f t="shared" si="11"/>
        <v>#VALUE!</v>
      </c>
      <c r="P50" s="13" t="b">
        <f t="shared" si="12"/>
        <v>0</v>
      </c>
      <c r="Q50" s="5"/>
      <c r="R50" s="5"/>
      <c r="S50" s="14"/>
      <c r="T50" s="5"/>
      <c r="U50" s="1"/>
      <c r="V50" s="15"/>
      <c r="W50" s="15"/>
    </row>
    <row r="51" spans="1:23">
      <c r="A51" s="5"/>
      <c r="B51" s="4"/>
      <c r="C51" s="5"/>
      <c r="D51" s="5"/>
      <c r="E51" s="5"/>
      <c r="F51" s="7" t="b">
        <f t="shared" si="4"/>
        <v>0</v>
      </c>
      <c r="G51" s="8" t="b">
        <f t="shared" si="5"/>
        <v>0</v>
      </c>
      <c r="H51" s="5"/>
      <c r="I51" s="9" t="b">
        <f t="shared" si="6"/>
        <v>0</v>
      </c>
      <c r="J51" s="8" t="b">
        <f t="shared" si="7"/>
        <v>0</v>
      </c>
      <c r="K51" s="5"/>
      <c r="L51" s="9" t="b">
        <f t="shared" si="8"/>
        <v>0</v>
      </c>
      <c r="M51" s="12" t="e">
        <f t="shared" si="9"/>
        <v>#VALUE!</v>
      </c>
      <c r="N51" s="12" t="b">
        <f t="shared" si="10"/>
        <v>0</v>
      </c>
      <c r="O51" s="13" t="e">
        <f t="shared" si="11"/>
        <v>#VALUE!</v>
      </c>
      <c r="P51" s="13" t="b">
        <f t="shared" si="12"/>
        <v>0</v>
      </c>
      <c r="Q51" s="5"/>
      <c r="R51" s="5"/>
      <c r="S51" s="14"/>
      <c r="T51" s="5"/>
      <c r="U51" s="1"/>
      <c r="V51" s="15"/>
      <c r="W51" s="15"/>
    </row>
    <row r="52" spans="1:23">
      <c r="A52" s="5"/>
      <c r="B52" s="4"/>
      <c r="C52" s="5"/>
      <c r="D52" s="5"/>
      <c r="E52" s="5"/>
      <c r="F52" s="7" t="b">
        <f t="shared" si="4"/>
        <v>0</v>
      </c>
      <c r="G52" s="8" t="b">
        <f t="shared" si="5"/>
        <v>0</v>
      </c>
      <c r="H52" s="5"/>
      <c r="I52" s="9" t="b">
        <f t="shared" si="6"/>
        <v>0</v>
      </c>
      <c r="J52" s="8" t="b">
        <f t="shared" si="7"/>
        <v>0</v>
      </c>
      <c r="K52" s="5"/>
      <c r="L52" s="9" t="b">
        <f t="shared" si="8"/>
        <v>0</v>
      </c>
      <c r="M52" s="12" t="e">
        <f t="shared" si="9"/>
        <v>#VALUE!</v>
      </c>
      <c r="N52" s="12" t="b">
        <f t="shared" si="10"/>
        <v>0</v>
      </c>
      <c r="O52" s="13" t="e">
        <f t="shared" si="11"/>
        <v>#VALUE!</v>
      </c>
      <c r="P52" s="13" t="b">
        <f t="shared" si="12"/>
        <v>0</v>
      </c>
      <c r="Q52" s="5"/>
      <c r="R52" s="5"/>
      <c r="S52" s="14"/>
      <c r="T52" s="5"/>
      <c r="U52" s="1"/>
      <c r="V52" s="15"/>
      <c r="W52" s="15"/>
    </row>
    <row r="53" spans="1:23">
      <c r="A53" s="5"/>
      <c r="B53" s="4"/>
      <c r="C53" s="5"/>
      <c r="D53" s="5"/>
      <c r="E53" s="5"/>
      <c r="F53" s="7" t="b">
        <f t="shared" si="4"/>
        <v>0</v>
      </c>
      <c r="G53" s="8" t="b">
        <f t="shared" si="5"/>
        <v>0</v>
      </c>
      <c r="H53" s="5"/>
      <c r="I53" s="9" t="b">
        <f t="shared" si="6"/>
        <v>0</v>
      </c>
      <c r="J53" s="8" t="b">
        <f t="shared" si="7"/>
        <v>0</v>
      </c>
      <c r="K53" s="5"/>
      <c r="L53" s="9" t="b">
        <f t="shared" si="8"/>
        <v>0</v>
      </c>
      <c r="M53" s="12" t="e">
        <f t="shared" si="9"/>
        <v>#VALUE!</v>
      </c>
      <c r="N53" s="12" t="b">
        <f t="shared" si="10"/>
        <v>0</v>
      </c>
      <c r="O53" s="13" t="e">
        <f t="shared" si="11"/>
        <v>#VALUE!</v>
      </c>
      <c r="P53" s="13" t="b">
        <f t="shared" si="12"/>
        <v>0</v>
      </c>
      <c r="Q53" s="5"/>
      <c r="R53" s="5"/>
      <c r="S53" s="14"/>
      <c r="T53" s="5"/>
      <c r="U53" s="1"/>
      <c r="V53" s="15"/>
      <c r="W53" s="15"/>
    </row>
    <row r="54" spans="1:23">
      <c r="A54" s="5"/>
      <c r="B54" s="4"/>
      <c r="C54" s="5"/>
      <c r="D54" s="5"/>
      <c r="E54" s="5"/>
      <c r="F54" s="7" t="b">
        <f t="shared" si="4"/>
        <v>0</v>
      </c>
      <c r="G54" s="8" t="b">
        <f t="shared" si="5"/>
        <v>0</v>
      </c>
      <c r="H54" s="5"/>
      <c r="I54" s="9" t="b">
        <f t="shared" si="6"/>
        <v>0</v>
      </c>
      <c r="J54" s="8" t="b">
        <f t="shared" si="7"/>
        <v>0</v>
      </c>
      <c r="K54" s="5"/>
      <c r="L54" s="9" t="b">
        <f t="shared" si="8"/>
        <v>0</v>
      </c>
      <c r="M54" s="12" t="e">
        <f t="shared" si="9"/>
        <v>#VALUE!</v>
      </c>
      <c r="N54" s="12" t="b">
        <f t="shared" si="10"/>
        <v>0</v>
      </c>
      <c r="O54" s="13" t="e">
        <f t="shared" si="11"/>
        <v>#VALUE!</v>
      </c>
      <c r="P54" s="13" t="b">
        <f t="shared" si="12"/>
        <v>0</v>
      </c>
      <c r="Q54" s="5"/>
      <c r="R54" s="5"/>
      <c r="S54" s="14"/>
      <c r="T54" s="5"/>
      <c r="U54" s="1"/>
      <c r="V54" s="15"/>
      <c r="W54" s="15"/>
    </row>
    <row r="55" spans="1:23">
      <c r="A55" s="5"/>
      <c r="B55" s="4"/>
      <c r="C55" s="5"/>
      <c r="D55" s="5"/>
      <c r="E55" s="5"/>
      <c r="F55" s="7" t="b">
        <f t="shared" si="4"/>
        <v>0</v>
      </c>
      <c r="G55" s="8" t="b">
        <f t="shared" si="5"/>
        <v>0</v>
      </c>
      <c r="H55" s="5"/>
      <c r="I55" s="9" t="b">
        <f t="shared" si="6"/>
        <v>0</v>
      </c>
      <c r="J55" s="8" t="b">
        <f t="shared" si="7"/>
        <v>0</v>
      </c>
      <c r="K55" s="5"/>
      <c r="L55" s="9" t="b">
        <f t="shared" si="8"/>
        <v>0</v>
      </c>
      <c r="M55" s="12" t="e">
        <f t="shared" si="9"/>
        <v>#VALUE!</v>
      </c>
      <c r="N55" s="12" t="b">
        <f t="shared" si="10"/>
        <v>0</v>
      </c>
      <c r="O55" s="13" t="e">
        <f t="shared" si="11"/>
        <v>#VALUE!</v>
      </c>
      <c r="P55" s="13" t="b">
        <f t="shared" si="12"/>
        <v>0</v>
      </c>
      <c r="Q55" s="5"/>
      <c r="R55" s="5"/>
      <c r="S55" s="14"/>
      <c r="T55" s="5"/>
      <c r="U55" s="1"/>
      <c r="V55" s="15"/>
      <c r="W55" s="15"/>
    </row>
    <row r="56" spans="1:23">
      <c r="A56" s="5"/>
      <c r="B56" s="4"/>
      <c r="C56" s="5"/>
      <c r="D56" s="5"/>
      <c r="E56" s="5"/>
      <c r="F56" s="7" t="b">
        <f t="shared" si="4"/>
        <v>0</v>
      </c>
      <c r="G56" s="8" t="b">
        <f t="shared" si="5"/>
        <v>0</v>
      </c>
      <c r="H56" s="5"/>
      <c r="I56" s="9" t="b">
        <f t="shared" si="6"/>
        <v>0</v>
      </c>
      <c r="J56" s="8" t="b">
        <f t="shared" si="7"/>
        <v>0</v>
      </c>
      <c r="K56" s="5"/>
      <c r="L56" s="9" t="b">
        <f t="shared" si="8"/>
        <v>0</v>
      </c>
      <c r="M56" s="12" t="e">
        <f t="shared" si="9"/>
        <v>#VALUE!</v>
      </c>
      <c r="N56" s="12" t="b">
        <f t="shared" si="10"/>
        <v>0</v>
      </c>
      <c r="O56" s="13" t="e">
        <f t="shared" si="11"/>
        <v>#VALUE!</v>
      </c>
      <c r="P56" s="13" t="b">
        <f t="shared" si="12"/>
        <v>0</v>
      </c>
      <c r="Q56" s="5"/>
      <c r="R56" s="5"/>
      <c r="S56" s="14"/>
      <c r="T56" s="5"/>
      <c r="U56" s="1"/>
      <c r="V56" s="15"/>
      <c r="W56" s="15"/>
    </row>
    <row r="57" spans="1:23">
      <c r="A57" s="5"/>
      <c r="B57" s="4"/>
      <c r="C57" s="5"/>
      <c r="D57" s="5"/>
      <c r="E57" s="5"/>
      <c r="F57" s="7" t="b">
        <f t="shared" si="4"/>
        <v>0</v>
      </c>
      <c r="G57" s="8" t="b">
        <f t="shared" si="5"/>
        <v>0</v>
      </c>
      <c r="H57" s="5"/>
      <c r="I57" s="9" t="b">
        <f t="shared" si="6"/>
        <v>0</v>
      </c>
      <c r="J57" s="8" t="b">
        <f t="shared" si="7"/>
        <v>0</v>
      </c>
      <c r="K57" s="5"/>
      <c r="L57" s="9" t="b">
        <f t="shared" si="8"/>
        <v>0</v>
      </c>
      <c r="M57" s="12" t="e">
        <f t="shared" si="9"/>
        <v>#VALUE!</v>
      </c>
      <c r="N57" s="12" t="b">
        <f t="shared" si="10"/>
        <v>0</v>
      </c>
      <c r="O57" s="13" t="e">
        <f t="shared" si="11"/>
        <v>#VALUE!</v>
      </c>
      <c r="P57" s="13" t="b">
        <f t="shared" si="12"/>
        <v>0</v>
      </c>
      <c r="Q57" s="5"/>
      <c r="R57" s="5"/>
      <c r="S57" s="14"/>
      <c r="T57" s="5"/>
      <c r="U57" s="1"/>
      <c r="V57" s="15"/>
      <c r="W57" s="15"/>
    </row>
    <row r="58" spans="1:23">
      <c r="A58" s="5"/>
      <c r="B58" s="4"/>
      <c r="C58" s="5"/>
      <c r="D58" s="5"/>
      <c r="E58" s="5"/>
      <c r="F58" s="7" t="b">
        <f t="shared" si="4"/>
        <v>0</v>
      </c>
      <c r="G58" s="8" t="b">
        <f t="shared" si="5"/>
        <v>0</v>
      </c>
      <c r="H58" s="5"/>
      <c r="I58" s="9" t="b">
        <f t="shared" si="6"/>
        <v>0</v>
      </c>
      <c r="J58" s="8" t="b">
        <f t="shared" si="7"/>
        <v>0</v>
      </c>
      <c r="K58" s="5"/>
      <c r="L58" s="9" t="b">
        <f t="shared" si="8"/>
        <v>0</v>
      </c>
      <c r="M58" s="12" t="e">
        <f t="shared" si="9"/>
        <v>#VALUE!</v>
      </c>
      <c r="N58" s="12" t="b">
        <f t="shared" si="10"/>
        <v>0</v>
      </c>
      <c r="O58" s="13" t="e">
        <f t="shared" si="11"/>
        <v>#VALUE!</v>
      </c>
      <c r="P58" s="13" t="b">
        <f t="shared" si="12"/>
        <v>0</v>
      </c>
      <c r="Q58" s="5"/>
      <c r="R58" s="5"/>
      <c r="S58" s="14"/>
      <c r="T58" s="5"/>
      <c r="U58" s="1"/>
      <c r="V58" s="15"/>
      <c r="W58" s="15"/>
    </row>
    <row r="59" spans="1:23">
      <c r="A59" s="5"/>
      <c r="B59" s="4"/>
      <c r="C59" s="5"/>
      <c r="D59" s="5"/>
      <c r="E59" s="5"/>
      <c r="F59" s="7" t="b">
        <f t="shared" si="4"/>
        <v>0</v>
      </c>
      <c r="G59" s="8" t="b">
        <f t="shared" si="5"/>
        <v>0</v>
      </c>
      <c r="H59" s="5"/>
      <c r="I59" s="9" t="b">
        <f t="shared" si="6"/>
        <v>0</v>
      </c>
      <c r="J59" s="8" t="b">
        <f t="shared" si="7"/>
        <v>0</v>
      </c>
      <c r="K59" s="5"/>
      <c r="L59" s="9" t="b">
        <f t="shared" si="8"/>
        <v>0</v>
      </c>
      <c r="M59" s="12" t="e">
        <f t="shared" si="9"/>
        <v>#VALUE!</v>
      </c>
      <c r="N59" s="12" t="b">
        <f t="shared" si="10"/>
        <v>0</v>
      </c>
      <c r="O59" s="13" t="e">
        <f t="shared" si="11"/>
        <v>#VALUE!</v>
      </c>
      <c r="P59" s="13" t="b">
        <f t="shared" si="12"/>
        <v>0</v>
      </c>
      <c r="Q59" s="5"/>
      <c r="R59" s="5"/>
      <c r="S59" s="14"/>
      <c r="T59" s="5"/>
      <c r="U59" s="1"/>
      <c r="V59" s="15"/>
      <c r="W59" s="15"/>
    </row>
    <row r="60" spans="1:23">
      <c r="A60" s="5"/>
      <c r="B60" s="4"/>
      <c r="C60" s="5"/>
      <c r="D60" s="5"/>
      <c r="E60" s="5"/>
      <c r="F60" s="7" t="b">
        <f t="shared" si="4"/>
        <v>0</v>
      </c>
      <c r="G60" s="8" t="b">
        <f t="shared" si="5"/>
        <v>0</v>
      </c>
      <c r="H60" s="5"/>
      <c r="I60" s="9" t="b">
        <f t="shared" si="6"/>
        <v>0</v>
      </c>
      <c r="J60" s="8" t="b">
        <f t="shared" si="7"/>
        <v>0</v>
      </c>
      <c r="K60" s="5"/>
      <c r="L60" s="9" t="b">
        <f t="shared" si="8"/>
        <v>0</v>
      </c>
      <c r="M60" s="12" t="e">
        <f t="shared" si="9"/>
        <v>#VALUE!</v>
      </c>
      <c r="N60" s="12" t="b">
        <f t="shared" si="10"/>
        <v>0</v>
      </c>
      <c r="O60" s="13" t="e">
        <f t="shared" si="11"/>
        <v>#VALUE!</v>
      </c>
      <c r="P60" s="13" t="b">
        <f t="shared" si="12"/>
        <v>0</v>
      </c>
      <c r="Q60" s="5"/>
      <c r="R60" s="5"/>
      <c r="S60" s="14"/>
      <c r="T60" s="5"/>
      <c r="U60" s="1"/>
      <c r="V60" s="15"/>
      <c r="W60" s="15"/>
    </row>
    <row r="61" spans="1:23">
      <c r="A61" s="5"/>
      <c r="B61" s="4"/>
      <c r="C61" s="5"/>
      <c r="D61" s="5"/>
      <c r="E61" s="5"/>
      <c r="F61" s="7" t="b">
        <f t="shared" si="4"/>
        <v>0</v>
      </c>
      <c r="G61" s="8" t="b">
        <f t="shared" si="5"/>
        <v>0</v>
      </c>
      <c r="H61" s="5"/>
      <c r="I61" s="9" t="b">
        <f t="shared" si="6"/>
        <v>0</v>
      </c>
      <c r="J61" s="8" t="b">
        <f t="shared" si="7"/>
        <v>0</v>
      </c>
      <c r="K61" s="5"/>
      <c r="L61" s="9" t="b">
        <f t="shared" si="8"/>
        <v>0</v>
      </c>
      <c r="M61" s="12" t="e">
        <f t="shared" si="9"/>
        <v>#VALUE!</v>
      </c>
      <c r="N61" s="12" t="b">
        <f t="shared" si="10"/>
        <v>0</v>
      </c>
      <c r="O61" s="13" t="e">
        <f t="shared" si="11"/>
        <v>#VALUE!</v>
      </c>
      <c r="P61" s="13" t="b">
        <f t="shared" si="12"/>
        <v>0</v>
      </c>
      <c r="Q61" s="5"/>
      <c r="R61" s="5"/>
      <c r="S61" s="14"/>
      <c r="T61" s="5"/>
      <c r="U61" s="1"/>
      <c r="V61" s="15"/>
      <c r="W61" s="15"/>
    </row>
    <row r="62" spans="1:23">
      <c r="A62" s="5"/>
      <c r="B62" s="4"/>
      <c r="C62" s="5"/>
      <c r="D62" s="5"/>
      <c r="E62" s="5"/>
      <c r="F62" s="7" t="b">
        <f t="shared" si="4"/>
        <v>0</v>
      </c>
      <c r="G62" s="8" t="b">
        <f t="shared" si="5"/>
        <v>0</v>
      </c>
      <c r="H62" s="5"/>
      <c r="I62" s="9" t="b">
        <f t="shared" si="6"/>
        <v>0</v>
      </c>
      <c r="J62" s="8" t="b">
        <f t="shared" si="7"/>
        <v>0</v>
      </c>
      <c r="K62" s="5"/>
      <c r="L62" s="9" t="b">
        <f t="shared" si="8"/>
        <v>0</v>
      </c>
      <c r="M62" s="12" t="e">
        <f t="shared" si="9"/>
        <v>#VALUE!</v>
      </c>
      <c r="N62" s="12" t="b">
        <f t="shared" si="10"/>
        <v>0</v>
      </c>
      <c r="O62" s="13" t="e">
        <f t="shared" si="11"/>
        <v>#VALUE!</v>
      </c>
      <c r="P62" s="13" t="b">
        <f t="shared" si="12"/>
        <v>0</v>
      </c>
      <c r="Q62" s="5"/>
      <c r="R62" s="5"/>
      <c r="S62" s="14"/>
      <c r="T62" s="5"/>
      <c r="U62" s="1"/>
      <c r="V62" s="15"/>
      <c r="W62" s="15"/>
    </row>
    <row r="63" spans="1:23">
      <c r="A63" s="5"/>
      <c r="B63" s="4"/>
      <c r="C63" s="5"/>
      <c r="D63" s="5"/>
      <c r="E63" s="5"/>
      <c r="F63" s="7" t="b">
        <f t="shared" si="4"/>
        <v>0</v>
      </c>
      <c r="G63" s="8" t="b">
        <f t="shared" si="5"/>
        <v>0</v>
      </c>
      <c r="H63" s="5"/>
      <c r="I63" s="9" t="b">
        <f t="shared" si="6"/>
        <v>0</v>
      </c>
      <c r="J63" s="8" t="b">
        <f t="shared" si="7"/>
        <v>0</v>
      </c>
      <c r="K63" s="5"/>
      <c r="L63" s="9" t="b">
        <f t="shared" si="8"/>
        <v>0</v>
      </c>
      <c r="M63" s="12" t="e">
        <f t="shared" si="9"/>
        <v>#VALUE!</v>
      </c>
      <c r="N63" s="12" t="b">
        <f t="shared" si="10"/>
        <v>0</v>
      </c>
      <c r="O63" s="13" t="e">
        <f t="shared" si="11"/>
        <v>#VALUE!</v>
      </c>
      <c r="P63" s="13" t="b">
        <f t="shared" si="12"/>
        <v>0</v>
      </c>
      <c r="Q63" s="5"/>
      <c r="R63" s="5"/>
      <c r="S63" s="14"/>
      <c r="T63" s="5"/>
      <c r="U63" s="1"/>
      <c r="V63" s="15"/>
      <c r="W63" s="15"/>
    </row>
    <row r="64" spans="1:23">
      <c r="A64" s="5"/>
      <c r="B64" s="4"/>
      <c r="C64" s="5"/>
      <c r="D64" s="5"/>
      <c r="E64" s="5"/>
      <c r="F64" s="7" t="b">
        <f t="shared" si="4"/>
        <v>0</v>
      </c>
      <c r="G64" s="8" t="b">
        <f t="shared" si="5"/>
        <v>0</v>
      </c>
      <c r="H64" s="5"/>
      <c r="I64" s="9" t="b">
        <f t="shared" si="6"/>
        <v>0</v>
      </c>
      <c r="J64" s="8" t="b">
        <f t="shared" si="7"/>
        <v>0</v>
      </c>
      <c r="K64" s="5"/>
      <c r="L64" s="9" t="b">
        <f t="shared" si="8"/>
        <v>0</v>
      </c>
      <c r="M64" s="12" t="e">
        <f t="shared" si="9"/>
        <v>#VALUE!</v>
      </c>
      <c r="N64" s="12" t="b">
        <f t="shared" si="10"/>
        <v>0</v>
      </c>
      <c r="O64" s="13" t="e">
        <f t="shared" si="11"/>
        <v>#VALUE!</v>
      </c>
      <c r="P64" s="13" t="b">
        <f t="shared" si="12"/>
        <v>0</v>
      </c>
      <c r="Q64" s="5"/>
      <c r="R64" s="5"/>
      <c r="S64" s="14"/>
      <c r="T64" s="5"/>
      <c r="U64" s="1"/>
      <c r="V64" s="15"/>
      <c r="W64" s="15"/>
    </row>
    <row r="65" spans="1:23">
      <c r="A65" s="5"/>
      <c r="B65" s="4"/>
      <c r="C65" s="5"/>
      <c r="D65" s="5"/>
      <c r="E65" s="5"/>
      <c r="F65" s="7" t="b">
        <f t="shared" si="4"/>
        <v>0</v>
      </c>
      <c r="G65" s="8" t="b">
        <f t="shared" si="5"/>
        <v>0</v>
      </c>
      <c r="H65" s="5"/>
      <c r="I65" s="9" t="b">
        <f t="shared" si="6"/>
        <v>0</v>
      </c>
      <c r="J65" s="8" t="b">
        <f t="shared" si="7"/>
        <v>0</v>
      </c>
      <c r="K65" s="5"/>
      <c r="L65" s="9" t="b">
        <f t="shared" si="8"/>
        <v>0</v>
      </c>
      <c r="M65" s="12" t="e">
        <f t="shared" si="9"/>
        <v>#VALUE!</v>
      </c>
      <c r="N65" s="12" t="b">
        <f t="shared" si="10"/>
        <v>0</v>
      </c>
      <c r="O65" s="13" t="e">
        <f t="shared" si="11"/>
        <v>#VALUE!</v>
      </c>
      <c r="P65" s="13" t="b">
        <f t="shared" si="12"/>
        <v>0</v>
      </c>
      <c r="Q65" s="5"/>
      <c r="R65" s="5"/>
      <c r="S65" s="14"/>
      <c r="T65" s="5"/>
      <c r="U65" s="1"/>
      <c r="V65" s="15"/>
      <c r="W65" s="15"/>
    </row>
    <row r="66" spans="1:23">
      <c r="A66" s="5"/>
      <c r="B66" s="4"/>
      <c r="C66" s="5"/>
      <c r="D66" s="5"/>
      <c r="E66" s="5"/>
      <c r="F66" s="7" t="b">
        <f t="shared" si="4"/>
        <v>0</v>
      </c>
      <c r="G66" s="8" t="b">
        <f t="shared" si="5"/>
        <v>0</v>
      </c>
      <c r="H66" s="5"/>
      <c r="I66" s="9" t="b">
        <f t="shared" si="6"/>
        <v>0</v>
      </c>
      <c r="J66" s="8" t="b">
        <f t="shared" si="7"/>
        <v>0</v>
      </c>
      <c r="K66" s="5"/>
      <c r="L66" s="9" t="b">
        <f t="shared" si="8"/>
        <v>0</v>
      </c>
      <c r="M66" s="12" t="e">
        <f t="shared" si="9"/>
        <v>#VALUE!</v>
      </c>
      <c r="N66" s="12" t="b">
        <f t="shared" si="10"/>
        <v>0</v>
      </c>
      <c r="O66" s="13" t="e">
        <f t="shared" si="11"/>
        <v>#VALUE!</v>
      </c>
      <c r="P66" s="13" t="b">
        <f t="shared" si="12"/>
        <v>0</v>
      </c>
      <c r="Q66" s="5"/>
      <c r="R66" s="5"/>
      <c r="S66" s="14"/>
      <c r="T66" s="5"/>
      <c r="U66" s="1"/>
      <c r="V66" s="15"/>
      <c r="W66" s="15"/>
    </row>
    <row r="67" spans="1:23">
      <c r="A67" s="5"/>
      <c r="B67" s="4"/>
      <c r="C67" s="5"/>
      <c r="D67" s="5"/>
      <c r="E67" s="5"/>
      <c r="F67" s="7" t="b">
        <f t="shared" si="4"/>
        <v>0</v>
      </c>
      <c r="G67" s="8" t="b">
        <f t="shared" si="5"/>
        <v>0</v>
      </c>
      <c r="H67" s="5"/>
      <c r="I67" s="9" t="b">
        <f t="shared" si="6"/>
        <v>0</v>
      </c>
      <c r="J67" s="8" t="b">
        <f t="shared" si="7"/>
        <v>0</v>
      </c>
      <c r="K67" s="5"/>
      <c r="L67" s="9" t="b">
        <f t="shared" si="8"/>
        <v>0</v>
      </c>
      <c r="M67" s="12" t="e">
        <f t="shared" ref="M67:M101" si="13">MROUND(IF(B67="BUY",MAX(F67,I67),IF(B67="SELL",MIN(F67,I67))),0.1)</f>
        <v>#VALUE!</v>
      </c>
      <c r="N67" s="12" t="b">
        <f t="shared" ref="N67:N98" si="14">IF(B67="BUY",(M67*(1-0.1%)),IF(B67="SELL",(M67*(1+0.1%))))</f>
        <v>0</v>
      </c>
      <c r="O67" s="13" t="e">
        <f t="shared" ref="O67:O101" si="15">MROUND(IF(B67="BUY",MAX(F67,L67),IF(B67="SELL",MIN(F67,L67))),0.1)</f>
        <v>#VALUE!</v>
      </c>
      <c r="P67" s="13" t="b">
        <f t="shared" ref="P67:P98" si="16">IF(B67="BUY",(O67*(1-0.1%)),IF(B67="SELL",(O67*(1+0.1%))))</f>
        <v>0</v>
      </c>
      <c r="Q67" s="5"/>
      <c r="R67" s="5"/>
      <c r="S67" s="14"/>
      <c r="T67" s="5"/>
      <c r="U67" s="1"/>
      <c r="V67" s="15"/>
      <c r="W67" s="15"/>
    </row>
    <row r="68" spans="1:23">
      <c r="A68" s="5"/>
      <c r="B68" s="4"/>
      <c r="C68" s="5"/>
      <c r="D68" s="5"/>
      <c r="E68" s="5"/>
      <c r="F68" s="7" t="b">
        <f t="shared" ref="F68:F101" si="17">IF(B68="BUY",(C68*(1-4%)),IF(B68="SELL",(C68*(1+4%))))</f>
        <v>0</v>
      </c>
      <c r="G68" s="8" t="b">
        <f t="shared" ref="G68:G101" si="18">IF(B68="BUY","2DLL",IF(B68="SELL","2DHH"))</f>
        <v>0</v>
      </c>
      <c r="H68" s="5"/>
      <c r="I68" s="9" t="b">
        <f t="shared" ref="I68:I101" si="19">IF(G68="2DHH",(H68*(1+0.4%)),IF(G68="2DLL",(H68*(1-0.4%))))</f>
        <v>0</v>
      </c>
      <c r="J68" s="8" t="b">
        <f t="shared" ref="J68:J101" si="20">IF(B68="BUY","3DLL",IF(B68="SELL","3DHH"))</f>
        <v>0</v>
      </c>
      <c r="K68" s="5"/>
      <c r="L68" s="9" t="b">
        <f t="shared" ref="L68:L101" si="21">IF(J68="3DHH",(K68*(1+0.4%)),IF(J68="3DLL",(K68*(1-0.4%))))</f>
        <v>0</v>
      </c>
      <c r="M68" s="12" t="e">
        <f t="shared" si="13"/>
        <v>#VALUE!</v>
      </c>
      <c r="N68" s="12" t="b">
        <f t="shared" si="14"/>
        <v>0</v>
      </c>
      <c r="O68" s="13" t="e">
        <f t="shared" si="15"/>
        <v>#VALUE!</v>
      </c>
      <c r="P68" s="13" t="b">
        <f t="shared" si="16"/>
        <v>0</v>
      </c>
      <c r="Q68" s="5"/>
      <c r="R68" s="5"/>
      <c r="S68" s="14"/>
      <c r="T68" s="5"/>
      <c r="U68" s="1"/>
      <c r="V68" s="15"/>
      <c r="W68" s="15"/>
    </row>
    <row r="69" spans="1:23">
      <c r="A69" s="5"/>
      <c r="B69" s="4"/>
      <c r="C69" s="5"/>
      <c r="D69" s="5"/>
      <c r="E69" s="5"/>
      <c r="F69" s="7" t="b">
        <f t="shared" si="17"/>
        <v>0</v>
      </c>
      <c r="G69" s="8" t="b">
        <f t="shared" si="18"/>
        <v>0</v>
      </c>
      <c r="H69" s="5"/>
      <c r="I69" s="9" t="b">
        <f t="shared" si="19"/>
        <v>0</v>
      </c>
      <c r="J69" s="8" t="b">
        <f t="shared" si="20"/>
        <v>0</v>
      </c>
      <c r="K69" s="5"/>
      <c r="L69" s="9" t="b">
        <f t="shared" si="21"/>
        <v>0</v>
      </c>
      <c r="M69" s="12" t="e">
        <f t="shared" si="13"/>
        <v>#VALUE!</v>
      </c>
      <c r="N69" s="12" t="b">
        <f t="shared" si="14"/>
        <v>0</v>
      </c>
      <c r="O69" s="13" t="e">
        <f t="shared" si="15"/>
        <v>#VALUE!</v>
      </c>
      <c r="P69" s="13" t="b">
        <f t="shared" si="16"/>
        <v>0</v>
      </c>
      <c r="Q69" s="5"/>
      <c r="R69" s="5"/>
      <c r="S69" s="14"/>
      <c r="T69" s="5"/>
      <c r="U69" s="1"/>
      <c r="V69" s="15"/>
      <c r="W69" s="15"/>
    </row>
    <row r="70" spans="1:23">
      <c r="A70" s="5"/>
      <c r="B70" s="4"/>
      <c r="C70" s="5"/>
      <c r="D70" s="5"/>
      <c r="E70" s="5"/>
      <c r="F70" s="7" t="b">
        <f t="shared" si="17"/>
        <v>0</v>
      </c>
      <c r="G70" s="8" t="b">
        <f t="shared" si="18"/>
        <v>0</v>
      </c>
      <c r="H70" s="5"/>
      <c r="I70" s="9" t="b">
        <f t="shared" si="19"/>
        <v>0</v>
      </c>
      <c r="J70" s="8" t="b">
        <f t="shared" si="20"/>
        <v>0</v>
      </c>
      <c r="K70" s="5"/>
      <c r="L70" s="9" t="b">
        <f t="shared" si="21"/>
        <v>0</v>
      </c>
      <c r="M70" s="12" t="e">
        <f t="shared" si="13"/>
        <v>#VALUE!</v>
      </c>
      <c r="N70" s="12" t="b">
        <f t="shared" si="14"/>
        <v>0</v>
      </c>
      <c r="O70" s="13" t="e">
        <f t="shared" si="15"/>
        <v>#VALUE!</v>
      </c>
      <c r="P70" s="13" t="b">
        <f t="shared" si="16"/>
        <v>0</v>
      </c>
      <c r="Q70" s="5"/>
      <c r="R70" s="5"/>
      <c r="S70" s="14"/>
      <c r="T70" s="5"/>
      <c r="U70" s="1"/>
      <c r="V70" s="15"/>
      <c r="W70" s="15"/>
    </row>
    <row r="71" spans="1:23">
      <c r="A71" s="5"/>
      <c r="B71" s="4"/>
      <c r="C71" s="5"/>
      <c r="D71" s="5"/>
      <c r="E71" s="5"/>
      <c r="F71" s="7" t="b">
        <f t="shared" si="17"/>
        <v>0</v>
      </c>
      <c r="G71" s="8" t="b">
        <f t="shared" si="18"/>
        <v>0</v>
      </c>
      <c r="H71" s="5"/>
      <c r="I71" s="9" t="b">
        <f t="shared" si="19"/>
        <v>0</v>
      </c>
      <c r="J71" s="8" t="b">
        <f t="shared" si="20"/>
        <v>0</v>
      </c>
      <c r="K71" s="5"/>
      <c r="L71" s="9" t="b">
        <f t="shared" si="21"/>
        <v>0</v>
      </c>
      <c r="M71" s="12" t="e">
        <f t="shared" si="13"/>
        <v>#VALUE!</v>
      </c>
      <c r="N71" s="12" t="b">
        <f t="shared" si="14"/>
        <v>0</v>
      </c>
      <c r="O71" s="13" t="e">
        <f t="shared" si="15"/>
        <v>#VALUE!</v>
      </c>
      <c r="P71" s="13" t="b">
        <f t="shared" si="16"/>
        <v>0</v>
      </c>
      <c r="Q71" s="5"/>
      <c r="R71" s="5"/>
      <c r="S71" s="14"/>
      <c r="T71" s="5"/>
      <c r="U71" s="1"/>
      <c r="V71" s="15"/>
      <c r="W71" s="15"/>
    </row>
    <row r="72" spans="1:23">
      <c r="A72" s="5"/>
      <c r="B72" s="4"/>
      <c r="C72" s="5"/>
      <c r="D72" s="5"/>
      <c r="E72" s="5"/>
      <c r="F72" s="7" t="b">
        <f t="shared" si="17"/>
        <v>0</v>
      </c>
      <c r="G72" s="8" t="b">
        <f t="shared" si="18"/>
        <v>0</v>
      </c>
      <c r="H72" s="5"/>
      <c r="I72" s="9" t="b">
        <f t="shared" si="19"/>
        <v>0</v>
      </c>
      <c r="J72" s="8" t="b">
        <f t="shared" si="20"/>
        <v>0</v>
      </c>
      <c r="K72" s="5"/>
      <c r="L72" s="9" t="b">
        <f t="shared" si="21"/>
        <v>0</v>
      </c>
      <c r="M72" s="12" t="e">
        <f t="shared" si="13"/>
        <v>#VALUE!</v>
      </c>
      <c r="N72" s="12" t="b">
        <f t="shared" si="14"/>
        <v>0</v>
      </c>
      <c r="O72" s="13" t="e">
        <f t="shared" si="15"/>
        <v>#VALUE!</v>
      </c>
      <c r="P72" s="13" t="b">
        <f t="shared" si="16"/>
        <v>0</v>
      </c>
      <c r="Q72" s="5"/>
      <c r="R72" s="5"/>
      <c r="S72" s="14"/>
      <c r="T72" s="5"/>
      <c r="U72" s="1"/>
      <c r="V72" s="15"/>
      <c r="W72" s="15"/>
    </row>
    <row r="73" spans="1:23">
      <c r="A73" s="5"/>
      <c r="B73" s="4"/>
      <c r="C73" s="5"/>
      <c r="D73" s="5"/>
      <c r="E73" s="5"/>
      <c r="F73" s="7" t="b">
        <f t="shared" si="17"/>
        <v>0</v>
      </c>
      <c r="G73" s="8" t="b">
        <f t="shared" si="18"/>
        <v>0</v>
      </c>
      <c r="H73" s="5"/>
      <c r="I73" s="9" t="b">
        <f t="shared" si="19"/>
        <v>0</v>
      </c>
      <c r="J73" s="8" t="b">
        <f t="shared" si="20"/>
        <v>0</v>
      </c>
      <c r="K73" s="5"/>
      <c r="L73" s="9" t="b">
        <f t="shared" si="21"/>
        <v>0</v>
      </c>
      <c r="M73" s="12" t="e">
        <f t="shared" si="13"/>
        <v>#VALUE!</v>
      </c>
      <c r="N73" s="12" t="b">
        <f t="shared" si="14"/>
        <v>0</v>
      </c>
      <c r="O73" s="13" t="e">
        <f t="shared" si="15"/>
        <v>#VALUE!</v>
      </c>
      <c r="P73" s="13" t="b">
        <f t="shared" si="16"/>
        <v>0</v>
      </c>
      <c r="Q73" s="5"/>
      <c r="R73" s="5"/>
      <c r="S73" s="14"/>
      <c r="T73" s="5"/>
      <c r="U73" s="1"/>
      <c r="V73" s="15"/>
      <c r="W73" s="15"/>
    </row>
    <row r="74" spans="1:23">
      <c r="A74" s="5"/>
      <c r="B74" s="4"/>
      <c r="C74" s="5"/>
      <c r="D74" s="5"/>
      <c r="E74" s="5"/>
      <c r="F74" s="7" t="b">
        <f t="shared" si="17"/>
        <v>0</v>
      </c>
      <c r="G74" s="8" t="b">
        <f t="shared" si="18"/>
        <v>0</v>
      </c>
      <c r="H74" s="5"/>
      <c r="I74" s="9" t="b">
        <f t="shared" si="19"/>
        <v>0</v>
      </c>
      <c r="J74" s="8" t="b">
        <f t="shared" si="20"/>
        <v>0</v>
      </c>
      <c r="K74" s="5"/>
      <c r="L74" s="9" t="b">
        <f t="shared" si="21"/>
        <v>0</v>
      </c>
      <c r="M74" s="12" t="e">
        <f t="shared" si="13"/>
        <v>#VALUE!</v>
      </c>
      <c r="N74" s="12" t="b">
        <f t="shared" si="14"/>
        <v>0</v>
      </c>
      <c r="O74" s="13" t="e">
        <f t="shared" si="15"/>
        <v>#VALUE!</v>
      </c>
      <c r="P74" s="13" t="b">
        <f t="shared" si="16"/>
        <v>0</v>
      </c>
      <c r="Q74" s="5"/>
      <c r="R74" s="5"/>
      <c r="S74" s="14"/>
      <c r="T74" s="5"/>
      <c r="U74" s="1"/>
      <c r="V74" s="15"/>
      <c r="W74" s="15"/>
    </row>
    <row r="75" spans="1:23">
      <c r="A75" s="5"/>
      <c r="B75" s="4"/>
      <c r="C75" s="5"/>
      <c r="D75" s="5"/>
      <c r="E75" s="5"/>
      <c r="F75" s="7" t="b">
        <f t="shared" si="17"/>
        <v>0</v>
      </c>
      <c r="G75" s="8" t="b">
        <f t="shared" si="18"/>
        <v>0</v>
      </c>
      <c r="H75" s="5"/>
      <c r="I75" s="9" t="b">
        <f t="shared" si="19"/>
        <v>0</v>
      </c>
      <c r="J75" s="8" t="b">
        <f t="shared" si="20"/>
        <v>0</v>
      </c>
      <c r="K75" s="5"/>
      <c r="L75" s="9" t="b">
        <f t="shared" si="21"/>
        <v>0</v>
      </c>
      <c r="M75" s="12" t="e">
        <f t="shared" si="13"/>
        <v>#VALUE!</v>
      </c>
      <c r="N75" s="12" t="b">
        <f t="shared" si="14"/>
        <v>0</v>
      </c>
      <c r="O75" s="13" t="e">
        <f t="shared" si="15"/>
        <v>#VALUE!</v>
      </c>
      <c r="P75" s="13" t="b">
        <f t="shared" si="16"/>
        <v>0</v>
      </c>
      <c r="Q75" s="5"/>
      <c r="R75" s="5"/>
      <c r="S75" s="14"/>
      <c r="T75" s="5"/>
      <c r="U75" s="1"/>
      <c r="V75" s="15"/>
      <c r="W75" s="15"/>
    </row>
    <row r="76" spans="1:23">
      <c r="A76" s="5"/>
      <c r="B76" s="4"/>
      <c r="C76" s="5"/>
      <c r="D76" s="5"/>
      <c r="E76" s="5"/>
      <c r="F76" s="7" t="b">
        <f t="shared" si="17"/>
        <v>0</v>
      </c>
      <c r="G76" s="8" t="b">
        <f t="shared" si="18"/>
        <v>0</v>
      </c>
      <c r="H76" s="5"/>
      <c r="I76" s="9" t="b">
        <f t="shared" si="19"/>
        <v>0</v>
      </c>
      <c r="J76" s="8" t="b">
        <f t="shared" si="20"/>
        <v>0</v>
      </c>
      <c r="K76" s="5"/>
      <c r="L76" s="9" t="b">
        <f t="shared" si="21"/>
        <v>0</v>
      </c>
      <c r="M76" s="12" t="e">
        <f t="shared" si="13"/>
        <v>#VALUE!</v>
      </c>
      <c r="N76" s="12" t="b">
        <f t="shared" si="14"/>
        <v>0</v>
      </c>
      <c r="O76" s="13" t="e">
        <f t="shared" si="15"/>
        <v>#VALUE!</v>
      </c>
      <c r="P76" s="13" t="b">
        <f t="shared" si="16"/>
        <v>0</v>
      </c>
      <c r="Q76" s="5"/>
      <c r="R76" s="5"/>
      <c r="S76" s="14"/>
      <c r="T76" s="5"/>
      <c r="U76" s="1"/>
      <c r="V76" s="15"/>
      <c r="W76" s="15"/>
    </row>
    <row r="77" spans="1:23">
      <c r="A77" s="5"/>
      <c r="B77" s="4"/>
      <c r="C77" s="5"/>
      <c r="D77" s="5"/>
      <c r="E77" s="5"/>
      <c r="F77" s="7" t="b">
        <f t="shared" si="17"/>
        <v>0</v>
      </c>
      <c r="G77" s="8" t="b">
        <f t="shared" si="18"/>
        <v>0</v>
      </c>
      <c r="H77" s="5"/>
      <c r="I77" s="9" t="b">
        <f t="shared" si="19"/>
        <v>0</v>
      </c>
      <c r="J77" s="8" t="b">
        <f t="shared" si="20"/>
        <v>0</v>
      </c>
      <c r="K77" s="5"/>
      <c r="L77" s="9" t="b">
        <f t="shared" si="21"/>
        <v>0</v>
      </c>
      <c r="M77" s="12" t="e">
        <f t="shared" si="13"/>
        <v>#VALUE!</v>
      </c>
      <c r="N77" s="12" t="b">
        <f t="shared" si="14"/>
        <v>0</v>
      </c>
      <c r="O77" s="13" t="e">
        <f t="shared" si="15"/>
        <v>#VALUE!</v>
      </c>
      <c r="P77" s="13" t="b">
        <f t="shared" si="16"/>
        <v>0</v>
      </c>
      <c r="Q77" s="5"/>
      <c r="R77" s="5"/>
      <c r="S77" s="14"/>
      <c r="T77" s="5"/>
      <c r="U77" s="1"/>
      <c r="V77" s="15"/>
      <c r="W77" s="15"/>
    </row>
    <row r="78" spans="1:23">
      <c r="A78" s="5"/>
      <c r="B78" s="4"/>
      <c r="C78" s="5"/>
      <c r="D78" s="5"/>
      <c r="E78" s="5"/>
      <c r="F78" s="7" t="b">
        <f t="shared" si="17"/>
        <v>0</v>
      </c>
      <c r="G78" s="8" t="b">
        <f t="shared" si="18"/>
        <v>0</v>
      </c>
      <c r="H78" s="5"/>
      <c r="I78" s="9" t="b">
        <f t="shared" si="19"/>
        <v>0</v>
      </c>
      <c r="J78" s="8" t="b">
        <f t="shared" si="20"/>
        <v>0</v>
      </c>
      <c r="K78" s="5"/>
      <c r="L78" s="9" t="b">
        <f t="shared" si="21"/>
        <v>0</v>
      </c>
      <c r="M78" s="12" t="e">
        <f t="shared" si="13"/>
        <v>#VALUE!</v>
      </c>
      <c r="N78" s="12" t="b">
        <f t="shared" si="14"/>
        <v>0</v>
      </c>
      <c r="O78" s="13" t="e">
        <f t="shared" si="15"/>
        <v>#VALUE!</v>
      </c>
      <c r="P78" s="13" t="b">
        <f t="shared" si="16"/>
        <v>0</v>
      </c>
      <c r="Q78" s="5"/>
      <c r="R78" s="5"/>
      <c r="S78" s="14"/>
      <c r="T78" s="5"/>
      <c r="U78" s="1"/>
      <c r="V78" s="15"/>
      <c r="W78" s="15"/>
    </row>
    <row r="79" spans="1:23">
      <c r="A79" s="5"/>
      <c r="B79" s="4"/>
      <c r="C79" s="5"/>
      <c r="D79" s="5"/>
      <c r="E79" s="5"/>
      <c r="F79" s="7" t="b">
        <f t="shared" si="17"/>
        <v>0</v>
      </c>
      <c r="G79" s="8" t="b">
        <f t="shared" si="18"/>
        <v>0</v>
      </c>
      <c r="H79" s="5"/>
      <c r="I79" s="9" t="b">
        <f t="shared" si="19"/>
        <v>0</v>
      </c>
      <c r="J79" s="8" t="b">
        <f t="shared" si="20"/>
        <v>0</v>
      </c>
      <c r="K79" s="5"/>
      <c r="L79" s="9" t="b">
        <f t="shared" si="21"/>
        <v>0</v>
      </c>
      <c r="M79" s="12" t="e">
        <f t="shared" si="13"/>
        <v>#VALUE!</v>
      </c>
      <c r="N79" s="12" t="b">
        <f t="shared" si="14"/>
        <v>0</v>
      </c>
      <c r="O79" s="13" t="e">
        <f t="shared" si="15"/>
        <v>#VALUE!</v>
      </c>
      <c r="P79" s="13" t="b">
        <f t="shared" si="16"/>
        <v>0</v>
      </c>
      <c r="Q79" s="5"/>
      <c r="R79" s="5"/>
      <c r="S79" s="14"/>
      <c r="T79" s="5"/>
      <c r="U79" s="1"/>
      <c r="V79" s="15"/>
      <c r="W79" s="15"/>
    </row>
    <row r="80" spans="1:23">
      <c r="A80" s="5"/>
      <c r="B80" s="4"/>
      <c r="C80" s="5"/>
      <c r="D80" s="5"/>
      <c r="E80" s="5"/>
      <c r="F80" s="7" t="b">
        <f t="shared" si="17"/>
        <v>0</v>
      </c>
      <c r="G80" s="8" t="b">
        <f t="shared" si="18"/>
        <v>0</v>
      </c>
      <c r="H80" s="5"/>
      <c r="I80" s="9" t="b">
        <f t="shared" si="19"/>
        <v>0</v>
      </c>
      <c r="J80" s="8" t="b">
        <f t="shared" si="20"/>
        <v>0</v>
      </c>
      <c r="K80" s="5"/>
      <c r="L80" s="9" t="b">
        <f t="shared" si="21"/>
        <v>0</v>
      </c>
      <c r="M80" s="12" t="e">
        <f t="shared" si="13"/>
        <v>#VALUE!</v>
      </c>
      <c r="N80" s="12" t="b">
        <f t="shared" si="14"/>
        <v>0</v>
      </c>
      <c r="O80" s="13" t="e">
        <f t="shared" si="15"/>
        <v>#VALUE!</v>
      </c>
      <c r="P80" s="13" t="b">
        <f t="shared" si="16"/>
        <v>0</v>
      </c>
      <c r="Q80" s="5"/>
      <c r="R80" s="5"/>
      <c r="S80" s="14"/>
      <c r="T80" s="5"/>
      <c r="U80" s="1"/>
      <c r="V80" s="15"/>
      <c r="W80" s="15"/>
    </row>
    <row r="81" spans="1:23">
      <c r="A81" s="5"/>
      <c r="B81" s="4"/>
      <c r="C81" s="5"/>
      <c r="D81" s="5"/>
      <c r="E81" s="5"/>
      <c r="F81" s="7" t="b">
        <f t="shared" si="17"/>
        <v>0</v>
      </c>
      <c r="G81" s="8" t="b">
        <f t="shared" si="18"/>
        <v>0</v>
      </c>
      <c r="H81" s="5"/>
      <c r="I81" s="9" t="b">
        <f t="shared" si="19"/>
        <v>0</v>
      </c>
      <c r="J81" s="8" t="b">
        <f t="shared" si="20"/>
        <v>0</v>
      </c>
      <c r="K81" s="5"/>
      <c r="L81" s="9" t="b">
        <f t="shared" si="21"/>
        <v>0</v>
      </c>
      <c r="M81" s="12" t="e">
        <f t="shared" si="13"/>
        <v>#VALUE!</v>
      </c>
      <c r="N81" s="12" t="b">
        <f t="shared" si="14"/>
        <v>0</v>
      </c>
      <c r="O81" s="13" t="e">
        <f t="shared" si="15"/>
        <v>#VALUE!</v>
      </c>
      <c r="P81" s="13" t="b">
        <f t="shared" si="16"/>
        <v>0</v>
      </c>
      <c r="Q81" s="5"/>
      <c r="R81" s="5"/>
      <c r="S81" s="14"/>
      <c r="T81" s="5"/>
      <c r="U81" s="1"/>
      <c r="V81" s="15"/>
      <c r="W81" s="15"/>
    </row>
    <row r="82" spans="1:23">
      <c r="A82" s="5"/>
      <c r="B82" s="4"/>
      <c r="C82" s="5"/>
      <c r="D82" s="5"/>
      <c r="E82" s="5"/>
      <c r="F82" s="7" t="b">
        <f t="shared" si="17"/>
        <v>0</v>
      </c>
      <c r="G82" s="8" t="b">
        <f t="shared" si="18"/>
        <v>0</v>
      </c>
      <c r="H82" s="5"/>
      <c r="I82" s="9" t="b">
        <f t="shared" si="19"/>
        <v>0</v>
      </c>
      <c r="J82" s="8" t="b">
        <f t="shared" si="20"/>
        <v>0</v>
      </c>
      <c r="K82" s="5"/>
      <c r="L82" s="9" t="b">
        <f t="shared" si="21"/>
        <v>0</v>
      </c>
      <c r="M82" s="12" t="e">
        <f t="shared" si="13"/>
        <v>#VALUE!</v>
      </c>
      <c r="N82" s="12" t="b">
        <f t="shared" si="14"/>
        <v>0</v>
      </c>
      <c r="O82" s="13" t="e">
        <f t="shared" si="15"/>
        <v>#VALUE!</v>
      </c>
      <c r="P82" s="13" t="b">
        <f t="shared" si="16"/>
        <v>0</v>
      </c>
      <c r="Q82" s="5"/>
      <c r="R82" s="5"/>
      <c r="S82" s="14"/>
      <c r="T82" s="5"/>
      <c r="U82" s="1"/>
      <c r="V82" s="15"/>
      <c r="W82" s="15"/>
    </row>
    <row r="83" spans="1:23">
      <c r="A83" s="5"/>
      <c r="B83" s="4"/>
      <c r="C83" s="5"/>
      <c r="D83" s="5"/>
      <c r="E83" s="5"/>
      <c r="F83" s="7" t="b">
        <f t="shared" si="17"/>
        <v>0</v>
      </c>
      <c r="G83" s="8" t="b">
        <f t="shared" si="18"/>
        <v>0</v>
      </c>
      <c r="H83" s="5"/>
      <c r="I83" s="9" t="b">
        <f t="shared" si="19"/>
        <v>0</v>
      </c>
      <c r="J83" s="8" t="b">
        <f t="shared" si="20"/>
        <v>0</v>
      </c>
      <c r="K83" s="5"/>
      <c r="L83" s="9" t="b">
        <f t="shared" si="21"/>
        <v>0</v>
      </c>
      <c r="M83" s="12" t="e">
        <f t="shared" si="13"/>
        <v>#VALUE!</v>
      </c>
      <c r="N83" s="12" t="b">
        <f t="shared" si="14"/>
        <v>0</v>
      </c>
      <c r="O83" s="13" t="e">
        <f t="shared" si="15"/>
        <v>#VALUE!</v>
      </c>
      <c r="P83" s="13" t="b">
        <f t="shared" si="16"/>
        <v>0</v>
      </c>
      <c r="Q83" s="5"/>
      <c r="R83" s="5"/>
      <c r="S83" s="14"/>
      <c r="T83" s="5"/>
      <c r="U83" s="1"/>
      <c r="V83" s="15"/>
      <c r="W83" s="15"/>
    </row>
    <row r="84" spans="1:23">
      <c r="A84" s="5"/>
      <c r="B84" s="4"/>
      <c r="C84" s="5"/>
      <c r="D84" s="5"/>
      <c r="E84" s="5"/>
      <c r="F84" s="7" t="b">
        <f t="shared" si="17"/>
        <v>0</v>
      </c>
      <c r="G84" s="8" t="b">
        <f t="shared" si="18"/>
        <v>0</v>
      </c>
      <c r="H84" s="5"/>
      <c r="I84" s="9" t="b">
        <f t="shared" si="19"/>
        <v>0</v>
      </c>
      <c r="J84" s="8" t="b">
        <f t="shared" si="20"/>
        <v>0</v>
      </c>
      <c r="K84" s="5"/>
      <c r="L84" s="9" t="b">
        <f t="shared" si="21"/>
        <v>0</v>
      </c>
      <c r="M84" s="12" t="e">
        <f t="shared" si="13"/>
        <v>#VALUE!</v>
      </c>
      <c r="N84" s="12" t="b">
        <f t="shared" si="14"/>
        <v>0</v>
      </c>
      <c r="O84" s="13" t="e">
        <f t="shared" si="15"/>
        <v>#VALUE!</v>
      </c>
      <c r="P84" s="13" t="b">
        <f t="shared" si="16"/>
        <v>0</v>
      </c>
      <c r="Q84" s="5"/>
      <c r="R84" s="5"/>
      <c r="S84" s="14"/>
      <c r="T84" s="5"/>
      <c r="U84" s="1"/>
      <c r="V84" s="15"/>
      <c r="W84" s="15"/>
    </row>
    <row r="85" spans="1:23">
      <c r="A85" s="5"/>
      <c r="B85" s="4"/>
      <c r="C85" s="5"/>
      <c r="D85" s="5"/>
      <c r="E85" s="5"/>
      <c r="F85" s="7" t="b">
        <f t="shared" si="17"/>
        <v>0</v>
      </c>
      <c r="G85" s="8" t="b">
        <f t="shared" si="18"/>
        <v>0</v>
      </c>
      <c r="H85" s="5"/>
      <c r="I85" s="9" t="b">
        <f t="shared" si="19"/>
        <v>0</v>
      </c>
      <c r="J85" s="8" t="b">
        <f t="shared" si="20"/>
        <v>0</v>
      </c>
      <c r="K85" s="5"/>
      <c r="L85" s="9" t="b">
        <f t="shared" si="21"/>
        <v>0</v>
      </c>
      <c r="M85" s="12" t="e">
        <f t="shared" si="13"/>
        <v>#VALUE!</v>
      </c>
      <c r="N85" s="12" t="b">
        <f t="shared" si="14"/>
        <v>0</v>
      </c>
      <c r="O85" s="13" t="e">
        <f t="shared" si="15"/>
        <v>#VALUE!</v>
      </c>
      <c r="P85" s="13" t="b">
        <f t="shared" si="16"/>
        <v>0</v>
      </c>
      <c r="Q85" s="5"/>
      <c r="R85" s="5"/>
      <c r="S85" s="14"/>
      <c r="T85" s="5"/>
      <c r="U85" s="1"/>
      <c r="V85" s="15"/>
      <c r="W85" s="15"/>
    </row>
    <row r="86" spans="1:23">
      <c r="A86" s="5"/>
      <c r="B86" s="4"/>
      <c r="C86" s="5"/>
      <c r="D86" s="5"/>
      <c r="E86" s="5"/>
      <c r="F86" s="7" t="b">
        <f t="shared" si="17"/>
        <v>0</v>
      </c>
      <c r="G86" s="8" t="b">
        <f t="shared" si="18"/>
        <v>0</v>
      </c>
      <c r="H86" s="5"/>
      <c r="I86" s="9" t="b">
        <f t="shared" si="19"/>
        <v>0</v>
      </c>
      <c r="J86" s="8" t="b">
        <f t="shared" si="20"/>
        <v>0</v>
      </c>
      <c r="K86" s="5"/>
      <c r="L86" s="9" t="b">
        <f t="shared" si="21"/>
        <v>0</v>
      </c>
      <c r="M86" s="12" t="e">
        <f t="shared" si="13"/>
        <v>#VALUE!</v>
      </c>
      <c r="N86" s="12" t="b">
        <f t="shared" si="14"/>
        <v>0</v>
      </c>
      <c r="O86" s="13" t="e">
        <f t="shared" si="15"/>
        <v>#VALUE!</v>
      </c>
      <c r="P86" s="13" t="b">
        <f t="shared" si="16"/>
        <v>0</v>
      </c>
      <c r="Q86" s="5"/>
      <c r="R86" s="5"/>
      <c r="S86" s="14"/>
      <c r="T86" s="5"/>
      <c r="U86" s="1"/>
      <c r="V86" s="15"/>
      <c r="W86" s="15"/>
    </row>
    <row r="87" spans="1:23">
      <c r="A87" s="5"/>
      <c r="B87" s="4"/>
      <c r="C87" s="5"/>
      <c r="D87" s="5"/>
      <c r="E87" s="5"/>
      <c r="F87" s="7" t="b">
        <f t="shared" si="17"/>
        <v>0</v>
      </c>
      <c r="G87" s="8" t="b">
        <f t="shared" si="18"/>
        <v>0</v>
      </c>
      <c r="H87" s="5"/>
      <c r="I87" s="9" t="b">
        <f t="shared" si="19"/>
        <v>0</v>
      </c>
      <c r="J87" s="8" t="b">
        <f t="shared" si="20"/>
        <v>0</v>
      </c>
      <c r="K87" s="5"/>
      <c r="L87" s="9" t="b">
        <f t="shared" si="21"/>
        <v>0</v>
      </c>
      <c r="M87" s="12" t="e">
        <f t="shared" si="13"/>
        <v>#VALUE!</v>
      </c>
      <c r="N87" s="12" t="b">
        <f t="shared" si="14"/>
        <v>0</v>
      </c>
      <c r="O87" s="13" t="e">
        <f t="shared" si="15"/>
        <v>#VALUE!</v>
      </c>
      <c r="P87" s="13" t="b">
        <f t="shared" si="16"/>
        <v>0</v>
      </c>
      <c r="Q87" s="5"/>
      <c r="R87" s="5"/>
      <c r="S87" s="14"/>
      <c r="T87" s="5"/>
      <c r="U87" s="1"/>
      <c r="V87" s="15"/>
      <c r="W87" s="15"/>
    </row>
    <row r="88" spans="1:23">
      <c r="A88" s="5"/>
      <c r="B88" s="4"/>
      <c r="C88" s="5"/>
      <c r="D88" s="5"/>
      <c r="E88" s="5"/>
      <c r="F88" s="7" t="b">
        <f t="shared" si="17"/>
        <v>0</v>
      </c>
      <c r="G88" s="8" t="b">
        <f t="shared" si="18"/>
        <v>0</v>
      </c>
      <c r="H88" s="5"/>
      <c r="I88" s="9" t="b">
        <f t="shared" si="19"/>
        <v>0</v>
      </c>
      <c r="J88" s="8" t="b">
        <f t="shared" si="20"/>
        <v>0</v>
      </c>
      <c r="K88" s="5"/>
      <c r="L88" s="9" t="b">
        <f t="shared" si="21"/>
        <v>0</v>
      </c>
      <c r="M88" s="12" t="e">
        <f t="shared" si="13"/>
        <v>#VALUE!</v>
      </c>
      <c r="N88" s="12" t="b">
        <f t="shared" si="14"/>
        <v>0</v>
      </c>
      <c r="O88" s="13" t="e">
        <f t="shared" si="15"/>
        <v>#VALUE!</v>
      </c>
      <c r="P88" s="13" t="b">
        <f t="shared" si="16"/>
        <v>0</v>
      </c>
      <c r="Q88" s="5"/>
      <c r="R88" s="5"/>
      <c r="S88" s="14"/>
      <c r="T88" s="5"/>
      <c r="U88" s="1"/>
      <c r="V88" s="15"/>
      <c r="W88" s="15"/>
    </row>
    <row r="89" spans="1:23">
      <c r="A89" s="5"/>
      <c r="B89" s="4"/>
      <c r="C89" s="5"/>
      <c r="D89" s="5"/>
      <c r="E89" s="5"/>
      <c r="F89" s="7" t="b">
        <f t="shared" si="17"/>
        <v>0</v>
      </c>
      <c r="G89" s="8" t="b">
        <f t="shared" si="18"/>
        <v>0</v>
      </c>
      <c r="H89" s="5"/>
      <c r="I89" s="9" t="b">
        <f t="shared" si="19"/>
        <v>0</v>
      </c>
      <c r="J89" s="8" t="b">
        <f t="shared" si="20"/>
        <v>0</v>
      </c>
      <c r="K89" s="5"/>
      <c r="L89" s="9" t="b">
        <f t="shared" si="21"/>
        <v>0</v>
      </c>
      <c r="M89" s="12" t="e">
        <f t="shared" si="13"/>
        <v>#VALUE!</v>
      </c>
      <c r="N89" s="12" t="b">
        <f t="shared" si="14"/>
        <v>0</v>
      </c>
      <c r="O89" s="13" t="e">
        <f t="shared" si="15"/>
        <v>#VALUE!</v>
      </c>
      <c r="P89" s="13" t="b">
        <f t="shared" si="16"/>
        <v>0</v>
      </c>
      <c r="Q89" s="5"/>
      <c r="R89" s="5"/>
      <c r="S89" s="14"/>
      <c r="T89" s="5"/>
      <c r="U89" s="1"/>
      <c r="V89" s="15"/>
      <c r="W89" s="15"/>
    </row>
    <row r="90" spans="1:23">
      <c r="A90" s="5"/>
      <c r="B90" s="4"/>
      <c r="C90" s="5"/>
      <c r="D90" s="5"/>
      <c r="E90" s="5"/>
      <c r="F90" s="7" t="b">
        <f t="shared" si="17"/>
        <v>0</v>
      </c>
      <c r="G90" s="8" t="b">
        <f t="shared" si="18"/>
        <v>0</v>
      </c>
      <c r="H90" s="5"/>
      <c r="I90" s="9" t="b">
        <f t="shared" si="19"/>
        <v>0</v>
      </c>
      <c r="J90" s="8" t="b">
        <f t="shared" si="20"/>
        <v>0</v>
      </c>
      <c r="K90" s="5"/>
      <c r="L90" s="9" t="b">
        <f t="shared" si="21"/>
        <v>0</v>
      </c>
      <c r="M90" s="12" t="e">
        <f t="shared" si="13"/>
        <v>#VALUE!</v>
      </c>
      <c r="N90" s="12" t="b">
        <f t="shared" si="14"/>
        <v>0</v>
      </c>
      <c r="O90" s="13" t="e">
        <f t="shared" si="15"/>
        <v>#VALUE!</v>
      </c>
      <c r="P90" s="13" t="b">
        <f t="shared" si="16"/>
        <v>0</v>
      </c>
      <c r="Q90" s="5"/>
      <c r="R90" s="5"/>
      <c r="S90" s="14"/>
      <c r="T90" s="5"/>
      <c r="U90" s="1"/>
      <c r="V90" s="15"/>
      <c r="W90" s="15"/>
    </row>
    <row r="91" spans="1:23">
      <c r="A91" s="5"/>
      <c r="B91" s="4"/>
      <c r="C91" s="5"/>
      <c r="D91" s="5"/>
      <c r="E91" s="5"/>
      <c r="F91" s="7" t="b">
        <f t="shared" si="17"/>
        <v>0</v>
      </c>
      <c r="G91" s="8" t="b">
        <f t="shared" si="18"/>
        <v>0</v>
      </c>
      <c r="H91" s="5"/>
      <c r="I91" s="9" t="b">
        <f t="shared" si="19"/>
        <v>0</v>
      </c>
      <c r="J91" s="8" t="b">
        <f t="shared" si="20"/>
        <v>0</v>
      </c>
      <c r="K91" s="5"/>
      <c r="L91" s="9" t="b">
        <f t="shared" si="21"/>
        <v>0</v>
      </c>
      <c r="M91" s="12" t="e">
        <f t="shared" si="13"/>
        <v>#VALUE!</v>
      </c>
      <c r="N91" s="12" t="b">
        <f t="shared" si="14"/>
        <v>0</v>
      </c>
      <c r="O91" s="13" t="e">
        <f t="shared" si="15"/>
        <v>#VALUE!</v>
      </c>
      <c r="P91" s="13" t="b">
        <f t="shared" si="16"/>
        <v>0</v>
      </c>
      <c r="Q91" s="5"/>
      <c r="R91" s="5"/>
      <c r="S91" s="14"/>
      <c r="T91" s="5"/>
      <c r="U91" s="1"/>
      <c r="V91" s="15"/>
      <c r="W91" s="15"/>
    </row>
    <row r="92" spans="1:23">
      <c r="A92" s="5"/>
      <c r="B92" s="4"/>
      <c r="C92" s="5"/>
      <c r="D92" s="5"/>
      <c r="E92" s="5"/>
      <c r="F92" s="7" t="b">
        <f t="shared" si="17"/>
        <v>0</v>
      </c>
      <c r="G92" s="8" t="b">
        <f t="shared" si="18"/>
        <v>0</v>
      </c>
      <c r="H92" s="5"/>
      <c r="I92" s="9" t="b">
        <f t="shared" si="19"/>
        <v>0</v>
      </c>
      <c r="J92" s="8" t="b">
        <f t="shared" si="20"/>
        <v>0</v>
      </c>
      <c r="K92" s="5"/>
      <c r="L92" s="9" t="b">
        <f t="shared" si="21"/>
        <v>0</v>
      </c>
      <c r="M92" s="12" t="e">
        <f t="shared" si="13"/>
        <v>#VALUE!</v>
      </c>
      <c r="N92" s="12" t="b">
        <f t="shared" si="14"/>
        <v>0</v>
      </c>
      <c r="O92" s="13" t="e">
        <f t="shared" si="15"/>
        <v>#VALUE!</v>
      </c>
      <c r="P92" s="13" t="b">
        <f t="shared" si="16"/>
        <v>0</v>
      </c>
      <c r="Q92" s="5"/>
      <c r="R92" s="5"/>
      <c r="S92" s="14"/>
      <c r="T92" s="5"/>
      <c r="U92" s="1"/>
      <c r="V92" s="15"/>
      <c r="W92" s="15"/>
    </row>
    <row r="93" spans="1:23">
      <c r="A93" s="5"/>
      <c r="B93" s="4"/>
      <c r="C93" s="5"/>
      <c r="D93" s="5"/>
      <c r="E93" s="5"/>
      <c r="F93" s="7" t="b">
        <f t="shared" si="17"/>
        <v>0</v>
      </c>
      <c r="G93" s="8" t="b">
        <f t="shared" si="18"/>
        <v>0</v>
      </c>
      <c r="H93" s="5"/>
      <c r="I93" s="9" t="b">
        <f t="shared" si="19"/>
        <v>0</v>
      </c>
      <c r="J93" s="8" t="b">
        <f t="shared" si="20"/>
        <v>0</v>
      </c>
      <c r="K93" s="5"/>
      <c r="L93" s="9" t="b">
        <f t="shared" si="21"/>
        <v>0</v>
      </c>
      <c r="M93" s="12" t="e">
        <f t="shared" si="13"/>
        <v>#VALUE!</v>
      </c>
      <c r="N93" s="12" t="b">
        <f t="shared" si="14"/>
        <v>0</v>
      </c>
      <c r="O93" s="13" t="e">
        <f t="shared" si="15"/>
        <v>#VALUE!</v>
      </c>
      <c r="P93" s="13" t="b">
        <f t="shared" si="16"/>
        <v>0</v>
      </c>
      <c r="Q93" s="5"/>
      <c r="R93" s="5"/>
      <c r="S93" s="14"/>
      <c r="T93" s="5"/>
      <c r="U93" s="1"/>
      <c r="V93" s="15"/>
      <c r="W93" s="15"/>
    </row>
    <row r="94" spans="1:23">
      <c r="A94" s="5"/>
      <c r="B94" s="4"/>
      <c r="C94" s="5"/>
      <c r="D94" s="5"/>
      <c r="E94" s="5"/>
      <c r="F94" s="7" t="b">
        <f t="shared" si="17"/>
        <v>0</v>
      </c>
      <c r="G94" s="8" t="b">
        <f t="shared" si="18"/>
        <v>0</v>
      </c>
      <c r="H94" s="5"/>
      <c r="I94" s="9" t="b">
        <f t="shared" si="19"/>
        <v>0</v>
      </c>
      <c r="J94" s="8" t="b">
        <f t="shared" si="20"/>
        <v>0</v>
      </c>
      <c r="K94" s="5"/>
      <c r="L94" s="9" t="b">
        <f t="shared" si="21"/>
        <v>0</v>
      </c>
      <c r="M94" s="12" t="e">
        <f t="shared" si="13"/>
        <v>#VALUE!</v>
      </c>
      <c r="N94" s="12" t="b">
        <f t="shared" si="14"/>
        <v>0</v>
      </c>
      <c r="O94" s="13" t="e">
        <f t="shared" si="15"/>
        <v>#VALUE!</v>
      </c>
      <c r="P94" s="13" t="b">
        <f t="shared" si="16"/>
        <v>0</v>
      </c>
      <c r="Q94" s="5"/>
      <c r="R94" s="5"/>
      <c r="S94" s="14"/>
      <c r="T94" s="5"/>
      <c r="U94" s="1"/>
      <c r="V94" s="15"/>
      <c r="W94" s="15"/>
    </row>
    <row r="95" spans="1:23">
      <c r="A95" s="5"/>
      <c r="B95" s="4"/>
      <c r="C95" s="5"/>
      <c r="D95" s="5"/>
      <c r="E95" s="5"/>
      <c r="F95" s="7" t="b">
        <f t="shared" si="17"/>
        <v>0</v>
      </c>
      <c r="G95" s="8" t="b">
        <f t="shared" si="18"/>
        <v>0</v>
      </c>
      <c r="H95" s="5"/>
      <c r="I95" s="9" t="b">
        <f t="shared" si="19"/>
        <v>0</v>
      </c>
      <c r="J95" s="8" t="b">
        <f t="shared" si="20"/>
        <v>0</v>
      </c>
      <c r="K95" s="5"/>
      <c r="L95" s="9" t="b">
        <f t="shared" si="21"/>
        <v>0</v>
      </c>
      <c r="M95" s="12" t="e">
        <f t="shared" si="13"/>
        <v>#VALUE!</v>
      </c>
      <c r="N95" s="12" t="b">
        <f t="shared" si="14"/>
        <v>0</v>
      </c>
      <c r="O95" s="13" t="e">
        <f t="shared" si="15"/>
        <v>#VALUE!</v>
      </c>
      <c r="P95" s="13" t="b">
        <f t="shared" si="16"/>
        <v>0</v>
      </c>
      <c r="Q95" s="5"/>
      <c r="R95" s="5"/>
      <c r="S95" s="14"/>
      <c r="T95" s="5"/>
      <c r="U95" s="1"/>
      <c r="V95" s="15"/>
      <c r="W95" s="15"/>
    </row>
    <row r="96" spans="1:23">
      <c r="A96" s="5"/>
      <c r="B96" s="4"/>
      <c r="C96" s="5"/>
      <c r="D96" s="5"/>
      <c r="E96" s="5"/>
      <c r="F96" s="7" t="b">
        <f t="shared" si="17"/>
        <v>0</v>
      </c>
      <c r="G96" s="8" t="b">
        <f t="shared" si="18"/>
        <v>0</v>
      </c>
      <c r="H96" s="5"/>
      <c r="I96" s="9" t="b">
        <f t="shared" si="19"/>
        <v>0</v>
      </c>
      <c r="J96" s="8" t="b">
        <f t="shared" si="20"/>
        <v>0</v>
      </c>
      <c r="K96" s="5"/>
      <c r="L96" s="9" t="b">
        <f t="shared" si="21"/>
        <v>0</v>
      </c>
      <c r="M96" s="12" t="e">
        <f t="shared" si="13"/>
        <v>#VALUE!</v>
      </c>
      <c r="N96" s="12" t="b">
        <f t="shared" si="14"/>
        <v>0</v>
      </c>
      <c r="O96" s="13" t="e">
        <f t="shared" si="15"/>
        <v>#VALUE!</v>
      </c>
      <c r="P96" s="13" t="b">
        <f t="shared" si="16"/>
        <v>0</v>
      </c>
      <c r="Q96" s="5"/>
      <c r="R96" s="5"/>
      <c r="S96" s="14"/>
      <c r="T96" s="5"/>
      <c r="U96" s="1"/>
      <c r="V96" s="15"/>
      <c r="W96" s="15"/>
    </row>
    <row r="97" spans="1:23">
      <c r="A97" s="5"/>
      <c r="B97" s="4"/>
      <c r="C97" s="5"/>
      <c r="D97" s="5"/>
      <c r="E97" s="5"/>
      <c r="F97" s="7" t="b">
        <f t="shared" si="17"/>
        <v>0</v>
      </c>
      <c r="G97" s="8" t="b">
        <f t="shared" si="18"/>
        <v>0</v>
      </c>
      <c r="H97" s="5"/>
      <c r="I97" s="9" t="b">
        <f t="shared" si="19"/>
        <v>0</v>
      </c>
      <c r="J97" s="8" t="b">
        <f t="shared" si="20"/>
        <v>0</v>
      </c>
      <c r="K97" s="5"/>
      <c r="L97" s="9" t="b">
        <f t="shared" si="21"/>
        <v>0</v>
      </c>
      <c r="M97" s="12" t="e">
        <f t="shared" si="13"/>
        <v>#VALUE!</v>
      </c>
      <c r="N97" s="12" t="b">
        <f t="shared" si="14"/>
        <v>0</v>
      </c>
      <c r="O97" s="13" t="e">
        <f t="shared" si="15"/>
        <v>#VALUE!</v>
      </c>
      <c r="P97" s="13" t="b">
        <f t="shared" si="16"/>
        <v>0</v>
      </c>
      <c r="Q97" s="5"/>
      <c r="R97" s="5"/>
      <c r="S97" s="14"/>
      <c r="T97" s="5"/>
      <c r="U97" s="1"/>
      <c r="V97" s="15"/>
      <c r="W97" s="15"/>
    </row>
    <row r="98" spans="1:23">
      <c r="A98" s="5"/>
      <c r="B98" s="4"/>
      <c r="C98" s="5"/>
      <c r="D98" s="5"/>
      <c r="E98" s="5"/>
      <c r="F98" s="7" t="b">
        <f t="shared" si="17"/>
        <v>0</v>
      </c>
      <c r="G98" s="8" t="b">
        <f t="shared" si="18"/>
        <v>0</v>
      </c>
      <c r="H98" s="5"/>
      <c r="I98" s="9" t="b">
        <f t="shared" si="19"/>
        <v>0</v>
      </c>
      <c r="J98" s="8" t="b">
        <f t="shared" si="20"/>
        <v>0</v>
      </c>
      <c r="K98" s="5"/>
      <c r="L98" s="9" t="b">
        <f t="shared" si="21"/>
        <v>0</v>
      </c>
      <c r="M98" s="12" t="e">
        <f t="shared" si="13"/>
        <v>#VALUE!</v>
      </c>
      <c r="N98" s="12" t="b">
        <f t="shared" si="14"/>
        <v>0</v>
      </c>
      <c r="O98" s="13" t="e">
        <f t="shared" si="15"/>
        <v>#VALUE!</v>
      </c>
      <c r="P98" s="13" t="b">
        <f t="shared" si="16"/>
        <v>0</v>
      </c>
      <c r="Q98" s="5"/>
      <c r="R98" s="5"/>
      <c r="S98" s="14"/>
      <c r="T98" s="5"/>
      <c r="U98" s="1"/>
      <c r="V98" s="15"/>
      <c r="W98" s="15"/>
    </row>
    <row r="99" spans="1:23">
      <c r="A99" s="5"/>
      <c r="B99" s="4"/>
      <c r="C99" s="5"/>
      <c r="D99" s="5"/>
      <c r="E99" s="5"/>
      <c r="F99" s="7" t="b">
        <f t="shared" si="17"/>
        <v>0</v>
      </c>
      <c r="G99" s="8" t="b">
        <f t="shared" si="18"/>
        <v>0</v>
      </c>
      <c r="H99" s="5"/>
      <c r="I99" s="9" t="b">
        <f t="shared" si="19"/>
        <v>0</v>
      </c>
      <c r="J99" s="8" t="b">
        <f t="shared" si="20"/>
        <v>0</v>
      </c>
      <c r="K99" s="5"/>
      <c r="L99" s="9" t="b">
        <f t="shared" si="21"/>
        <v>0</v>
      </c>
      <c r="M99" s="12" t="e">
        <f t="shared" si="13"/>
        <v>#VALUE!</v>
      </c>
      <c r="N99" s="12" t="b">
        <f t="shared" ref="N99:N101" si="22">IF(B99="BUY",(M99*(1-0.1%)),IF(B99="SELL",(M99*(1+0.1%))))</f>
        <v>0</v>
      </c>
      <c r="O99" s="13" t="e">
        <f t="shared" si="15"/>
        <v>#VALUE!</v>
      </c>
      <c r="P99" s="13" t="b">
        <f t="shared" ref="P99:P101" si="23">IF(B99="BUY",(O99*(1-0.1%)),IF(B99="SELL",(O99*(1+0.1%))))</f>
        <v>0</v>
      </c>
      <c r="Q99" s="5"/>
      <c r="R99" s="5"/>
      <c r="S99" s="14"/>
      <c r="T99" s="5"/>
      <c r="U99" s="1"/>
      <c r="V99" s="15"/>
      <c r="W99" s="15"/>
    </row>
    <row r="100" spans="1:23">
      <c r="A100" s="5"/>
      <c r="B100" s="4"/>
      <c r="C100" s="5"/>
      <c r="D100" s="5"/>
      <c r="E100" s="5"/>
      <c r="F100" s="7" t="b">
        <f t="shared" si="17"/>
        <v>0</v>
      </c>
      <c r="G100" s="8" t="b">
        <f t="shared" si="18"/>
        <v>0</v>
      </c>
      <c r="H100" s="5"/>
      <c r="I100" s="9" t="b">
        <f t="shared" si="19"/>
        <v>0</v>
      </c>
      <c r="J100" s="8" t="b">
        <f t="shared" si="20"/>
        <v>0</v>
      </c>
      <c r="K100" s="5"/>
      <c r="L100" s="9" t="b">
        <f t="shared" si="21"/>
        <v>0</v>
      </c>
      <c r="M100" s="12" t="e">
        <f t="shared" si="13"/>
        <v>#VALUE!</v>
      </c>
      <c r="N100" s="12" t="b">
        <f t="shared" si="22"/>
        <v>0</v>
      </c>
      <c r="O100" s="13" t="e">
        <f t="shared" si="15"/>
        <v>#VALUE!</v>
      </c>
      <c r="P100" s="13" t="b">
        <f t="shared" si="23"/>
        <v>0</v>
      </c>
      <c r="Q100" s="5"/>
      <c r="R100" s="5"/>
      <c r="S100" s="14"/>
      <c r="T100" s="5"/>
      <c r="U100" s="1"/>
      <c r="V100" s="15"/>
      <c r="W100" s="15"/>
    </row>
    <row r="101" spans="1:23">
      <c r="A101" s="5"/>
      <c r="B101" s="4"/>
      <c r="C101" s="5"/>
      <c r="D101" s="5"/>
      <c r="E101" s="5"/>
      <c r="F101" s="7" t="b">
        <f t="shared" si="17"/>
        <v>0</v>
      </c>
      <c r="G101" s="8" t="b">
        <f t="shared" si="18"/>
        <v>0</v>
      </c>
      <c r="H101" s="5"/>
      <c r="I101" s="9" t="b">
        <f t="shared" si="19"/>
        <v>0</v>
      </c>
      <c r="J101" s="8" t="b">
        <f t="shared" si="20"/>
        <v>0</v>
      </c>
      <c r="K101" s="5"/>
      <c r="L101" s="9" t="b">
        <f t="shared" si="21"/>
        <v>0</v>
      </c>
      <c r="M101" s="12" t="e">
        <f t="shared" si="13"/>
        <v>#VALUE!</v>
      </c>
      <c r="N101" s="12" t="b">
        <f t="shared" si="22"/>
        <v>0</v>
      </c>
      <c r="O101" s="13" t="e">
        <f t="shared" si="15"/>
        <v>#VALUE!</v>
      </c>
      <c r="P101" s="13" t="b">
        <f t="shared" si="23"/>
        <v>0</v>
      </c>
      <c r="Q101" s="5"/>
      <c r="R101" s="5"/>
      <c r="S101" s="14"/>
      <c r="T101" s="5"/>
      <c r="U101" s="1"/>
      <c r="V101" s="15"/>
      <c r="W101" s="15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2" t="s">
        <v>17</v>
      </c>
      <c r="R102" s="22"/>
      <c r="S102" s="23">
        <f>SUM(S3:S101)</f>
        <v>0</v>
      </c>
      <c r="T102" s="1"/>
      <c r="U102" s="1"/>
      <c r="V102" s="15"/>
      <c r="W102" s="15"/>
    </row>
    <row r="103" spans="1:2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2:23">
      <c r="B104" s="16"/>
      <c r="C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2:3">
      <c r="B105" s="16"/>
      <c r="C105" s="16"/>
    </row>
    <row r="106" spans="2:3">
      <c r="B106" s="16"/>
      <c r="C106" s="16"/>
    </row>
    <row r="107" spans="2:3">
      <c r="B107" s="16"/>
      <c r="C107" s="16"/>
    </row>
    <row r="108" spans="1:5">
      <c r="A108" s="17"/>
      <c r="B108" s="18"/>
      <c r="C108" s="18"/>
      <c r="D108" s="17"/>
      <c r="E108" s="17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8Pqzl2jyF+Jc81Pya4mpKR4+LwSih9XRCZ+RWKdxa211eaPuFxNPYgNcJsTLcd4XadY277Tk4WWtqpSG6nC7zQ==" saltValue="TczfHgaimmCxytj7stbEyA==" spinCount="100000" sheet="1" objects="1" scenarios="1"/>
  <mergeCells count="3">
    <mergeCell ref="G1:I1"/>
    <mergeCell ref="J1:L1"/>
    <mergeCell ref="Q102:R102"/>
  </mergeCells>
  <dataValidations count="1">
    <dataValidation type="list" allowBlank="1" showInputMessage="1" showErrorMessage="1" sqref="B3:B101">
      <formula1>$V$1:$V$2</formula1>
    </dataValidation>
  </dataValidations>
  <pageMargins left="0.699305555555556" right="0.699305555555556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5"/>
  <sheetViews>
    <sheetView workbookViewId="0">
      <selection activeCell="G4" sqref="G4"/>
    </sheetView>
  </sheetViews>
  <sheetFormatPr defaultColWidth="9" defaultRowHeight="17.6"/>
  <cols>
    <col min="1" max="1" width="13" customWidth="1"/>
    <col min="2" max="3" width="13.1607142857143" customWidth="1"/>
    <col min="4" max="4" width="13" customWidth="1"/>
    <col min="5" max="5" width="12.6607142857143" customWidth="1"/>
    <col min="6" max="6" width="13" hidden="1" customWidth="1"/>
    <col min="7" max="7" width="12.5" customWidth="1"/>
    <col min="8" max="8" width="13.1607142857143" customWidth="1"/>
    <col min="9" max="9" width="13.5" hidden="1" customWidth="1"/>
    <col min="10" max="10" width="13.8303571428571" customWidth="1"/>
    <col min="11" max="11" width="12.6607142857143" customWidth="1"/>
    <col min="12" max="12" width="13.5" hidden="1" customWidth="1"/>
    <col min="13" max="13" width="13" customWidth="1"/>
    <col min="14" max="14" width="12.5" customWidth="1"/>
    <col min="15" max="15" width="13.3303571428571" customWidth="1"/>
    <col min="16" max="17" width="12.6607142857143" customWidth="1"/>
    <col min="18" max="18" width="12.8303571428571" customWidth="1"/>
    <col min="19" max="19" width="12.5" customWidth="1"/>
    <col min="20" max="20" width="13" customWidth="1"/>
    <col min="22" max="22" width="9" hidden="1" customWidth="1"/>
  </cols>
  <sheetData>
    <row r="1" spans="1:31">
      <c r="A1" s="1"/>
      <c r="B1" s="1"/>
      <c r="C1" s="1"/>
      <c r="D1" s="1"/>
      <c r="E1" s="1"/>
      <c r="F1" s="1"/>
      <c r="G1" s="6" t="s">
        <v>25</v>
      </c>
      <c r="H1" s="6"/>
      <c r="I1" s="6"/>
      <c r="J1" s="6" t="s">
        <v>26</v>
      </c>
      <c r="K1" s="6"/>
      <c r="L1" s="6"/>
      <c r="M1" s="1"/>
      <c r="N1" s="1"/>
      <c r="O1" s="1"/>
      <c r="P1" s="1"/>
      <c r="Q1" s="1"/>
      <c r="R1" s="1"/>
      <c r="S1" s="1"/>
      <c r="T1" s="1"/>
      <c r="U1" s="1"/>
      <c r="V1" s="1" t="s">
        <v>19</v>
      </c>
      <c r="W1" s="15"/>
      <c r="X1" s="15"/>
      <c r="Y1" s="15"/>
      <c r="Z1" s="15"/>
      <c r="AA1" s="15"/>
      <c r="AB1" s="15"/>
      <c r="AC1" s="15"/>
      <c r="AD1" s="15"/>
      <c r="AE1" s="15"/>
    </row>
    <row r="2" spans="1:3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32</v>
      </c>
      <c r="K2" s="2" t="s">
        <v>9</v>
      </c>
      <c r="L2" s="2" t="s">
        <v>10</v>
      </c>
      <c r="M2" s="10" t="s">
        <v>28</v>
      </c>
      <c r="N2" s="10" t="s">
        <v>29</v>
      </c>
      <c r="O2" s="11" t="s">
        <v>30</v>
      </c>
      <c r="P2" s="11" t="s">
        <v>31</v>
      </c>
      <c r="Q2" s="2" t="s">
        <v>15</v>
      </c>
      <c r="R2" s="2" t="s">
        <v>16</v>
      </c>
      <c r="S2" s="2" t="s">
        <v>17</v>
      </c>
      <c r="T2" s="2" t="s">
        <v>18</v>
      </c>
      <c r="U2" s="1"/>
      <c r="V2" s="1" t="s">
        <v>20</v>
      </c>
      <c r="W2" s="15"/>
      <c r="X2" s="15"/>
      <c r="Y2" s="15"/>
      <c r="Z2" s="15"/>
      <c r="AA2" s="15"/>
      <c r="AB2" s="15"/>
      <c r="AC2" s="15"/>
      <c r="AD2" s="15"/>
      <c r="AE2" s="15"/>
    </row>
    <row r="3" spans="1:31">
      <c r="A3" s="3"/>
      <c r="B3" s="4"/>
      <c r="C3" s="5"/>
      <c r="D3" s="5"/>
      <c r="E3" s="5"/>
      <c r="F3" s="7" t="b">
        <f>IF(B3="BUY",(C3*(1-4%)),IF(B3="SELL",(C3*(1+4%))))</f>
        <v>0</v>
      </c>
      <c r="G3" s="8" t="b">
        <f>IF(B3="BUY","2DLL",IF(B3="SELL","2DHH"))</f>
        <v>0</v>
      </c>
      <c r="H3" s="5"/>
      <c r="I3" s="9" t="b">
        <f>IF(G3="2DHH",(H3*(1+0.4%)),IF(G3="2DLL",(H3*(1-0.4%))))</f>
        <v>0</v>
      </c>
      <c r="J3" s="8" t="b">
        <f>IF(B3="BUY","3DLL",IF(B3="SELL","3DHH"))</f>
        <v>0</v>
      </c>
      <c r="K3" s="5"/>
      <c r="L3" s="9" t="b">
        <f>IF(J3="3DHH",(K3*(1+0.4%)),IF(J3="3DLL",(K3*(1-0.4%))))</f>
        <v>0</v>
      </c>
      <c r="M3" s="12" t="e">
        <f t="shared" ref="M3:M34" si="0">MROUND(IF(B3="BUY",MAX(F3,I3),IF(B3="SELL",MIN(F3,I3))),0.1)</f>
        <v>#VALUE!</v>
      </c>
      <c r="N3" s="12" t="b">
        <f t="shared" ref="N3:N34" si="1">IF(B3="BUY",(M3*(1-0.1%)),IF(B3="SELL",(M3*(1+0.1%))))</f>
        <v>0</v>
      </c>
      <c r="O3" s="13" t="e">
        <f t="shared" ref="O3:O34" si="2">MROUND(IF(B3="BUY",MAX(F3,L3),IF(B3="SELL",MIN(F3,L3))),0.1)</f>
        <v>#VALUE!</v>
      </c>
      <c r="P3" s="13" t="b">
        <f t="shared" ref="P3:P34" si="3">IF(B3="BUY",(O3*(1-0.1%)),IF(B3="SELL",(O3*(1+0.1%))))</f>
        <v>0</v>
      </c>
      <c r="Q3" s="5"/>
      <c r="R3" s="5"/>
      <c r="S3" s="14"/>
      <c r="T3" s="5"/>
      <c r="U3" s="1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>
      <c r="A4" s="3"/>
      <c r="B4" s="4"/>
      <c r="C4" s="5"/>
      <c r="D4" s="5"/>
      <c r="E4" s="5"/>
      <c r="F4" s="7" t="b">
        <f t="shared" ref="F4:F67" si="4">IF(B4="BUY",(C4*(1-4%)),IF(B4="SELL",(C4*(1+4%))))</f>
        <v>0</v>
      </c>
      <c r="G4" s="8" t="b">
        <f t="shared" ref="G4:G67" si="5">IF(B4="BUY","2DLL",IF(B4="SELL","2DHH"))</f>
        <v>0</v>
      </c>
      <c r="H4" s="5"/>
      <c r="I4" s="9" t="b">
        <f t="shared" ref="I4:I67" si="6">IF(G4="2DHH",(H4*(1+0.4%)),IF(G4="2DLL",(H4*(1-0.4%))))</f>
        <v>0</v>
      </c>
      <c r="J4" s="8" t="b">
        <f t="shared" ref="J4:J67" si="7">IF(B4="BUY","3DLL",IF(B4="SELL","3DHH"))</f>
        <v>0</v>
      </c>
      <c r="K4" s="5"/>
      <c r="L4" s="9" t="b">
        <f t="shared" ref="L4:L67" si="8">IF(J4="3DHH",(K4*(1+0.4%)),IF(J4="3DLL",(K4*(1-0.4%))))</f>
        <v>0</v>
      </c>
      <c r="M4" s="12" t="e">
        <f t="shared" si="0"/>
        <v>#VALUE!</v>
      </c>
      <c r="N4" s="12" t="b">
        <f t="shared" si="1"/>
        <v>0</v>
      </c>
      <c r="O4" s="13" t="e">
        <f t="shared" si="2"/>
        <v>#VALUE!</v>
      </c>
      <c r="P4" s="13" t="b">
        <f t="shared" si="3"/>
        <v>0</v>
      </c>
      <c r="Q4" s="5"/>
      <c r="R4" s="5"/>
      <c r="S4" s="14"/>
      <c r="T4" s="5"/>
      <c r="U4" s="1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>
      <c r="A5" s="3"/>
      <c r="B5" s="4"/>
      <c r="C5" s="5"/>
      <c r="D5" s="5"/>
      <c r="E5" s="5"/>
      <c r="F5" s="7" t="b">
        <f t="shared" si="4"/>
        <v>0</v>
      </c>
      <c r="G5" s="8" t="b">
        <f t="shared" si="5"/>
        <v>0</v>
      </c>
      <c r="H5" s="5"/>
      <c r="I5" s="9" t="b">
        <f t="shared" si="6"/>
        <v>0</v>
      </c>
      <c r="J5" s="8" t="b">
        <f t="shared" si="7"/>
        <v>0</v>
      </c>
      <c r="K5" s="5"/>
      <c r="L5" s="9" t="b">
        <f t="shared" si="8"/>
        <v>0</v>
      </c>
      <c r="M5" s="12" t="e">
        <f t="shared" si="0"/>
        <v>#VALUE!</v>
      </c>
      <c r="N5" s="12" t="b">
        <f t="shared" si="1"/>
        <v>0</v>
      </c>
      <c r="O5" s="13" t="e">
        <f t="shared" si="2"/>
        <v>#VALUE!</v>
      </c>
      <c r="P5" s="13" t="b">
        <f t="shared" si="3"/>
        <v>0</v>
      </c>
      <c r="Q5" s="5"/>
      <c r="R5" s="5"/>
      <c r="S5" s="14"/>
      <c r="T5" s="5"/>
      <c r="U5" s="1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>
      <c r="A6" s="3"/>
      <c r="B6" s="4"/>
      <c r="C6" s="5"/>
      <c r="D6" s="5"/>
      <c r="E6" s="5"/>
      <c r="F6" s="7" t="b">
        <f t="shared" si="4"/>
        <v>0</v>
      </c>
      <c r="G6" s="8" t="b">
        <f t="shared" si="5"/>
        <v>0</v>
      </c>
      <c r="H6" s="5"/>
      <c r="I6" s="9" t="b">
        <f t="shared" si="6"/>
        <v>0</v>
      </c>
      <c r="J6" s="8" t="b">
        <f t="shared" si="7"/>
        <v>0</v>
      </c>
      <c r="K6" s="5"/>
      <c r="L6" s="9" t="b">
        <f t="shared" si="8"/>
        <v>0</v>
      </c>
      <c r="M6" s="12" t="e">
        <f t="shared" si="0"/>
        <v>#VALUE!</v>
      </c>
      <c r="N6" s="12" t="b">
        <f t="shared" si="1"/>
        <v>0</v>
      </c>
      <c r="O6" s="13" t="e">
        <f t="shared" si="2"/>
        <v>#VALUE!</v>
      </c>
      <c r="P6" s="13" t="b">
        <f t="shared" si="3"/>
        <v>0</v>
      </c>
      <c r="Q6" s="5"/>
      <c r="R6" s="5"/>
      <c r="S6" s="14"/>
      <c r="T6" s="5"/>
      <c r="U6" s="1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>
      <c r="A7" s="3"/>
      <c r="B7" s="4"/>
      <c r="C7" s="5"/>
      <c r="D7" s="5"/>
      <c r="E7" s="5"/>
      <c r="F7" s="7" t="b">
        <f t="shared" si="4"/>
        <v>0</v>
      </c>
      <c r="G7" s="8" t="b">
        <f t="shared" si="5"/>
        <v>0</v>
      </c>
      <c r="H7" s="5"/>
      <c r="I7" s="9" t="b">
        <f t="shared" si="6"/>
        <v>0</v>
      </c>
      <c r="J7" s="8" t="b">
        <f t="shared" si="7"/>
        <v>0</v>
      </c>
      <c r="K7" s="5"/>
      <c r="L7" s="9" t="b">
        <f t="shared" si="8"/>
        <v>0</v>
      </c>
      <c r="M7" s="12" t="e">
        <f t="shared" si="0"/>
        <v>#VALUE!</v>
      </c>
      <c r="N7" s="12" t="b">
        <f t="shared" si="1"/>
        <v>0</v>
      </c>
      <c r="O7" s="13" t="e">
        <f t="shared" si="2"/>
        <v>#VALUE!</v>
      </c>
      <c r="P7" s="13" t="b">
        <f t="shared" si="3"/>
        <v>0</v>
      </c>
      <c r="Q7" s="5"/>
      <c r="R7" s="5"/>
      <c r="S7" s="14"/>
      <c r="T7" s="5"/>
      <c r="U7" s="1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>
      <c r="A8" s="5"/>
      <c r="B8" s="4"/>
      <c r="C8" s="5"/>
      <c r="D8" s="5"/>
      <c r="E8" s="5"/>
      <c r="F8" s="7" t="b">
        <f t="shared" si="4"/>
        <v>0</v>
      </c>
      <c r="G8" s="8" t="b">
        <f t="shared" si="5"/>
        <v>0</v>
      </c>
      <c r="H8" s="5"/>
      <c r="I8" s="9" t="b">
        <f t="shared" si="6"/>
        <v>0</v>
      </c>
      <c r="J8" s="8" t="b">
        <f t="shared" si="7"/>
        <v>0</v>
      </c>
      <c r="K8" s="5"/>
      <c r="L8" s="9" t="b">
        <f t="shared" si="8"/>
        <v>0</v>
      </c>
      <c r="M8" s="12" t="e">
        <f t="shared" si="0"/>
        <v>#VALUE!</v>
      </c>
      <c r="N8" s="12" t="b">
        <f t="shared" si="1"/>
        <v>0</v>
      </c>
      <c r="O8" s="13" t="e">
        <f t="shared" si="2"/>
        <v>#VALUE!</v>
      </c>
      <c r="P8" s="13" t="b">
        <f t="shared" si="3"/>
        <v>0</v>
      </c>
      <c r="Q8" s="5"/>
      <c r="R8" s="5"/>
      <c r="S8" s="14"/>
      <c r="T8" s="5"/>
      <c r="U8" s="1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>
      <c r="A9" s="5"/>
      <c r="B9" s="4"/>
      <c r="C9" s="5"/>
      <c r="D9" s="5"/>
      <c r="E9" s="5"/>
      <c r="F9" s="7" t="b">
        <f t="shared" si="4"/>
        <v>0</v>
      </c>
      <c r="G9" s="8" t="b">
        <f t="shared" si="5"/>
        <v>0</v>
      </c>
      <c r="H9" s="5"/>
      <c r="I9" s="9" t="b">
        <f t="shared" si="6"/>
        <v>0</v>
      </c>
      <c r="J9" s="8" t="b">
        <f t="shared" si="7"/>
        <v>0</v>
      </c>
      <c r="K9" s="5"/>
      <c r="L9" s="9" t="b">
        <f t="shared" si="8"/>
        <v>0</v>
      </c>
      <c r="M9" s="12" t="e">
        <f t="shared" si="0"/>
        <v>#VALUE!</v>
      </c>
      <c r="N9" s="12" t="b">
        <f t="shared" si="1"/>
        <v>0</v>
      </c>
      <c r="O9" s="13" t="e">
        <f t="shared" si="2"/>
        <v>#VALUE!</v>
      </c>
      <c r="P9" s="13" t="b">
        <f t="shared" si="3"/>
        <v>0</v>
      </c>
      <c r="Q9" s="5"/>
      <c r="R9" s="5"/>
      <c r="S9" s="14"/>
      <c r="T9" s="5"/>
      <c r="U9" s="1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>
      <c r="A10" s="5"/>
      <c r="B10" s="4"/>
      <c r="C10" s="5"/>
      <c r="D10" s="5"/>
      <c r="E10" s="5"/>
      <c r="F10" s="7" t="b">
        <f t="shared" si="4"/>
        <v>0</v>
      </c>
      <c r="G10" s="8" t="b">
        <f t="shared" si="5"/>
        <v>0</v>
      </c>
      <c r="H10" s="5"/>
      <c r="I10" s="9" t="b">
        <f t="shared" si="6"/>
        <v>0</v>
      </c>
      <c r="J10" s="8" t="b">
        <f t="shared" si="7"/>
        <v>0</v>
      </c>
      <c r="K10" s="5"/>
      <c r="L10" s="9" t="b">
        <f t="shared" si="8"/>
        <v>0</v>
      </c>
      <c r="M10" s="12" t="e">
        <f t="shared" si="0"/>
        <v>#VALUE!</v>
      </c>
      <c r="N10" s="12" t="b">
        <f t="shared" si="1"/>
        <v>0</v>
      </c>
      <c r="O10" s="13" t="e">
        <f t="shared" si="2"/>
        <v>#VALUE!</v>
      </c>
      <c r="P10" s="13" t="b">
        <f t="shared" si="3"/>
        <v>0</v>
      </c>
      <c r="Q10" s="5"/>
      <c r="R10" s="5"/>
      <c r="S10" s="14"/>
      <c r="T10" s="5"/>
      <c r="U10" s="1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>
      <c r="A11" s="5"/>
      <c r="B11" s="4"/>
      <c r="C11" s="5"/>
      <c r="D11" s="5"/>
      <c r="E11" s="5"/>
      <c r="F11" s="7" t="b">
        <f t="shared" si="4"/>
        <v>0</v>
      </c>
      <c r="G11" s="8" t="b">
        <f t="shared" si="5"/>
        <v>0</v>
      </c>
      <c r="H11" s="5"/>
      <c r="I11" s="9" t="b">
        <f t="shared" si="6"/>
        <v>0</v>
      </c>
      <c r="J11" s="8" t="b">
        <f t="shared" si="7"/>
        <v>0</v>
      </c>
      <c r="K11" s="5"/>
      <c r="L11" s="9" t="b">
        <f t="shared" si="8"/>
        <v>0</v>
      </c>
      <c r="M11" s="12" t="e">
        <f t="shared" si="0"/>
        <v>#VALUE!</v>
      </c>
      <c r="N11" s="12" t="b">
        <f t="shared" si="1"/>
        <v>0</v>
      </c>
      <c r="O11" s="13" t="e">
        <f t="shared" si="2"/>
        <v>#VALUE!</v>
      </c>
      <c r="P11" s="13" t="b">
        <f t="shared" si="3"/>
        <v>0</v>
      </c>
      <c r="Q11" s="5"/>
      <c r="R11" s="5"/>
      <c r="S11" s="14"/>
      <c r="T11" s="5"/>
      <c r="U11" s="1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>
      <c r="A12" s="5"/>
      <c r="B12" s="4"/>
      <c r="C12" s="5"/>
      <c r="D12" s="5"/>
      <c r="E12" s="5"/>
      <c r="F12" s="7" t="b">
        <f t="shared" si="4"/>
        <v>0</v>
      </c>
      <c r="G12" s="8" t="b">
        <f t="shared" si="5"/>
        <v>0</v>
      </c>
      <c r="H12" s="5"/>
      <c r="I12" s="9" t="b">
        <f t="shared" si="6"/>
        <v>0</v>
      </c>
      <c r="J12" s="8" t="b">
        <f t="shared" si="7"/>
        <v>0</v>
      </c>
      <c r="K12" s="5"/>
      <c r="L12" s="9" t="b">
        <f t="shared" si="8"/>
        <v>0</v>
      </c>
      <c r="M12" s="12" t="e">
        <f t="shared" si="0"/>
        <v>#VALUE!</v>
      </c>
      <c r="N12" s="12" t="b">
        <f t="shared" si="1"/>
        <v>0</v>
      </c>
      <c r="O12" s="13" t="e">
        <f t="shared" si="2"/>
        <v>#VALUE!</v>
      </c>
      <c r="P12" s="13" t="b">
        <f t="shared" si="3"/>
        <v>0</v>
      </c>
      <c r="Q12" s="5"/>
      <c r="R12" s="5"/>
      <c r="S12" s="14"/>
      <c r="T12" s="5"/>
      <c r="U12" s="1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>
      <c r="A13" s="5"/>
      <c r="B13" s="4"/>
      <c r="C13" s="5"/>
      <c r="D13" s="5"/>
      <c r="E13" s="5"/>
      <c r="F13" s="7" t="b">
        <f t="shared" si="4"/>
        <v>0</v>
      </c>
      <c r="G13" s="8" t="b">
        <f t="shared" si="5"/>
        <v>0</v>
      </c>
      <c r="H13" s="5"/>
      <c r="I13" s="9" t="b">
        <f t="shared" si="6"/>
        <v>0</v>
      </c>
      <c r="J13" s="8" t="b">
        <f t="shared" si="7"/>
        <v>0</v>
      </c>
      <c r="K13" s="5"/>
      <c r="L13" s="9" t="b">
        <f t="shared" si="8"/>
        <v>0</v>
      </c>
      <c r="M13" s="12" t="e">
        <f t="shared" si="0"/>
        <v>#VALUE!</v>
      </c>
      <c r="N13" s="12" t="b">
        <f t="shared" si="1"/>
        <v>0</v>
      </c>
      <c r="O13" s="13" t="e">
        <f t="shared" si="2"/>
        <v>#VALUE!</v>
      </c>
      <c r="P13" s="13" t="b">
        <f t="shared" si="3"/>
        <v>0</v>
      </c>
      <c r="Q13" s="5"/>
      <c r="R13" s="5"/>
      <c r="S13" s="14"/>
      <c r="T13" s="5"/>
      <c r="U13" s="1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>
      <c r="A14" s="5"/>
      <c r="B14" s="4"/>
      <c r="C14" s="5"/>
      <c r="D14" s="5"/>
      <c r="E14" s="5"/>
      <c r="F14" s="7" t="b">
        <f t="shared" si="4"/>
        <v>0</v>
      </c>
      <c r="G14" s="8" t="b">
        <f t="shared" si="5"/>
        <v>0</v>
      </c>
      <c r="H14" s="5"/>
      <c r="I14" s="9" t="b">
        <f t="shared" si="6"/>
        <v>0</v>
      </c>
      <c r="J14" s="8" t="b">
        <f t="shared" si="7"/>
        <v>0</v>
      </c>
      <c r="K14" s="5"/>
      <c r="L14" s="9" t="b">
        <f t="shared" si="8"/>
        <v>0</v>
      </c>
      <c r="M14" s="12" t="e">
        <f t="shared" si="0"/>
        <v>#VALUE!</v>
      </c>
      <c r="N14" s="12" t="b">
        <f t="shared" si="1"/>
        <v>0</v>
      </c>
      <c r="O14" s="13" t="e">
        <f t="shared" si="2"/>
        <v>#VALUE!</v>
      </c>
      <c r="P14" s="13" t="b">
        <f t="shared" si="3"/>
        <v>0</v>
      </c>
      <c r="Q14" s="5"/>
      <c r="R14" s="5"/>
      <c r="S14" s="14"/>
      <c r="T14" s="5"/>
      <c r="U14" s="1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>
      <c r="A15" s="5"/>
      <c r="B15" s="4"/>
      <c r="C15" s="5"/>
      <c r="D15" s="5"/>
      <c r="E15" s="5"/>
      <c r="F15" s="7" t="b">
        <f t="shared" si="4"/>
        <v>0</v>
      </c>
      <c r="G15" s="8" t="b">
        <f t="shared" si="5"/>
        <v>0</v>
      </c>
      <c r="H15" s="5"/>
      <c r="I15" s="9" t="b">
        <f t="shared" si="6"/>
        <v>0</v>
      </c>
      <c r="J15" s="8" t="b">
        <f t="shared" si="7"/>
        <v>0</v>
      </c>
      <c r="K15" s="5"/>
      <c r="L15" s="9" t="b">
        <f t="shared" si="8"/>
        <v>0</v>
      </c>
      <c r="M15" s="12" t="e">
        <f t="shared" si="0"/>
        <v>#VALUE!</v>
      </c>
      <c r="N15" s="12" t="b">
        <f t="shared" si="1"/>
        <v>0</v>
      </c>
      <c r="O15" s="13" t="e">
        <f t="shared" si="2"/>
        <v>#VALUE!</v>
      </c>
      <c r="P15" s="13" t="b">
        <f t="shared" si="3"/>
        <v>0</v>
      </c>
      <c r="Q15" s="5"/>
      <c r="R15" s="5"/>
      <c r="S15" s="14"/>
      <c r="T15" s="5"/>
      <c r="U15" s="1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>
      <c r="A16" s="5"/>
      <c r="B16" s="4"/>
      <c r="C16" s="5"/>
      <c r="D16" s="5"/>
      <c r="E16" s="5"/>
      <c r="F16" s="7" t="b">
        <f t="shared" si="4"/>
        <v>0</v>
      </c>
      <c r="G16" s="8" t="b">
        <f t="shared" si="5"/>
        <v>0</v>
      </c>
      <c r="H16" s="5"/>
      <c r="I16" s="9" t="b">
        <f t="shared" si="6"/>
        <v>0</v>
      </c>
      <c r="J16" s="8" t="b">
        <f t="shared" si="7"/>
        <v>0</v>
      </c>
      <c r="K16" s="5"/>
      <c r="L16" s="9" t="b">
        <f t="shared" si="8"/>
        <v>0</v>
      </c>
      <c r="M16" s="12" t="e">
        <f t="shared" si="0"/>
        <v>#VALUE!</v>
      </c>
      <c r="N16" s="12" t="b">
        <f t="shared" si="1"/>
        <v>0</v>
      </c>
      <c r="O16" s="13" t="e">
        <f t="shared" si="2"/>
        <v>#VALUE!</v>
      </c>
      <c r="P16" s="13" t="b">
        <f t="shared" si="3"/>
        <v>0</v>
      </c>
      <c r="Q16" s="5"/>
      <c r="R16" s="5"/>
      <c r="S16" s="14"/>
      <c r="T16" s="5"/>
      <c r="U16" s="1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>
      <c r="A17" s="5"/>
      <c r="B17" s="4"/>
      <c r="C17" s="5"/>
      <c r="D17" s="5"/>
      <c r="E17" s="5"/>
      <c r="F17" s="7" t="b">
        <f t="shared" si="4"/>
        <v>0</v>
      </c>
      <c r="G17" s="8" t="b">
        <f t="shared" si="5"/>
        <v>0</v>
      </c>
      <c r="H17" s="5"/>
      <c r="I17" s="9" t="b">
        <f t="shared" si="6"/>
        <v>0</v>
      </c>
      <c r="J17" s="8" t="b">
        <f t="shared" si="7"/>
        <v>0</v>
      </c>
      <c r="K17" s="5"/>
      <c r="L17" s="9" t="b">
        <f t="shared" si="8"/>
        <v>0</v>
      </c>
      <c r="M17" s="12" t="e">
        <f t="shared" si="0"/>
        <v>#VALUE!</v>
      </c>
      <c r="N17" s="12" t="b">
        <f t="shared" si="1"/>
        <v>0</v>
      </c>
      <c r="O17" s="13" t="e">
        <f t="shared" si="2"/>
        <v>#VALUE!</v>
      </c>
      <c r="P17" s="13" t="b">
        <f t="shared" si="3"/>
        <v>0</v>
      </c>
      <c r="Q17" s="5"/>
      <c r="R17" s="5"/>
      <c r="S17" s="14"/>
      <c r="T17" s="5"/>
      <c r="U17" s="1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>
      <c r="A18" s="5"/>
      <c r="B18" s="4"/>
      <c r="C18" s="5"/>
      <c r="D18" s="5"/>
      <c r="E18" s="5"/>
      <c r="F18" s="7" t="b">
        <f t="shared" si="4"/>
        <v>0</v>
      </c>
      <c r="G18" s="8" t="b">
        <f t="shared" si="5"/>
        <v>0</v>
      </c>
      <c r="H18" s="5"/>
      <c r="I18" s="9" t="b">
        <f t="shared" si="6"/>
        <v>0</v>
      </c>
      <c r="J18" s="8" t="b">
        <f t="shared" si="7"/>
        <v>0</v>
      </c>
      <c r="K18" s="5"/>
      <c r="L18" s="9" t="b">
        <f t="shared" si="8"/>
        <v>0</v>
      </c>
      <c r="M18" s="12" t="e">
        <f t="shared" si="0"/>
        <v>#VALUE!</v>
      </c>
      <c r="N18" s="12" t="b">
        <f t="shared" si="1"/>
        <v>0</v>
      </c>
      <c r="O18" s="13" t="e">
        <f t="shared" si="2"/>
        <v>#VALUE!</v>
      </c>
      <c r="P18" s="13" t="b">
        <f t="shared" si="3"/>
        <v>0</v>
      </c>
      <c r="Q18" s="5"/>
      <c r="R18" s="5"/>
      <c r="S18" s="14"/>
      <c r="T18" s="5"/>
      <c r="U18" s="1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>
      <c r="A19" s="5"/>
      <c r="B19" s="4"/>
      <c r="C19" s="5"/>
      <c r="D19" s="5"/>
      <c r="E19" s="5"/>
      <c r="F19" s="7" t="b">
        <f t="shared" si="4"/>
        <v>0</v>
      </c>
      <c r="G19" s="8" t="b">
        <f t="shared" si="5"/>
        <v>0</v>
      </c>
      <c r="H19" s="5"/>
      <c r="I19" s="9" t="b">
        <f t="shared" si="6"/>
        <v>0</v>
      </c>
      <c r="J19" s="8" t="b">
        <f t="shared" si="7"/>
        <v>0</v>
      </c>
      <c r="K19" s="5"/>
      <c r="L19" s="9" t="b">
        <f t="shared" si="8"/>
        <v>0</v>
      </c>
      <c r="M19" s="12" t="e">
        <f t="shared" si="0"/>
        <v>#VALUE!</v>
      </c>
      <c r="N19" s="12" t="b">
        <f t="shared" si="1"/>
        <v>0</v>
      </c>
      <c r="O19" s="13" t="e">
        <f t="shared" si="2"/>
        <v>#VALUE!</v>
      </c>
      <c r="P19" s="13" t="b">
        <f t="shared" si="3"/>
        <v>0</v>
      </c>
      <c r="Q19" s="5"/>
      <c r="R19" s="5"/>
      <c r="S19" s="14"/>
      <c r="T19" s="5"/>
      <c r="U19" s="1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>
      <c r="A20" s="5"/>
      <c r="B20" s="4"/>
      <c r="C20" s="5"/>
      <c r="D20" s="5"/>
      <c r="E20" s="5"/>
      <c r="F20" s="7" t="b">
        <f t="shared" si="4"/>
        <v>0</v>
      </c>
      <c r="G20" s="8" t="b">
        <f t="shared" si="5"/>
        <v>0</v>
      </c>
      <c r="H20" s="5"/>
      <c r="I20" s="9" t="b">
        <f t="shared" si="6"/>
        <v>0</v>
      </c>
      <c r="J20" s="8" t="b">
        <f t="shared" si="7"/>
        <v>0</v>
      </c>
      <c r="K20" s="5"/>
      <c r="L20" s="9" t="b">
        <f t="shared" si="8"/>
        <v>0</v>
      </c>
      <c r="M20" s="12" t="e">
        <f t="shared" si="0"/>
        <v>#VALUE!</v>
      </c>
      <c r="N20" s="12" t="b">
        <f t="shared" si="1"/>
        <v>0</v>
      </c>
      <c r="O20" s="13" t="e">
        <f t="shared" si="2"/>
        <v>#VALUE!</v>
      </c>
      <c r="P20" s="13" t="b">
        <f t="shared" si="3"/>
        <v>0</v>
      </c>
      <c r="Q20" s="5"/>
      <c r="R20" s="5"/>
      <c r="S20" s="14"/>
      <c r="T20" s="5"/>
      <c r="U20" s="1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>
      <c r="A21" s="5"/>
      <c r="B21" s="4"/>
      <c r="C21" s="5"/>
      <c r="D21" s="5"/>
      <c r="E21" s="5"/>
      <c r="F21" s="7" t="b">
        <f t="shared" si="4"/>
        <v>0</v>
      </c>
      <c r="G21" s="8" t="b">
        <f t="shared" si="5"/>
        <v>0</v>
      </c>
      <c r="H21" s="5"/>
      <c r="I21" s="9" t="b">
        <f t="shared" si="6"/>
        <v>0</v>
      </c>
      <c r="J21" s="8" t="b">
        <f t="shared" si="7"/>
        <v>0</v>
      </c>
      <c r="K21" s="5"/>
      <c r="L21" s="9" t="b">
        <f t="shared" si="8"/>
        <v>0</v>
      </c>
      <c r="M21" s="12" t="e">
        <f t="shared" si="0"/>
        <v>#VALUE!</v>
      </c>
      <c r="N21" s="12" t="b">
        <f t="shared" si="1"/>
        <v>0</v>
      </c>
      <c r="O21" s="13" t="e">
        <f t="shared" si="2"/>
        <v>#VALUE!</v>
      </c>
      <c r="P21" s="13" t="b">
        <f t="shared" si="3"/>
        <v>0</v>
      </c>
      <c r="Q21" s="5"/>
      <c r="R21" s="5"/>
      <c r="S21" s="14"/>
      <c r="T21" s="5"/>
      <c r="U21" s="1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>
      <c r="A22" s="5"/>
      <c r="B22" s="4"/>
      <c r="C22" s="5"/>
      <c r="D22" s="5"/>
      <c r="E22" s="5"/>
      <c r="F22" s="7" t="b">
        <f t="shared" si="4"/>
        <v>0</v>
      </c>
      <c r="G22" s="8" t="b">
        <f t="shared" si="5"/>
        <v>0</v>
      </c>
      <c r="H22" s="5"/>
      <c r="I22" s="9" t="b">
        <f t="shared" si="6"/>
        <v>0</v>
      </c>
      <c r="J22" s="8" t="b">
        <f t="shared" si="7"/>
        <v>0</v>
      </c>
      <c r="K22" s="5"/>
      <c r="L22" s="9" t="b">
        <f t="shared" si="8"/>
        <v>0</v>
      </c>
      <c r="M22" s="12" t="e">
        <f t="shared" si="0"/>
        <v>#VALUE!</v>
      </c>
      <c r="N22" s="12" t="b">
        <f t="shared" si="1"/>
        <v>0</v>
      </c>
      <c r="O22" s="13" t="e">
        <f t="shared" si="2"/>
        <v>#VALUE!</v>
      </c>
      <c r="P22" s="13" t="b">
        <f t="shared" si="3"/>
        <v>0</v>
      </c>
      <c r="Q22" s="5"/>
      <c r="R22" s="5"/>
      <c r="S22" s="14"/>
      <c r="T22" s="5"/>
      <c r="U22" s="1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>
      <c r="A23" s="5"/>
      <c r="B23" s="4"/>
      <c r="C23" s="5"/>
      <c r="D23" s="5"/>
      <c r="E23" s="5"/>
      <c r="F23" s="7" t="b">
        <f t="shared" si="4"/>
        <v>0</v>
      </c>
      <c r="G23" s="8" t="b">
        <f t="shared" si="5"/>
        <v>0</v>
      </c>
      <c r="H23" s="5"/>
      <c r="I23" s="9" t="b">
        <f t="shared" si="6"/>
        <v>0</v>
      </c>
      <c r="J23" s="8" t="b">
        <f t="shared" si="7"/>
        <v>0</v>
      </c>
      <c r="K23" s="5"/>
      <c r="L23" s="9" t="b">
        <f t="shared" si="8"/>
        <v>0</v>
      </c>
      <c r="M23" s="12" t="e">
        <f t="shared" si="0"/>
        <v>#VALUE!</v>
      </c>
      <c r="N23" s="12" t="b">
        <f t="shared" si="1"/>
        <v>0</v>
      </c>
      <c r="O23" s="13" t="e">
        <f t="shared" si="2"/>
        <v>#VALUE!</v>
      </c>
      <c r="P23" s="13" t="b">
        <f t="shared" si="3"/>
        <v>0</v>
      </c>
      <c r="Q23" s="5"/>
      <c r="R23" s="5"/>
      <c r="S23" s="14"/>
      <c r="T23" s="5"/>
      <c r="U23" s="1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>
      <c r="A24" s="5"/>
      <c r="B24" s="4"/>
      <c r="C24" s="5"/>
      <c r="D24" s="5"/>
      <c r="E24" s="5"/>
      <c r="F24" s="7" t="b">
        <f t="shared" si="4"/>
        <v>0</v>
      </c>
      <c r="G24" s="8" t="b">
        <f t="shared" si="5"/>
        <v>0</v>
      </c>
      <c r="H24" s="5"/>
      <c r="I24" s="9" t="b">
        <f t="shared" si="6"/>
        <v>0</v>
      </c>
      <c r="J24" s="8" t="b">
        <f t="shared" si="7"/>
        <v>0</v>
      </c>
      <c r="K24" s="5"/>
      <c r="L24" s="9" t="b">
        <f t="shared" si="8"/>
        <v>0</v>
      </c>
      <c r="M24" s="12" t="e">
        <f t="shared" si="0"/>
        <v>#VALUE!</v>
      </c>
      <c r="N24" s="12" t="b">
        <f t="shared" si="1"/>
        <v>0</v>
      </c>
      <c r="O24" s="13" t="e">
        <f t="shared" si="2"/>
        <v>#VALUE!</v>
      </c>
      <c r="P24" s="13" t="b">
        <f t="shared" si="3"/>
        <v>0</v>
      </c>
      <c r="Q24" s="5"/>
      <c r="R24" s="5"/>
      <c r="S24" s="14"/>
      <c r="T24" s="5"/>
      <c r="U24" s="1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>
      <c r="A25" s="5"/>
      <c r="B25" s="4"/>
      <c r="C25" s="5"/>
      <c r="D25" s="5"/>
      <c r="E25" s="5"/>
      <c r="F25" s="7" t="b">
        <f t="shared" si="4"/>
        <v>0</v>
      </c>
      <c r="G25" s="8" t="b">
        <f t="shared" si="5"/>
        <v>0</v>
      </c>
      <c r="H25" s="5"/>
      <c r="I25" s="9" t="b">
        <f t="shared" si="6"/>
        <v>0</v>
      </c>
      <c r="J25" s="8" t="b">
        <f t="shared" si="7"/>
        <v>0</v>
      </c>
      <c r="K25" s="5"/>
      <c r="L25" s="9" t="b">
        <f t="shared" si="8"/>
        <v>0</v>
      </c>
      <c r="M25" s="12" t="e">
        <f t="shared" si="0"/>
        <v>#VALUE!</v>
      </c>
      <c r="N25" s="12" t="b">
        <f t="shared" si="1"/>
        <v>0</v>
      </c>
      <c r="O25" s="13" t="e">
        <f t="shared" si="2"/>
        <v>#VALUE!</v>
      </c>
      <c r="P25" s="13" t="b">
        <f t="shared" si="3"/>
        <v>0</v>
      </c>
      <c r="Q25" s="5"/>
      <c r="R25" s="5"/>
      <c r="S25" s="14"/>
      <c r="T25" s="5"/>
      <c r="U25" s="1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>
      <c r="A26" s="5"/>
      <c r="B26" s="4"/>
      <c r="C26" s="5"/>
      <c r="D26" s="5"/>
      <c r="E26" s="5"/>
      <c r="F26" s="7" t="b">
        <f t="shared" si="4"/>
        <v>0</v>
      </c>
      <c r="G26" s="8" t="b">
        <f t="shared" si="5"/>
        <v>0</v>
      </c>
      <c r="H26" s="5"/>
      <c r="I26" s="9" t="b">
        <f t="shared" si="6"/>
        <v>0</v>
      </c>
      <c r="J26" s="8" t="b">
        <f t="shared" si="7"/>
        <v>0</v>
      </c>
      <c r="K26" s="5"/>
      <c r="L26" s="9" t="b">
        <f t="shared" si="8"/>
        <v>0</v>
      </c>
      <c r="M26" s="12" t="e">
        <f t="shared" si="0"/>
        <v>#VALUE!</v>
      </c>
      <c r="N26" s="12" t="b">
        <f t="shared" si="1"/>
        <v>0</v>
      </c>
      <c r="O26" s="13" t="e">
        <f t="shared" si="2"/>
        <v>#VALUE!</v>
      </c>
      <c r="P26" s="13" t="b">
        <f t="shared" si="3"/>
        <v>0</v>
      </c>
      <c r="Q26" s="5"/>
      <c r="R26" s="5"/>
      <c r="S26" s="14"/>
      <c r="T26" s="5"/>
      <c r="U26" s="1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>
      <c r="A27" s="5"/>
      <c r="B27" s="4"/>
      <c r="C27" s="5"/>
      <c r="D27" s="5"/>
      <c r="E27" s="5"/>
      <c r="F27" s="7" t="b">
        <f t="shared" si="4"/>
        <v>0</v>
      </c>
      <c r="G27" s="8" t="b">
        <f t="shared" si="5"/>
        <v>0</v>
      </c>
      <c r="H27" s="5"/>
      <c r="I27" s="9" t="b">
        <f t="shared" si="6"/>
        <v>0</v>
      </c>
      <c r="J27" s="8" t="b">
        <f t="shared" si="7"/>
        <v>0</v>
      </c>
      <c r="K27" s="5"/>
      <c r="L27" s="9" t="b">
        <f t="shared" si="8"/>
        <v>0</v>
      </c>
      <c r="M27" s="12" t="e">
        <f t="shared" si="0"/>
        <v>#VALUE!</v>
      </c>
      <c r="N27" s="12" t="b">
        <f t="shared" si="1"/>
        <v>0</v>
      </c>
      <c r="O27" s="13" t="e">
        <f t="shared" si="2"/>
        <v>#VALUE!</v>
      </c>
      <c r="P27" s="13" t="b">
        <f t="shared" si="3"/>
        <v>0</v>
      </c>
      <c r="Q27" s="5"/>
      <c r="R27" s="5"/>
      <c r="S27" s="14"/>
      <c r="T27" s="5"/>
      <c r="U27" s="1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>
      <c r="A28" s="5"/>
      <c r="B28" s="4"/>
      <c r="C28" s="5"/>
      <c r="D28" s="5"/>
      <c r="E28" s="5"/>
      <c r="F28" s="7" t="b">
        <f t="shared" si="4"/>
        <v>0</v>
      </c>
      <c r="G28" s="8" t="b">
        <f t="shared" si="5"/>
        <v>0</v>
      </c>
      <c r="H28" s="5"/>
      <c r="I28" s="9" t="b">
        <f t="shared" si="6"/>
        <v>0</v>
      </c>
      <c r="J28" s="8" t="b">
        <f t="shared" si="7"/>
        <v>0</v>
      </c>
      <c r="K28" s="5"/>
      <c r="L28" s="9" t="b">
        <f t="shared" si="8"/>
        <v>0</v>
      </c>
      <c r="M28" s="12" t="e">
        <f t="shared" si="0"/>
        <v>#VALUE!</v>
      </c>
      <c r="N28" s="12" t="b">
        <f t="shared" si="1"/>
        <v>0</v>
      </c>
      <c r="O28" s="13" t="e">
        <f t="shared" si="2"/>
        <v>#VALUE!</v>
      </c>
      <c r="P28" s="13" t="b">
        <f t="shared" si="3"/>
        <v>0</v>
      </c>
      <c r="Q28" s="5"/>
      <c r="R28" s="5"/>
      <c r="S28" s="14"/>
      <c r="T28" s="5"/>
      <c r="U28" s="1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>
      <c r="A29" s="5"/>
      <c r="B29" s="4"/>
      <c r="C29" s="5"/>
      <c r="D29" s="5"/>
      <c r="E29" s="5"/>
      <c r="F29" s="7" t="b">
        <f t="shared" si="4"/>
        <v>0</v>
      </c>
      <c r="G29" s="8" t="b">
        <f t="shared" si="5"/>
        <v>0</v>
      </c>
      <c r="H29" s="5"/>
      <c r="I29" s="9" t="b">
        <f t="shared" si="6"/>
        <v>0</v>
      </c>
      <c r="J29" s="8" t="b">
        <f t="shared" si="7"/>
        <v>0</v>
      </c>
      <c r="K29" s="5"/>
      <c r="L29" s="9" t="b">
        <f t="shared" si="8"/>
        <v>0</v>
      </c>
      <c r="M29" s="12" t="e">
        <f t="shared" si="0"/>
        <v>#VALUE!</v>
      </c>
      <c r="N29" s="12" t="b">
        <f t="shared" si="1"/>
        <v>0</v>
      </c>
      <c r="O29" s="13" t="e">
        <f t="shared" si="2"/>
        <v>#VALUE!</v>
      </c>
      <c r="P29" s="13" t="b">
        <f t="shared" si="3"/>
        <v>0</v>
      </c>
      <c r="Q29" s="5"/>
      <c r="R29" s="5"/>
      <c r="S29" s="14"/>
      <c r="T29" s="5"/>
      <c r="U29" s="1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>
      <c r="A30" s="5"/>
      <c r="B30" s="4"/>
      <c r="C30" s="5"/>
      <c r="D30" s="5"/>
      <c r="E30" s="5"/>
      <c r="F30" s="7" t="b">
        <f t="shared" si="4"/>
        <v>0</v>
      </c>
      <c r="G30" s="8" t="b">
        <f t="shared" si="5"/>
        <v>0</v>
      </c>
      <c r="H30" s="5"/>
      <c r="I30" s="9" t="b">
        <f t="shared" si="6"/>
        <v>0</v>
      </c>
      <c r="J30" s="8" t="b">
        <f t="shared" si="7"/>
        <v>0</v>
      </c>
      <c r="K30" s="5"/>
      <c r="L30" s="9" t="b">
        <f t="shared" si="8"/>
        <v>0</v>
      </c>
      <c r="M30" s="12" t="e">
        <f t="shared" si="0"/>
        <v>#VALUE!</v>
      </c>
      <c r="N30" s="12" t="b">
        <f t="shared" si="1"/>
        <v>0</v>
      </c>
      <c r="O30" s="13" t="e">
        <f t="shared" si="2"/>
        <v>#VALUE!</v>
      </c>
      <c r="P30" s="13" t="b">
        <f t="shared" si="3"/>
        <v>0</v>
      </c>
      <c r="Q30" s="5"/>
      <c r="R30" s="5"/>
      <c r="S30" s="14"/>
      <c r="T30" s="5"/>
      <c r="U30" s="1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>
      <c r="A31" s="5"/>
      <c r="B31" s="4"/>
      <c r="C31" s="5"/>
      <c r="D31" s="5"/>
      <c r="E31" s="5"/>
      <c r="F31" s="7" t="b">
        <f t="shared" si="4"/>
        <v>0</v>
      </c>
      <c r="G31" s="8" t="b">
        <f t="shared" si="5"/>
        <v>0</v>
      </c>
      <c r="H31" s="5"/>
      <c r="I31" s="9" t="b">
        <f t="shared" si="6"/>
        <v>0</v>
      </c>
      <c r="J31" s="8" t="b">
        <f t="shared" si="7"/>
        <v>0</v>
      </c>
      <c r="K31" s="5"/>
      <c r="L31" s="9" t="b">
        <f t="shared" si="8"/>
        <v>0</v>
      </c>
      <c r="M31" s="12" t="e">
        <f t="shared" si="0"/>
        <v>#VALUE!</v>
      </c>
      <c r="N31" s="12" t="b">
        <f t="shared" si="1"/>
        <v>0</v>
      </c>
      <c r="O31" s="13" t="e">
        <f t="shared" si="2"/>
        <v>#VALUE!</v>
      </c>
      <c r="P31" s="13" t="b">
        <f t="shared" si="3"/>
        <v>0</v>
      </c>
      <c r="Q31" s="5"/>
      <c r="R31" s="5"/>
      <c r="S31" s="14"/>
      <c r="T31" s="5"/>
      <c r="U31" s="1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>
      <c r="A32" s="5"/>
      <c r="B32" s="4"/>
      <c r="C32" s="5"/>
      <c r="D32" s="5"/>
      <c r="E32" s="5"/>
      <c r="F32" s="7" t="b">
        <f t="shared" si="4"/>
        <v>0</v>
      </c>
      <c r="G32" s="8" t="b">
        <f t="shared" si="5"/>
        <v>0</v>
      </c>
      <c r="H32" s="5"/>
      <c r="I32" s="9" t="b">
        <f t="shared" si="6"/>
        <v>0</v>
      </c>
      <c r="J32" s="8" t="b">
        <f t="shared" si="7"/>
        <v>0</v>
      </c>
      <c r="K32" s="5"/>
      <c r="L32" s="9" t="b">
        <f t="shared" si="8"/>
        <v>0</v>
      </c>
      <c r="M32" s="12" t="e">
        <f t="shared" si="0"/>
        <v>#VALUE!</v>
      </c>
      <c r="N32" s="12" t="b">
        <f t="shared" si="1"/>
        <v>0</v>
      </c>
      <c r="O32" s="13" t="e">
        <f t="shared" si="2"/>
        <v>#VALUE!</v>
      </c>
      <c r="P32" s="13" t="b">
        <f t="shared" si="3"/>
        <v>0</v>
      </c>
      <c r="Q32" s="5"/>
      <c r="R32" s="5"/>
      <c r="S32" s="14"/>
      <c r="T32" s="5"/>
      <c r="U32" s="1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>
      <c r="A33" s="5"/>
      <c r="B33" s="4"/>
      <c r="C33" s="5"/>
      <c r="D33" s="5"/>
      <c r="E33" s="5"/>
      <c r="F33" s="7" t="b">
        <f t="shared" si="4"/>
        <v>0</v>
      </c>
      <c r="G33" s="8" t="b">
        <f t="shared" si="5"/>
        <v>0</v>
      </c>
      <c r="H33" s="5"/>
      <c r="I33" s="9" t="b">
        <f t="shared" si="6"/>
        <v>0</v>
      </c>
      <c r="J33" s="8" t="b">
        <f t="shared" si="7"/>
        <v>0</v>
      </c>
      <c r="K33" s="5"/>
      <c r="L33" s="9" t="b">
        <f t="shared" si="8"/>
        <v>0</v>
      </c>
      <c r="M33" s="12" t="e">
        <f t="shared" si="0"/>
        <v>#VALUE!</v>
      </c>
      <c r="N33" s="12" t="b">
        <f t="shared" si="1"/>
        <v>0</v>
      </c>
      <c r="O33" s="13" t="e">
        <f t="shared" si="2"/>
        <v>#VALUE!</v>
      </c>
      <c r="P33" s="13" t="b">
        <f t="shared" si="3"/>
        <v>0</v>
      </c>
      <c r="Q33" s="5"/>
      <c r="R33" s="5"/>
      <c r="S33" s="14"/>
      <c r="T33" s="5"/>
      <c r="U33" s="1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>
      <c r="A34" s="5"/>
      <c r="B34" s="4"/>
      <c r="C34" s="5"/>
      <c r="D34" s="5"/>
      <c r="E34" s="5"/>
      <c r="F34" s="7" t="b">
        <f t="shared" si="4"/>
        <v>0</v>
      </c>
      <c r="G34" s="8" t="b">
        <f t="shared" si="5"/>
        <v>0</v>
      </c>
      <c r="H34" s="5"/>
      <c r="I34" s="9" t="b">
        <f t="shared" si="6"/>
        <v>0</v>
      </c>
      <c r="J34" s="8" t="b">
        <f t="shared" si="7"/>
        <v>0</v>
      </c>
      <c r="K34" s="5"/>
      <c r="L34" s="9" t="b">
        <f t="shared" si="8"/>
        <v>0</v>
      </c>
      <c r="M34" s="12" t="e">
        <f t="shared" si="0"/>
        <v>#VALUE!</v>
      </c>
      <c r="N34" s="12" t="b">
        <f t="shared" si="1"/>
        <v>0</v>
      </c>
      <c r="O34" s="13" t="e">
        <f t="shared" si="2"/>
        <v>#VALUE!</v>
      </c>
      <c r="P34" s="13" t="b">
        <f t="shared" si="3"/>
        <v>0</v>
      </c>
      <c r="Q34" s="5"/>
      <c r="R34" s="5"/>
      <c r="S34" s="14"/>
      <c r="T34" s="5"/>
      <c r="U34" s="1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>
      <c r="A35" s="5"/>
      <c r="B35" s="4"/>
      <c r="C35" s="5"/>
      <c r="D35" s="5"/>
      <c r="E35" s="5"/>
      <c r="F35" s="7" t="b">
        <f t="shared" si="4"/>
        <v>0</v>
      </c>
      <c r="G35" s="8" t="b">
        <f t="shared" si="5"/>
        <v>0</v>
      </c>
      <c r="H35" s="5"/>
      <c r="I35" s="9" t="b">
        <f t="shared" si="6"/>
        <v>0</v>
      </c>
      <c r="J35" s="8" t="b">
        <f t="shared" si="7"/>
        <v>0</v>
      </c>
      <c r="K35" s="5"/>
      <c r="L35" s="9" t="b">
        <f t="shared" si="8"/>
        <v>0</v>
      </c>
      <c r="M35" s="12" t="e">
        <f t="shared" ref="M35:M66" si="9">MROUND(IF(B35="BUY",MAX(F35,I35),IF(B35="SELL",MIN(F35,I35))),0.1)</f>
        <v>#VALUE!</v>
      </c>
      <c r="N35" s="12" t="b">
        <f t="shared" ref="N35:N66" si="10">IF(B35="BUY",(M35*(1-0.1%)),IF(B35="SELL",(M35*(1+0.1%))))</f>
        <v>0</v>
      </c>
      <c r="O35" s="13" t="e">
        <f t="shared" ref="O35:O66" si="11">MROUND(IF(B35="BUY",MAX(F35,L35),IF(B35="SELL",MIN(F35,L35))),0.1)</f>
        <v>#VALUE!</v>
      </c>
      <c r="P35" s="13" t="b">
        <f t="shared" ref="P35:P66" si="12">IF(B35="BUY",(O35*(1-0.1%)),IF(B35="SELL",(O35*(1+0.1%))))</f>
        <v>0</v>
      </c>
      <c r="Q35" s="5"/>
      <c r="R35" s="5"/>
      <c r="S35" s="14"/>
      <c r="T35" s="5"/>
      <c r="U35" s="1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>
      <c r="A36" s="5"/>
      <c r="B36" s="4"/>
      <c r="C36" s="5"/>
      <c r="D36" s="5"/>
      <c r="E36" s="5"/>
      <c r="F36" s="7" t="b">
        <f t="shared" si="4"/>
        <v>0</v>
      </c>
      <c r="G36" s="8" t="b">
        <f t="shared" si="5"/>
        <v>0</v>
      </c>
      <c r="H36" s="5"/>
      <c r="I36" s="9" t="b">
        <f t="shared" si="6"/>
        <v>0</v>
      </c>
      <c r="J36" s="8" t="b">
        <f t="shared" si="7"/>
        <v>0</v>
      </c>
      <c r="K36" s="5"/>
      <c r="L36" s="9" t="b">
        <f t="shared" si="8"/>
        <v>0</v>
      </c>
      <c r="M36" s="12" t="e">
        <f t="shared" si="9"/>
        <v>#VALUE!</v>
      </c>
      <c r="N36" s="12" t="b">
        <f t="shared" si="10"/>
        <v>0</v>
      </c>
      <c r="O36" s="13" t="e">
        <f t="shared" si="11"/>
        <v>#VALUE!</v>
      </c>
      <c r="P36" s="13" t="b">
        <f t="shared" si="12"/>
        <v>0</v>
      </c>
      <c r="Q36" s="5"/>
      <c r="R36" s="5"/>
      <c r="S36" s="14"/>
      <c r="T36" s="5"/>
      <c r="U36" s="1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>
      <c r="A37" s="5"/>
      <c r="B37" s="4"/>
      <c r="C37" s="5"/>
      <c r="D37" s="5"/>
      <c r="E37" s="5"/>
      <c r="F37" s="7" t="b">
        <f t="shared" si="4"/>
        <v>0</v>
      </c>
      <c r="G37" s="8" t="b">
        <f t="shared" si="5"/>
        <v>0</v>
      </c>
      <c r="H37" s="5"/>
      <c r="I37" s="9" t="b">
        <f t="shared" si="6"/>
        <v>0</v>
      </c>
      <c r="J37" s="8" t="b">
        <f t="shared" si="7"/>
        <v>0</v>
      </c>
      <c r="K37" s="5"/>
      <c r="L37" s="9" t="b">
        <f t="shared" si="8"/>
        <v>0</v>
      </c>
      <c r="M37" s="12" t="e">
        <f t="shared" si="9"/>
        <v>#VALUE!</v>
      </c>
      <c r="N37" s="12" t="b">
        <f t="shared" si="10"/>
        <v>0</v>
      </c>
      <c r="O37" s="13" t="e">
        <f t="shared" si="11"/>
        <v>#VALUE!</v>
      </c>
      <c r="P37" s="13" t="b">
        <f t="shared" si="12"/>
        <v>0</v>
      </c>
      <c r="Q37" s="5"/>
      <c r="R37" s="5"/>
      <c r="S37" s="14"/>
      <c r="T37" s="5"/>
      <c r="U37" s="1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>
      <c r="A38" s="5"/>
      <c r="B38" s="4"/>
      <c r="C38" s="5"/>
      <c r="D38" s="5"/>
      <c r="E38" s="5"/>
      <c r="F38" s="7" t="b">
        <f t="shared" si="4"/>
        <v>0</v>
      </c>
      <c r="G38" s="8" t="b">
        <f t="shared" si="5"/>
        <v>0</v>
      </c>
      <c r="H38" s="5"/>
      <c r="I38" s="9" t="b">
        <f t="shared" si="6"/>
        <v>0</v>
      </c>
      <c r="J38" s="8" t="b">
        <f t="shared" si="7"/>
        <v>0</v>
      </c>
      <c r="K38" s="5"/>
      <c r="L38" s="9" t="b">
        <f t="shared" si="8"/>
        <v>0</v>
      </c>
      <c r="M38" s="12" t="e">
        <f t="shared" si="9"/>
        <v>#VALUE!</v>
      </c>
      <c r="N38" s="12" t="b">
        <f t="shared" si="10"/>
        <v>0</v>
      </c>
      <c r="O38" s="13" t="e">
        <f t="shared" si="11"/>
        <v>#VALUE!</v>
      </c>
      <c r="P38" s="13" t="b">
        <f t="shared" si="12"/>
        <v>0</v>
      </c>
      <c r="Q38" s="5"/>
      <c r="R38" s="5"/>
      <c r="S38" s="14"/>
      <c r="T38" s="5"/>
      <c r="U38" s="1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>
      <c r="A39" s="5"/>
      <c r="B39" s="4"/>
      <c r="C39" s="5"/>
      <c r="D39" s="5"/>
      <c r="E39" s="5"/>
      <c r="F39" s="7" t="b">
        <f t="shared" si="4"/>
        <v>0</v>
      </c>
      <c r="G39" s="8" t="b">
        <f t="shared" si="5"/>
        <v>0</v>
      </c>
      <c r="H39" s="5"/>
      <c r="I39" s="9" t="b">
        <f t="shared" si="6"/>
        <v>0</v>
      </c>
      <c r="J39" s="8" t="b">
        <f t="shared" si="7"/>
        <v>0</v>
      </c>
      <c r="K39" s="5"/>
      <c r="L39" s="9" t="b">
        <f t="shared" si="8"/>
        <v>0</v>
      </c>
      <c r="M39" s="12" t="e">
        <f t="shared" si="9"/>
        <v>#VALUE!</v>
      </c>
      <c r="N39" s="12" t="b">
        <f t="shared" si="10"/>
        <v>0</v>
      </c>
      <c r="O39" s="13" t="e">
        <f t="shared" si="11"/>
        <v>#VALUE!</v>
      </c>
      <c r="P39" s="13" t="b">
        <f t="shared" si="12"/>
        <v>0</v>
      </c>
      <c r="Q39" s="5"/>
      <c r="R39" s="5"/>
      <c r="S39" s="14"/>
      <c r="T39" s="5"/>
      <c r="U39" s="1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>
      <c r="A40" s="5"/>
      <c r="B40" s="4"/>
      <c r="C40" s="5"/>
      <c r="D40" s="5"/>
      <c r="E40" s="5"/>
      <c r="F40" s="7" t="b">
        <f t="shared" si="4"/>
        <v>0</v>
      </c>
      <c r="G40" s="8" t="b">
        <f t="shared" si="5"/>
        <v>0</v>
      </c>
      <c r="H40" s="5"/>
      <c r="I40" s="9" t="b">
        <f t="shared" si="6"/>
        <v>0</v>
      </c>
      <c r="J40" s="8" t="b">
        <f t="shared" si="7"/>
        <v>0</v>
      </c>
      <c r="K40" s="5"/>
      <c r="L40" s="9" t="b">
        <f t="shared" si="8"/>
        <v>0</v>
      </c>
      <c r="M40" s="12" t="e">
        <f t="shared" si="9"/>
        <v>#VALUE!</v>
      </c>
      <c r="N40" s="12" t="b">
        <f t="shared" si="10"/>
        <v>0</v>
      </c>
      <c r="O40" s="13" t="e">
        <f t="shared" si="11"/>
        <v>#VALUE!</v>
      </c>
      <c r="P40" s="13" t="b">
        <f t="shared" si="12"/>
        <v>0</v>
      </c>
      <c r="Q40" s="5"/>
      <c r="R40" s="5"/>
      <c r="S40" s="14"/>
      <c r="T40" s="5"/>
      <c r="U40" s="1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>
      <c r="A41" s="5"/>
      <c r="B41" s="4"/>
      <c r="C41" s="5"/>
      <c r="D41" s="5"/>
      <c r="E41" s="5"/>
      <c r="F41" s="7" t="b">
        <f t="shared" si="4"/>
        <v>0</v>
      </c>
      <c r="G41" s="8" t="b">
        <f t="shared" si="5"/>
        <v>0</v>
      </c>
      <c r="H41" s="5"/>
      <c r="I41" s="9" t="b">
        <f t="shared" si="6"/>
        <v>0</v>
      </c>
      <c r="J41" s="8" t="b">
        <f t="shared" si="7"/>
        <v>0</v>
      </c>
      <c r="K41" s="5"/>
      <c r="L41" s="9" t="b">
        <f t="shared" si="8"/>
        <v>0</v>
      </c>
      <c r="M41" s="12" t="e">
        <f t="shared" si="9"/>
        <v>#VALUE!</v>
      </c>
      <c r="N41" s="12" t="b">
        <f t="shared" si="10"/>
        <v>0</v>
      </c>
      <c r="O41" s="13" t="e">
        <f t="shared" si="11"/>
        <v>#VALUE!</v>
      </c>
      <c r="P41" s="13" t="b">
        <f t="shared" si="12"/>
        <v>0</v>
      </c>
      <c r="Q41" s="5"/>
      <c r="R41" s="5"/>
      <c r="S41" s="14"/>
      <c r="T41" s="5"/>
      <c r="U41" s="1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>
      <c r="A42" s="5"/>
      <c r="B42" s="4"/>
      <c r="C42" s="5"/>
      <c r="D42" s="5"/>
      <c r="E42" s="5"/>
      <c r="F42" s="7" t="b">
        <f t="shared" si="4"/>
        <v>0</v>
      </c>
      <c r="G42" s="8" t="b">
        <f t="shared" si="5"/>
        <v>0</v>
      </c>
      <c r="H42" s="5"/>
      <c r="I42" s="9" t="b">
        <f t="shared" si="6"/>
        <v>0</v>
      </c>
      <c r="J42" s="8" t="b">
        <f t="shared" si="7"/>
        <v>0</v>
      </c>
      <c r="K42" s="5"/>
      <c r="L42" s="9" t="b">
        <f t="shared" si="8"/>
        <v>0</v>
      </c>
      <c r="M42" s="12" t="e">
        <f t="shared" si="9"/>
        <v>#VALUE!</v>
      </c>
      <c r="N42" s="12" t="b">
        <f t="shared" si="10"/>
        <v>0</v>
      </c>
      <c r="O42" s="13" t="e">
        <f t="shared" si="11"/>
        <v>#VALUE!</v>
      </c>
      <c r="P42" s="13" t="b">
        <f t="shared" si="12"/>
        <v>0</v>
      </c>
      <c r="Q42" s="5"/>
      <c r="R42" s="5"/>
      <c r="S42" s="14"/>
      <c r="T42" s="5"/>
      <c r="U42" s="1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>
      <c r="A43" s="5"/>
      <c r="B43" s="4"/>
      <c r="C43" s="5"/>
      <c r="D43" s="5"/>
      <c r="E43" s="5"/>
      <c r="F43" s="7" t="b">
        <f t="shared" si="4"/>
        <v>0</v>
      </c>
      <c r="G43" s="8" t="b">
        <f t="shared" si="5"/>
        <v>0</v>
      </c>
      <c r="H43" s="5"/>
      <c r="I43" s="9" t="b">
        <f t="shared" si="6"/>
        <v>0</v>
      </c>
      <c r="J43" s="8" t="b">
        <f t="shared" si="7"/>
        <v>0</v>
      </c>
      <c r="K43" s="5"/>
      <c r="L43" s="9" t="b">
        <f t="shared" si="8"/>
        <v>0</v>
      </c>
      <c r="M43" s="12" t="e">
        <f t="shared" si="9"/>
        <v>#VALUE!</v>
      </c>
      <c r="N43" s="12" t="b">
        <f t="shared" si="10"/>
        <v>0</v>
      </c>
      <c r="O43" s="13" t="e">
        <f t="shared" si="11"/>
        <v>#VALUE!</v>
      </c>
      <c r="P43" s="13" t="b">
        <f t="shared" si="12"/>
        <v>0</v>
      </c>
      <c r="Q43" s="5"/>
      <c r="R43" s="5"/>
      <c r="S43" s="14"/>
      <c r="T43" s="5"/>
      <c r="U43" s="1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>
      <c r="A44" s="5"/>
      <c r="B44" s="4"/>
      <c r="C44" s="5"/>
      <c r="D44" s="5"/>
      <c r="E44" s="5"/>
      <c r="F44" s="7" t="b">
        <f t="shared" si="4"/>
        <v>0</v>
      </c>
      <c r="G44" s="8" t="b">
        <f t="shared" si="5"/>
        <v>0</v>
      </c>
      <c r="H44" s="5"/>
      <c r="I44" s="9" t="b">
        <f t="shared" si="6"/>
        <v>0</v>
      </c>
      <c r="J44" s="8" t="b">
        <f t="shared" si="7"/>
        <v>0</v>
      </c>
      <c r="K44" s="5"/>
      <c r="L44" s="9" t="b">
        <f t="shared" si="8"/>
        <v>0</v>
      </c>
      <c r="M44" s="12" t="e">
        <f t="shared" si="9"/>
        <v>#VALUE!</v>
      </c>
      <c r="N44" s="12" t="b">
        <f t="shared" si="10"/>
        <v>0</v>
      </c>
      <c r="O44" s="13" t="e">
        <f t="shared" si="11"/>
        <v>#VALUE!</v>
      </c>
      <c r="P44" s="13" t="b">
        <f t="shared" si="12"/>
        <v>0</v>
      </c>
      <c r="Q44" s="5"/>
      <c r="R44" s="5"/>
      <c r="S44" s="14"/>
      <c r="T44" s="5"/>
      <c r="U44" s="1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>
      <c r="A45" s="5"/>
      <c r="B45" s="4"/>
      <c r="C45" s="5"/>
      <c r="D45" s="5"/>
      <c r="E45" s="5"/>
      <c r="F45" s="7" t="b">
        <f t="shared" si="4"/>
        <v>0</v>
      </c>
      <c r="G45" s="8" t="b">
        <f t="shared" si="5"/>
        <v>0</v>
      </c>
      <c r="H45" s="5"/>
      <c r="I45" s="9" t="b">
        <f t="shared" si="6"/>
        <v>0</v>
      </c>
      <c r="J45" s="8" t="b">
        <f t="shared" si="7"/>
        <v>0</v>
      </c>
      <c r="K45" s="5"/>
      <c r="L45" s="9" t="b">
        <f t="shared" si="8"/>
        <v>0</v>
      </c>
      <c r="M45" s="12" t="e">
        <f t="shared" si="9"/>
        <v>#VALUE!</v>
      </c>
      <c r="N45" s="12" t="b">
        <f t="shared" si="10"/>
        <v>0</v>
      </c>
      <c r="O45" s="13" t="e">
        <f t="shared" si="11"/>
        <v>#VALUE!</v>
      </c>
      <c r="P45" s="13" t="b">
        <f t="shared" si="12"/>
        <v>0</v>
      </c>
      <c r="Q45" s="5"/>
      <c r="R45" s="5"/>
      <c r="S45" s="14"/>
      <c r="T45" s="5"/>
      <c r="U45" s="1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>
      <c r="A46" s="5"/>
      <c r="B46" s="4"/>
      <c r="C46" s="5"/>
      <c r="D46" s="5"/>
      <c r="E46" s="5"/>
      <c r="F46" s="7" t="b">
        <f t="shared" si="4"/>
        <v>0</v>
      </c>
      <c r="G46" s="8" t="b">
        <f t="shared" si="5"/>
        <v>0</v>
      </c>
      <c r="H46" s="5"/>
      <c r="I46" s="9" t="b">
        <f t="shared" si="6"/>
        <v>0</v>
      </c>
      <c r="J46" s="8" t="b">
        <f t="shared" si="7"/>
        <v>0</v>
      </c>
      <c r="K46" s="5"/>
      <c r="L46" s="9" t="b">
        <f t="shared" si="8"/>
        <v>0</v>
      </c>
      <c r="M46" s="12" t="e">
        <f t="shared" si="9"/>
        <v>#VALUE!</v>
      </c>
      <c r="N46" s="12" t="b">
        <f t="shared" si="10"/>
        <v>0</v>
      </c>
      <c r="O46" s="13" t="e">
        <f t="shared" si="11"/>
        <v>#VALUE!</v>
      </c>
      <c r="P46" s="13" t="b">
        <f t="shared" si="12"/>
        <v>0</v>
      </c>
      <c r="Q46" s="5"/>
      <c r="R46" s="5"/>
      <c r="S46" s="14"/>
      <c r="T46" s="5"/>
      <c r="U46" s="1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>
      <c r="A47" s="5"/>
      <c r="B47" s="4"/>
      <c r="C47" s="5"/>
      <c r="D47" s="5"/>
      <c r="E47" s="5"/>
      <c r="F47" s="7" t="b">
        <f t="shared" si="4"/>
        <v>0</v>
      </c>
      <c r="G47" s="8" t="b">
        <f t="shared" si="5"/>
        <v>0</v>
      </c>
      <c r="H47" s="5"/>
      <c r="I47" s="9" t="b">
        <f t="shared" si="6"/>
        <v>0</v>
      </c>
      <c r="J47" s="8" t="b">
        <f t="shared" si="7"/>
        <v>0</v>
      </c>
      <c r="K47" s="5"/>
      <c r="L47" s="9" t="b">
        <f t="shared" si="8"/>
        <v>0</v>
      </c>
      <c r="M47" s="12" t="e">
        <f t="shared" si="9"/>
        <v>#VALUE!</v>
      </c>
      <c r="N47" s="12" t="b">
        <f t="shared" si="10"/>
        <v>0</v>
      </c>
      <c r="O47" s="13" t="e">
        <f t="shared" si="11"/>
        <v>#VALUE!</v>
      </c>
      <c r="P47" s="13" t="b">
        <f t="shared" si="12"/>
        <v>0</v>
      </c>
      <c r="Q47" s="5"/>
      <c r="R47" s="5"/>
      <c r="S47" s="14"/>
      <c r="T47" s="5"/>
      <c r="U47" s="1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>
      <c r="A48" s="5"/>
      <c r="B48" s="4"/>
      <c r="C48" s="5"/>
      <c r="D48" s="5"/>
      <c r="E48" s="5"/>
      <c r="F48" s="7" t="b">
        <f t="shared" si="4"/>
        <v>0</v>
      </c>
      <c r="G48" s="8" t="b">
        <f t="shared" si="5"/>
        <v>0</v>
      </c>
      <c r="H48" s="5"/>
      <c r="I48" s="9" t="b">
        <f t="shared" si="6"/>
        <v>0</v>
      </c>
      <c r="J48" s="8" t="b">
        <f t="shared" si="7"/>
        <v>0</v>
      </c>
      <c r="K48" s="5"/>
      <c r="L48" s="9" t="b">
        <f t="shared" si="8"/>
        <v>0</v>
      </c>
      <c r="M48" s="12" t="e">
        <f t="shared" si="9"/>
        <v>#VALUE!</v>
      </c>
      <c r="N48" s="12" t="b">
        <f t="shared" si="10"/>
        <v>0</v>
      </c>
      <c r="O48" s="13" t="e">
        <f t="shared" si="11"/>
        <v>#VALUE!</v>
      </c>
      <c r="P48" s="13" t="b">
        <f t="shared" si="12"/>
        <v>0</v>
      </c>
      <c r="Q48" s="5"/>
      <c r="R48" s="5"/>
      <c r="S48" s="14"/>
      <c r="T48" s="5"/>
      <c r="U48" s="1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>
      <c r="A49" s="5"/>
      <c r="B49" s="4"/>
      <c r="C49" s="5"/>
      <c r="D49" s="5"/>
      <c r="E49" s="5"/>
      <c r="F49" s="7" t="b">
        <f t="shared" si="4"/>
        <v>0</v>
      </c>
      <c r="G49" s="8" t="b">
        <f t="shared" si="5"/>
        <v>0</v>
      </c>
      <c r="H49" s="5"/>
      <c r="I49" s="9" t="b">
        <f t="shared" si="6"/>
        <v>0</v>
      </c>
      <c r="J49" s="8" t="b">
        <f t="shared" si="7"/>
        <v>0</v>
      </c>
      <c r="K49" s="5"/>
      <c r="L49" s="9" t="b">
        <f t="shared" si="8"/>
        <v>0</v>
      </c>
      <c r="M49" s="12" t="e">
        <f t="shared" si="9"/>
        <v>#VALUE!</v>
      </c>
      <c r="N49" s="12" t="b">
        <f t="shared" si="10"/>
        <v>0</v>
      </c>
      <c r="O49" s="13" t="e">
        <f t="shared" si="11"/>
        <v>#VALUE!</v>
      </c>
      <c r="P49" s="13" t="b">
        <f t="shared" si="12"/>
        <v>0</v>
      </c>
      <c r="Q49" s="5"/>
      <c r="R49" s="5"/>
      <c r="S49" s="14"/>
      <c r="T49" s="5"/>
      <c r="U49" s="1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>
      <c r="A50" s="5"/>
      <c r="B50" s="4"/>
      <c r="C50" s="5"/>
      <c r="D50" s="5"/>
      <c r="E50" s="5"/>
      <c r="F50" s="7" t="b">
        <f t="shared" si="4"/>
        <v>0</v>
      </c>
      <c r="G50" s="8" t="b">
        <f t="shared" si="5"/>
        <v>0</v>
      </c>
      <c r="H50" s="5"/>
      <c r="I50" s="9" t="b">
        <f t="shared" si="6"/>
        <v>0</v>
      </c>
      <c r="J50" s="8" t="b">
        <f t="shared" si="7"/>
        <v>0</v>
      </c>
      <c r="K50" s="5"/>
      <c r="L50" s="9" t="b">
        <f t="shared" si="8"/>
        <v>0</v>
      </c>
      <c r="M50" s="12" t="e">
        <f t="shared" si="9"/>
        <v>#VALUE!</v>
      </c>
      <c r="N50" s="12" t="b">
        <f t="shared" si="10"/>
        <v>0</v>
      </c>
      <c r="O50" s="13" t="e">
        <f t="shared" si="11"/>
        <v>#VALUE!</v>
      </c>
      <c r="P50" s="13" t="b">
        <f t="shared" si="12"/>
        <v>0</v>
      </c>
      <c r="Q50" s="5"/>
      <c r="R50" s="5"/>
      <c r="S50" s="14"/>
      <c r="T50" s="5"/>
      <c r="U50" s="1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>
      <c r="A51" s="5"/>
      <c r="B51" s="4"/>
      <c r="C51" s="5"/>
      <c r="D51" s="5"/>
      <c r="E51" s="5"/>
      <c r="F51" s="7" t="b">
        <f t="shared" si="4"/>
        <v>0</v>
      </c>
      <c r="G51" s="8" t="b">
        <f t="shared" si="5"/>
        <v>0</v>
      </c>
      <c r="H51" s="5"/>
      <c r="I51" s="9" t="b">
        <f t="shared" si="6"/>
        <v>0</v>
      </c>
      <c r="J51" s="8" t="b">
        <f t="shared" si="7"/>
        <v>0</v>
      </c>
      <c r="K51" s="5"/>
      <c r="L51" s="9" t="b">
        <f t="shared" si="8"/>
        <v>0</v>
      </c>
      <c r="M51" s="12" t="e">
        <f t="shared" si="9"/>
        <v>#VALUE!</v>
      </c>
      <c r="N51" s="12" t="b">
        <f t="shared" si="10"/>
        <v>0</v>
      </c>
      <c r="O51" s="13" t="e">
        <f t="shared" si="11"/>
        <v>#VALUE!</v>
      </c>
      <c r="P51" s="13" t="b">
        <f t="shared" si="12"/>
        <v>0</v>
      </c>
      <c r="Q51" s="5"/>
      <c r="R51" s="5"/>
      <c r="S51" s="14"/>
      <c r="T51" s="5"/>
      <c r="U51" s="1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>
      <c r="A52" s="5"/>
      <c r="B52" s="4"/>
      <c r="C52" s="5"/>
      <c r="D52" s="5"/>
      <c r="E52" s="5"/>
      <c r="F52" s="7" t="b">
        <f t="shared" si="4"/>
        <v>0</v>
      </c>
      <c r="G52" s="8" t="b">
        <f t="shared" si="5"/>
        <v>0</v>
      </c>
      <c r="H52" s="5"/>
      <c r="I52" s="9" t="b">
        <f t="shared" si="6"/>
        <v>0</v>
      </c>
      <c r="J52" s="8" t="b">
        <f t="shared" si="7"/>
        <v>0</v>
      </c>
      <c r="K52" s="5"/>
      <c r="L52" s="9" t="b">
        <f t="shared" si="8"/>
        <v>0</v>
      </c>
      <c r="M52" s="12" t="e">
        <f t="shared" si="9"/>
        <v>#VALUE!</v>
      </c>
      <c r="N52" s="12" t="b">
        <f t="shared" si="10"/>
        <v>0</v>
      </c>
      <c r="O52" s="13" t="e">
        <f t="shared" si="11"/>
        <v>#VALUE!</v>
      </c>
      <c r="P52" s="13" t="b">
        <f t="shared" si="12"/>
        <v>0</v>
      </c>
      <c r="Q52" s="5"/>
      <c r="R52" s="5"/>
      <c r="S52" s="14"/>
      <c r="T52" s="5"/>
      <c r="U52" s="1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>
      <c r="A53" s="5"/>
      <c r="B53" s="4"/>
      <c r="C53" s="5"/>
      <c r="D53" s="5"/>
      <c r="E53" s="5"/>
      <c r="F53" s="7" t="b">
        <f t="shared" si="4"/>
        <v>0</v>
      </c>
      <c r="G53" s="8" t="b">
        <f t="shared" si="5"/>
        <v>0</v>
      </c>
      <c r="H53" s="5"/>
      <c r="I53" s="9" t="b">
        <f t="shared" si="6"/>
        <v>0</v>
      </c>
      <c r="J53" s="8" t="b">
        <f t="shared" si="7"/>
        <v>0</v>
      </c>
      <c r="K53" s="5"/>
      <c r="L53" s="9" t="b">
        <f t="shared" si="8"/>
        <v>0</v>
      </c>
      <c r="M53" s="12" t="e">
        <f t="shared" si="9"/>
        <v>#VALUE!</v>
      </c>
      <c r="N53" s="12" t="b">
        <f t="shared" si="10"/>
        <v>0</v>
      </c>
      <c r="O53" s="13" t="e">
        <f t="shared" si="11"/>
        <v>#VALUE!</v>
      </c>
      <c r="P53" s="13" t="b">
        <f t="shared" si="12"/>
        <v>0</v>
      </c>
      <c r="Q53" s="5"/>
      <c r="R53" s="5"/>
      <c r="S53" s="14"/>
      <c r="T53" s="5"/>
      <c r="U53" s="1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>
      <c r="A54" s="5"/>
      <c r="B54" s="4"/>
      <c r="C54" s="5"/>
      <c r="D54" s="5"/>
      <c r="E54" s="5"/>
      <c r="F54" s="7" t="b">
        <f t="shared" si="4"/>
        <v>0</v>
      </c>
      <c r="G54" s="8" t="b">
        <f t="shared" si="5"/>
        <v>0</v>
      </c>
      <c r="H54" s="5"/>
      <c r="I54" s="9" t="b">
        <f t="shared" si="6"/>
        <v>0</v>
      </c>
      <c r="J54" s="8" t="b">
        <f t="shared" si="7"/>
        <v>0</v>
      </c>
      <c r="K54" s="5"/>
      <c r="L54" s="9" t="b">
        <f t="shared" si="8"/>
        <v>0</v>
      </c>
      <c r="M54" s="12" t="e">
        <f t="shared" si="9"/>
        <v>#VALUE!</v>
      </c>
      <c r="N54" s="12" t="b">
        <f t="shared" si="10"/>
        <v>0</v>
      </c>
      <c r="O54" s="13" t="e">
        <f t="shared" si="11"/>
        <v>#VALUE!</v>
      </c>
      <c r="P54" s="13" t="b">
        <f t="shared" si="12"/>
        <v>0</v>
      </c>
      <c r="Q54" s="5"/>
      <c r="R54" s="5"/>
      <c r="S54" s="14"/>
      <c r="T54" s="5"/>
      <c r="U54" s="1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>
      <c r="A55" s="5"/>
      <c r="B55" s="4"/>
      <c r="C55" s="5"/>
      <c r="D55" s="5"/>
      <c r="E55" s="5"/>
      <c r="F55" s="7" t="b">
        <f t="shared" si="4"/>
        <v>0</v>
      </c>
      <c r="G55" s="8" t="b">
        <f t="shared" si="5"/>
        <v>0</v>
      </c>
      <c r="H55" s="5"/>
      <c r="I55" s="9" t="b">
        <f t="shared" si="6"/>
        <v>0</v>
      </c>
      <c r="J55" s="8" t="b">
        <f t="shared" si="7"/>
        <v>0</v>
      </c>
      <c r="K55" s="5"/>
      <c r="L55" s="9" t="b">
        <f t="shared" si="8"/>
        <v>0</v>
      </c>
      <c r="M55" s="12" t="e">
        <f t="shared" si="9"/>
        <v>#VALUE!</v>
      </c>
      <c r="N55" s="12" t="b">
        <f t="shared" si="10"/>
        <v>0</v>
      </c>
      <c r="O55" s="13" t="e">
        <f t="shared" si="11"/>
        <v>#VALUE!</v>
      </c>
      <c r="P55" s="13" t="b">
        <f t="shared" si="12"/>
        <v>0</v>
      </c>
      <c r="Q55" s="5"/>
      <c r="R55" s="5"/>
      <c r="S55" s="14"/>
      <c r="T55" s="5"/>
      <c r="U55" s="1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>
      <c r="A56" s="5"/>
      <c r="B56" s="4"/>
      <c r="C56" s="5"/>
      <c r="D56" s="5"/>
      <c r="E56" s="5"/>
      <c r="F56" s="7" t="b">
        <f t="shared" si="4"/>
        <v>0</v>
      </c>
      <c r="G56" s="8" t="b">
        <f t="shared" si="5"/>
        <v>0</v>
      </c>
      <c r="H56" s="5"/>
      <c r="I56" s="9" t="b">
        <f t="shared" si="6"/>
        <v>0</v>
      </c>
      <c r="J56" s="8" t="b">
        <f t="shared" si="7"/>
        <v>0</v>
      </c>
      <c r="K56" s="5"/>
      <c r="L56" s="9" t="b">
        <f t="shared" si="8"/>
        <v>0</v>
      </c>
      <c r="M56" s="12" t="e">
        <f t="shared" si="9"/>
        <v>#VALUE!</v>
      </c>
      <c r="N56" s="12" t="b">
        <f t="shared" si="10"/>
        <v>0</v>
      </c>
      <c r="O56" s="13" t="e">
        <f t="shared" si="11"/>
        <v>#VALUE!</v>
      </c>
      <c r="P56" s="13" t="b">
        <f t="shared" si="12"/>
        <v>0</v>
      </c>
      <c r="Q56" s="5"/>
      <c r="R56" s="5"/>
      <c r="S56" s="14"/>
      <c r="T56" s="5"/>
      <c r="U56" s="1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>
      <c r="A57" s="5"/>
      <c r="B57" s="4"/>
      <c r="C57" s="5"/>
      <c r="D57" s="5"/>
      <c r="E57" s="5"/>
      <c r="F57" s="7" t="b">
        <f t="shared" si="4"/>
        <v>0</v>
      </c>
      <c r="G57" s="8" t="b">
        <f t="shared" si="5"/>
        <v>0</v>
      </c>
      <c r="H57" s="5"/>
      <c r="I57" s="9" t="b">
        <f t="shared" si="6"/>
        <v>0</v>
      </c>
      <c r="J57" s="8" t="b">
        <f t="shared" si="7"/>
        <v>0</v>
      </c>
      <c r="K57" s="5"/>
      <c r="L57" s="9" t="b">
        <f t="shared" si="8"/>
        <v>0</v>
      </c>
      <c r="M57" s="12" t="e">
        <f t="shared" si="9"/>
        <v>#VALUE!</v>
      </c>
      <c r="N57" s="12" t="b">
        <f t="shared" si="10"/>
        <v>0</v>
      </c>
      <c r="O57" s="13" t="e">
        <f t="shared" si="11"/>
        <v>#VALUE!</v>
      </c>
      <c r="P57" s="13" t="b">
        <f t="shared" si="12"/>
        <v>0</v>
      </c>
      <c r="Q57" s="5"/>
      <c r="R57" s="5"/>
      <c r="S57" s="14"/>
      <c r="T57" s="5"/>
      <c r="U57" s="1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>
      <c r="A58" s="5"/>
      <c r="B58" s="4"/>
      <c r="C58" s="5"/>
      <c r="D58" s="5"/>
      <c r="E58" s="5"/>
      <c r="F58" s="7" t="b">
        <f t="shared" si="4"/>
        <v>0</v>
      </c>
      <c r="G58" s="8" t="b">
        <f t="shared" si="5"/>
        <v>0</v>
      </c>
      <c r="H58" s="5"/>
      <c r="I58" s="9" t="b">
        <f t="shared" si="6"/>
        <v>0</v>
      </c>
      <c r="J58" s="8" t="b">
        <f t="shared" si="7"/>
        <v>0</v>
      </c>
      <c r="K58" s="5"/>
      <c r="L58" s="9" t="b">
        <f t="shared" si="8"/>
        <v>0</v>
      </c>
      <c r="M58" s="12" t="e">
        <f t="shared" si="9"/>
        <v>#VALUE!</v>
      </c>
      <c r="N58" s="12" t="b">
        <f t="shared" si="10"/>
        <v>0</v>
      </c>
      <c r="O58" s="13" t="e">
        <f t="shared" si="11"/>
        <v>#VALUE!</v>
      </c>
      <c r="P58" s="13" t="b">
        <f t="shared" si="12"/>
        <v>0</v>
      </c>
      <c r="Q58" s="5"/>
      <c r="R58" s="5"/>
      <c r="S58" s="14"/>
      <c r="T58" s="5"/>
      <c r="U58" s="1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>
      <c r="A59" s="5"/>
      <c r="B59" s="4"/>
      <c r="C59" s="5"/>
      <c r="D59" s="5"/>
      <c r="E59" s="5"/>
      <c r="F59" s="7" t="b">
        <f t="shared" si="4"/>
        <v>0</v>
      </c>
      <c r="G59" s="8" t="b">
        <f t="shared" si="5"/>
        <v>0</v>
      </c>
      <c r="H59" s="5"/>
      <c r="I59" s="9" t="b">
        <f t="shared" si="6"/>
        <v>0</v>
      </c>
      <c r="J59" s="8" t="b">
        <f t="shared" si="7"/>
        <v>0</v>
      </c>
      <c r="K59" s="5"/>
      <c r="L59" s="9" t="b">
        <f t="shared" si="8"/>
        <v>0</v>
      </c>
      <c r="M59" s="12" t="e">
        <f t="shared" si="9"/>
        <v>#VALUE!</v>
      </c>
      <c r="N59" s="12" t="b">
        <f t="shared" si="10"/>
        <v>0</v>
      </c>
      <c r="O59" s="13" t="e">
        <f t="shared" si="11"/>
        <v>#VALUE!</v>
      </c>
      <c r="P59" s="13" t="b">
        <f t="shared" si="12"/>
        <v>0</v>
      </c>
      <c r="Q59" s="5"/>
      <c r="R59" s="5"/>
      <c r="S59" s="14"/>
      <c r="T59" s="5"/>
      <c r="U59" s="1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>
      <c r="A60" s="5"/>
      <c r="B60" s="4"/>
      <c r="C60" s="5"/>
      <c r="D60" s="5"/>
      <c r="E60" s="5"/>
      <c r="F60" s="7" t="b">
        <f t="shared" si="4"/>
        <v>0</v>
      </c>
      <c r="G60" s="8" t="b">
        <f t="shared" si="5"/>
        <v>0</v>
      </c>
      <c r="H60" s="5"/>
      <c r="I60" s="9" t="b">
        <f t="shared" si="6"/>
        <v>0</v>
      </c>
      <c r="J60" s="8" t="b">
        <f t="shared" si="7"/>
        <v>0</v>
      </c>
      <c r="K60" s="5"/>
      <c r="L60" s="9" t="b">
        <f t="shared" si="8"/>
        <v>0</v>
      </c>
      <c r="M60" s="12" t="e">
        <f t="shared" si="9"/>
        <v>#VALUE!</v>
      </c>
      <c r="N60" s="12" t="b">
        <f t="shared" si="10"/>
        <v>0</v>
      </c>
      <c r="O60" s="13" t="e">
        <f t="shared" si="11"/>
        <v>#VALUE!</v>
      </c>
      <c r="P60" s="13" t="b">
        <f t="shared" si="12"/>
        <v>0</v>
      </c>
      <c r="Q60" s="5"/>
      <c r="R60" s="5"/>
      <c r="S60" s="14"/>
      <c r="T60" s="5"/>
      <c r="U60" s="1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>
      <c r="A61" s="5"/>
      <c r="B61" s="4"/>
      <c r="C61" s="5"/>
      <c r="D61" s="5"/>
      <c r="E61" s="5"/>
      <c r="F61" s="7" t="b">
        <f t="shared" si="4"/>
        <v>0</v>
      </c>
      <c r="G61" s="8" t="b">
        <f t="shared" si="5"/>
        <v>0</v>
      </c>
      <c r="H61" s="5"/>
      <c r="I61" s="9" t="b">
        <f t="shared" si="6"/>
        <v>0</v>
      </c>
      <c r="J61" s="8" t="b">
        <f t="shared" si="7"/>
        <v>0</v>
      </c>
      <c r="K61" s="5"/>
      <c r="L61" s="9" t="b">
        <f t="shared" si="8"/>
        <v>0</v>
      </c>
      <c r="M61" s="12" t="e">
        <f t="shared" si="9"/>
        <v>#VALUE!</v>
      </c>
      <c r="N61" s="12" t="b">
        <f t="shared" si="10"/>
        <v>0</v>
      </c>
      <c r="O61" s="13" t="e">
        <f t="shared" si="11"/>
        <v>#VALUE!</v>
      </c>
      <c r="P61" s="13" t="b">
        <f t="shared" si="12"/>
        <v>0</v>
      </c>
      <c r="Q61" s="5"/>
      <c r="R61" s="5"/>
      <c r="S61" s="14"/>
      <c r="T61" s="5"/>
      <c r="U61" s="1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>
      <c r="A62" s="5"/>
      <c r="B62" s="4"/>
      <c r="C62" s="5"/>
      <c r="D62" s="5"/>
      <c r="E62" s="5"/>
      <c r="F62" s="7" t="b">
        <f t="shared" si="4"/>
        <v>0</v>
      </c>
      <c r="G62" s="8" t="b">
        <f t="shared" si="5"/>
        <v>0</v>
      </c>
      <c r="H62" s="5"/>
      <c r="I62" s="9" t="b">
        <f t="shared" si="6"/>
        <v>0</v>
      </c>
      <c r="J62" s="8" t="b">
        <f t="shared" si="7"/>
        <v>0</v>
      </c>
      <c r="K62" s="5"/>
      <c r="L62" s="9" t="b">
        <f t="shared" si="8"/>
        <v>0</v>
      </c>
      <c r="M62" s="12" t="e">
        <f t="shared" si="9"/>
        <v>#VALUE!</v>
      </c>
      <c r="N62" s="12" t="b">
        <f t="shared" si="10"/>
        <v>0</v>
      </c>
      <c r="O62" s="13" t="e">
        <f t="shared" si="11"/>
        <v>#VALUE!</v>
      </c>
      <c r="P62" s="13" t="b">
        <f t="shared" si="12"/>
        <v>0</v>
      </c>
      <c r="Q62" s="5"/>
      <c r="R62" s="5"/>
      <c r="S62" s="14"/>
      <c r="T62" s="5"/>
      <c r="U62" s="1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>
      <c r="A63" s="5"/>
      <c r="B63" s="4"/>
      <c r="C63" s="5"/>
      <c r="D63" s="5"/>
      <c r="E63" s="5"/>
      <c r="F63" s="7" t="b">
        <f t="shared" si="4"/>
        <v>0</v>
      </c>
      <c r="G63" s="8" t="b">
        <f t="shared" si="5"/>
        <v>0</v>
      </c>
      <c r="H63" s="5"/>
      <c r="I63" s="9" t="b">
        <f t="shared" si="6"/>
        <v>0</v>
      </c>
      <c r="J63" s="8" t="b">
        <f t="shared" si="7"/>
        <v>0</v>
      </c>
      <c r="K63" s="5"/>
      <c r="L63" s="9" t="b">
        <f t="shared" si="8"/>
        <v>0</v>
      </c>
      <c r="M63" s="12" t="e">
        <f t="shared" si="9"/>
        <v>#VALUE!</v>
      </c>
      <c r="N63" s="12" t="b">
        <f t="shared" si="10"/>
        <v>0</v>
      </c>
      <c r="O63" s="13" t="e">
        <f t="shared" si="11"/>
        <v>#VALUE!</v>
      </c>
      <c r="P63" s="13" t="b">
        <f t="shared" si="12"/>
        <v>0</v>
      </c>
      <c r="Q63" s="5"/>
      <c r="R63" s="5"/>
      <c r="S63" s="14"/>
      <c r="T63" s="5"/>
      <c r="U63" s="1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>
      <c r="A64" s="5"/>
      <c r="B64" s="4"/>
      <c r="C64" s="5"/>
      <c r="D64" s="5"/>
      <c r="E64" s="5"/>
      <c r="F64" s="7" t="b">
        <f t="shared" si="4"/>
        <v>0</v>
      </c>
      <c r="G64" s="8" t="b">
        <f t="shared" si="5"/>
        <v>0</v>
      </c>
      <c r="H64" s="5"/>
      <c r="I64" s="9" t="b">
        <f t="shared" si="6"/>
        <v>0</v>
      </c>
      <c r="J64" s="8" t="b">
        <f t="shared" si="7"/>
        <v>0</v>
      </c>
      <c r="K64" s="5"/>
      <c r="L64" s="9" t="b">
        <f t="shared" si="8"/>
        <v>0</v>
      </c>
      <c r="M64" s="12" t="e">
        <f t="shared" si="9"/>
        <v>#VALUE!</v>
      </c>
      <c r="N64" s="12" t="b">
        <f t="shared" si="10"/>
        <v>0</v>
      </c>
      <c r="O64" s="13" t="e">
        <f t="shared" si="11"/>
        <v>#VALUE!</v>
      </c>
      <c r="P64" s="13" t="b">
        <f t="shared" si="12"/>
        <v>0</v>
      </c>
      <c r="Q64" s="5"/>
      <c r="R64" s="5"/>
      <c r="S64" s="14"/>
      <c r="T64" s="5"/>
      <c r="U64" s="1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>
      <c r="A65" s="5"/>
      <c r="B65" s="4"/>
      <c r="C65" s="5"/>
      <c r="D65" s="5"/>
      <c r="E65" s="5"/>
      <c r="F65" s="7" t="b">
        <f t="shared" si="4"/>
        <v>0</v>
      </c>
      <c r="G65" s="8" t="b">
        <f t="shared" si="5"/>
        <v>0</v>
      </c>
      <c r="H65" s="5"/>
      <c r="I65" s="9" t="b">
        <f t="shared" si="6"/>
        <v>0</v>
      </c>
      <c r="J65" s="8" t="b">
        <f t="shared" si="7"/>
        <v>0</v>
      </c>
      <c r="K65" s="5"/>
      <c r="L65" s="9" t="b">
        <f t="shared" si="8"/>
        <v>0</v>
      </c>
      <c r="M65" s="12" t="e">
        <f t="shared" si="9"/>
        <v>#VALUE!</v>
      </c>
      <c r="N65" s="12" t="b">
        <f t="shared" si="10"/>
        <v>0</v>
      </c>
      <c r="O65" s="13" t="e">
        <f t="shared" si="11"/>
        <v>#VALUE!</v>
      </c>
      <c r="P65" s="13" t="b">
        <f t="shared" si="12"/>
        <v>0</v>
      </c>
      <c r="Q65" s="5"/>
      <c r="R65" s="5"/>
      <c r="S65" s="14"/>
      <c r="T65" s="5"/>
      <c r="U65" s="1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>
      <c r="A66" s="5"/>
      <c r="B66" s="4"/>
      <c r="C66" s="5"/>
      <c r="D66" s="5"/>
      <c r="E66" s="5"/>
      <c r="F66" s="7" t="b">
        <f t="shared" si="4"/>
        <v>0</v>
      </c>
      <c r="G66" s="8" t="b">
        <f t="shared" si="5"/>
        <v>0</v>
      </c>
      <c r="H66" s="5"/>
      <c r="I66" s="9" t="b">
        <f t="shared" si="6"/>
        <v>0</v>
      </c>
      <c r="J66" s="8" t="b">
        <f t="shared" si="7"/>
        <v>0</v>
      </c>
      <c r="K66" s="5"/>
      <c r="L66" s="9" t="b">
        <f t="shared" si="8"/>
        <v>0</v>
      </c>
      <c r="M66" s="12" t="e">
        <f t="shared" si="9"/>
        <v>#VALUE!</v>
      </c>
      <c r="N66" s="12" t="b">
        <f t="shared" si="10"/>
        <v>0</v>
      </c>
      <c r="O66" s="13" t="e">
        <f t="shared" si="11"/>
        <v>#VALUE!</v>
      </c>
      <c r="P66" s="13" t="b">
        <f t="shared" si="12"/>
        <v>0</v>
      </c>
      <c r="Q66" s="5"/>
      <c r="R66" s="5"/>
      <c r="S66" s="14"/>
      <c r="T66" s="5"/>
      <c r="U66" s="1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>
      <c r="A67" s="5"/>
      <c r="B67" s="4"/>
      <c r="C67" s="5"/>
      <c r="D67" s="5"/>
      <c r="E67" s="5"/>
      <c r="F67" s="7" t="b">
        <f t="shared" si="4"/>
        <v>0</v>
      </c>
      <c r="G67" s="8" t="b">
        <f t="shared" si="5"/>
        <v>0</v>
      </c>
      <c r="H67" s="5"/>
      <c r="I67" s="9" t="b">
        <f t="shared" si="6"/>
        <v>0</v>
      </c>
      <c r="J67" s="8" t="b">
        <f t="shared" si="7"/>
        <v>0</v>
      </c>
      <c r="K67" s="5"/>
      <c r="L67" s="9" t="b">
        <f t="shared" si="8"/>
        <v>0</v>
      </c>
      <c r="M67" s="12" t="e">
        <f t="shared" ref="M67:M101" si="13">MROUND(IF(B67="BUY",MAX(F67,I67),IF(B67="SELL",MIN(F67,I67))),0.1)</f>
        <v>#VALUE!</v>
      </c>
      <c r="N67" s="12" t="b">
        <f t="shared" ref="N67:N98" si="14">IF(B67="BUY",(M67*(1-0.1%)),IF(B67="SELL",(M67*(1+0.1%))))</f>
        <v>0</v>
      </c>
      <c r="O67" s="13" t="e">
        <f t="shared" ref="O67:O101" si="15">MROUND(IF(B67="BUY",MAX(F67,L67),IF(B67="SELL",MIN(F67,L67))),0.1)</f>
        <v>#VALUE!</v>
      </c>
      <c r="P67" s="13" t="b">
        <f t="shared" ref="P67:P98" si="16">IF(B67="BUY",(O67*(1-0.1%)),IF(B67="SELL",(O67*(1+0.1%))))</f>
        <v>0</v>
      </c>
      <c r="Q67" s="5"/>
      <c r="R67" s="5"/>
      <c r="S67" s="14"/>
      <c r="T67" s="5"/>
      <c r="U67" s="1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>
      <c r="A68" s="5"/>
      <c r="B68" s="4"/>
      <c r="C68" s="5"/>
      <c r="D68" s="5"/>
      <c r="E68" s="5"/>
      <c r="F68" s="7" t="b">
        <f t="shared" ref="F68:F101" si="17">IF(B68="BUY",(C68*(1-4%)),IF(B68="SELL",(C68*(1+4%))))</f>
        <v>0</v>
      </c>
      <c r="G68" s="8" t="b">
        <f t="shared" ref="G68:G101" si="18">IF(B68="BUY","2DLL",IF(B68="SELL","2DHH"))</f>
        <v>0</v>
      </c>
      <c r="H68" s="5"/>
      <c r="I68" s="9" t="b">
        <f t="shared" ref="I68:I101" si="19">IF(G68="2DHH",(H68*(1+0.4%)),IF(G68="2DLL",(H68*(1-0.4%))))</f>
        <v>0</v>
      </c>
      <c r="J68" s="8" t="b">
        <f t="shared" ref="J68:J101" si="20">IF(B68="BUY","3DLL",IF(B68="SELL","3DHH"))</f>
        <v>0</v>
      </c>
      <c r="K68" s="5"/>
      <c r="L68" s="9" t="b">
        <f t="shared" ref="L68:L101" si="21">IF(J68="3DHH",(K68*(1+0.4%)),IF(J68="3DLL",(K68*(1-0.4%))))</f>
        <v>0</v>
      </c>
      <c r="M68" s="12" t="e">
        <f t="shared" si="13"/>
        <v>#VALUE!</v>
      </c>
      <c r="N68" s="12" t="b">
        <f t="shared" si="14"/>
        <v>0</v>
      </c>
      <c r="O68" s="13" t="e">
        <f t="shared" si="15"/>
        <v>#VALUE!</v>
      </c>
      <c r="P68" s="13" t="b">
        <f t="shared" si="16"/>
        <v>0</v>
      </c>
      <c r="Q68" s="5"/>
      <c r="R68" s="5"/>
      <c r="S68" s="14"/>
      <c r="T68" s="5"/>
      <c r="U68" s="1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>
      <c r="A69" s="5"/>
      <c r="B69" s="4"/>
      <c r="C69" s="5"/>
      <c r="D69" s="5"/>
      <c r="E69" s="5"/>
      <c r="F69" s="7" t="b">
        <f t="shared" si="17"/>
        <v>0</v>
      </c>
      <c r="G69" s="8" t="b">
        <f t="shared" si="18"/>
        <v>0</v>
      </c>
      <c r="H69" s="5"/>
      <c r="I69" s="9" t="b">
        <f t="shared" si="19"/>
        <v>0</v>
      </c>
      <c r="J69" s="8" t="b">
        <f t="shared" si="20"/>
        <v>0</v>
      </c>
      <c r="K69" s="5"/>
      <c r="L69" s="9" t="b">
        <f t="shared" si="21"/>
        <v>0</v>
      </c>
      <c r="M69" s="12" t="e">
        <f t="shared" si="13"/>
        <v>#VALUE!</v>
      </c>
      <c r="N69" s="12" t="b">
        <f t="shared" si="14"/>
        <v>0</v>
      </c>
      <c r="O69" s="13" t="e">
        <f t="shared" si="15"/>
        <v>#VALUE!</v>
      </c>
      <c r="P69" s="13" t="b">
        <f t="shared" si="16"/>
        <v>0</v>
      </c>
      <c r="Q69" s="5"/>
      <c r="R69" s="5"/>
      <c r="S69" s="14"/>
      <c r="T69" s="5"/>
      <c r="U69" s="1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>
      <c r="A70" s="5"/>
      <c r="B70" s="4"/>
      <c r="C70" s="5"/>
      <c r="D70" s="5"/>
      <c r="E70" s="5"/>
      <c r="F70" s="7" t="b">
        <f t="shared" si="17"/>
        <v>0</v>
      </c>
      <c r="G70" s="8" t="b">
        <f t="shared" si="18"/>
        <v>0</v>
      </c>
      <c r="H70" s="5"/>
      <c r="I70" s="9" t="b">
        <f t="shared" si="19"/>
        <v>0</v>
      </c>
      <c r="J70" s="8" t="b">
        <f t="shared" si="20"/>
        <v>0</v>
      </c>
      <c r="K70" s="5"/>
      <c r="L70" s="9" t="b">
        <f t="shared" si="21"/>
        <v>0</v>
      </c>
      <c r="M70" s="12" t="e">
        <f t="shared" si="13"/>
        <v>#VALUE!</v>
      </c>
      <c r="N70" s="12" t="b">
        <f t="shared" si="14"/>
        <v>0</v>
      </c>
      <c r="O70" s="13" t="e">
        <f t="shared" si="15"/>
        <v>#VALUE!</v>
      </c>
      <c r="P70" s="13" t="b">
        <f t="shared" si="16"/>
        <v>0</v>
      </c>
      <c r="Q70" s="5"/>
      <c r="R70" s="5"/>
      <c r="S70" s="14"/>
      <c r="T70" s="5"/>
      <c r="U70" s="1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>
      <c r="A71" s="5"/>
      <c r="B71" s="4"/>
      <c r="C71" s="5"/>
      <c r="D71" s="5"/>
      <c r="E71" s="5"/>
      <c r="F71" s="7" t="b">
        <f t="shared" si="17"/>
        <v>0</v>
      </c>
      <c r="G71" s="8" t="b">
        <f t="shared" si="18"/>
        <v>0</v>
      </c>
      <c r="H71" s="5"/>
      <c r="I71" s="9" t="b">
        <f t="shared" si="19"/>
        <v>0</v>
      </c>
      <c r="J71" s="8" t="b">
        <f t="shared" si="20"/>
        <v>0</v>
      </c>
      <c r="K71" s="5"/>
      <c r="L71" s="9" t="b">
        <f t="shared" si="21"/>
        <v>0</v>
      </c>
      <c r="M71" s="12" t="e">
        <f t="shared" si="13"/>
        <v>#VALUE!</v>
      </c>
      <c r="N71" s="12" t="b">
        <f t="shared" si="14"/>
        <v>0</v>
      </c>
      <c r="O71" s="13" t="e">
        <f t="shared" si="15"/>
        <v>#VALUE!</v>
      </c>
      <c r="P71" s="13" t="b">
        <f t="shared" si="16"/>
        <v>0</v>
      </c>
      <c r="Q71" s="5"/>
      <c r="R71" s="5"/>
      <c r="S71" s="14"/>
      <c r="T71" s="5"/>
      <c r="U71" s="1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>
      <c r="A72" s="5"/>
      <c r="B72" s="4"/>
      <c r="C72" s="5"/>
      <c r="D72" s="5"/>
      <c r="E72" s="5"/>
      <c r="F72" s="7" t="b">
        <f t="shared" si="17"/>
        <v>0</v>
      </c>
      <c r="G72" s="8" t="b">
        <f t="shared" si="18"/>
        <v>0</v>
      </c>
      <c r="H72" s="5"/>
      <c r="I72" s="9" t="b">
        <f t="shared" si="19"/>
        <v>0</v>
      </c>
      <c r="J72" s="8" t="b">
        <f t="shared" si="20"/>
        <v>0</v>
      </c>
      <c r="K72" s="5"/>
      <c r="L72" s="9" t="b">
        <f t="shared" si="21"/>
        <v>0</v>
      </c>
      <c r="M72" s="12" t="e">
        <f t="shared" si="13"/>
        <v>#VALUE!</v>
      </c>
      <c r="N72" s="12" t="b">
        <f t="shared" si="14"/>
        <v>0</v>
      </c>
      <c r="O72" s="13" t="e">
        <f t="shared" si="15"/>
        <v>#VALUE!</v>
      </c>
      <c r="P72" s="13" t="b">
        <f t="shared" si="16"/>
        <v>0</v>
      </c>
      <c r="Q72" s="5"/>
      <c r="R72" s="5"/>
      <c r="S72" s="14"/>
      <c r="T72" s="5"/>
      <c r="U72" s="1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>
      <c r="A73" s="5"/>
      <c r="B73" s="4"/>
      <c r="C73" s="5"/>
      <c r="D73" s="5"/>
      <c r="E73" s="5"/>
      <c r="F73" s="7" t="b">
        <f t="shared" si="17"/>
        <v>0</v>
      </c>
      <c r="G73" s="8" t="b">
        <f t="shared" si="18"/>
        <v>0</v>
      </c>
      <c r="H73" s="5"/>
      <c r="I73" s="9" t="b">
        <f t="shared" si="19"/>
        <v>0</v>
      </c>
      <c r="J73" s="8" t="b">
        <f t="shared" si="20"/>
        <v>0</v>
      </c>
      <c r="K73" s="5"/>
      <c r="L73" s="9" t="b">
        <f t="shared" si="21"/>
        <v>0</v>
      </c>
      <c r="M73" s="12" t="e">
        <f t="shared" si="13"/>
        <v>#VALUE!</v>
      </c>
      <c r="N73" s="12" t="b">
        <f t="shared" si="14"/>
        <v>0</v>
      </c>
      <c r="O73" s="13" t="e">
        <f t="shared" si="15"/>
        <v>#VALUE!</v>
      </c>
      <c r="P73" s="13" t="b">
        <f t="shared" si="16"/>
        <v>0</v>
      </c>
      <c r="Q73" s="5"/>
      <c r="R73" s="5"/>
      <c r="S73" s="14"/>
      <c r="T73" s="5"/>
      <c r="U73" s="1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>
      <c r="A74" s="5"/>
      <c r="B74" s="4"/>
      <c r="C74" s="5"/>
      <c r="D74" s="5"/>
      <c r="E74" s="5"/>
      <c r="F74" s="7" t="b">
        <f t="shared" si="17"/>
        <v>0</v>
      </c>
      <c r="G74" s="8" t="b">
        <f t="shared" si="18"/>
        <v>0</v>
      </c>
      <c r="H74" s="5"/>
      <c r="I74" s="9" t="b">
        <f t="shared" si="19"/>
        <v>0</v>
      </c>
      <c r="J74" s="8" t="b">
        <f t="shared" si="20"/>
        <v>0</v>
      </c>
      <c r="K74" s="5"/>
      <c r="L74" s="9" t="b">
        <f t="shared" si="21"/>
        <v>0</v>
      </c>
      <c r="M74" s="12" t="e">
        <f t="shared" si="13"/>
        <v>#VALUE!</v>
      </c>
      <c r="N74" s="12" t="b">
        <f t="shared" si="14"/>
        <v>0</v>
      </c>
      <c r="O74" s="13" t="e">
        <f t="shared" si="15"/>
        <v>#VALUE!</v>
      </c>
      <c r="P74" s="13" t="b">
        <f t="shared" si="16"/>
        <v>0</v>
      </c>
      <c r="Q74" s="5"/>
      <c r="R74" s="5"/>
      <c r="S74" s="14"/>
      <c r="T74" s="5"/>
      <c r="U74" s="1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>
      <c r="A75" s="5"/>
      <c r="B75" s="4"/>
      <c r="C75" s="5"/>
      <c r="D75" s="5"/>
      <c r="E75" s="5"/>
      <c r="F75" s="7" t="b">
        <f t="shared" si="17"/>
        <v>0</v>
      </c>
      <c r="G75" s="8" t="b">
        <f t="shared" si="18"/>
        <v>0</v>
      </c>
      <c r="H75" s="5"/>
      <c r="I75" s="9" t="b">
        <f t="shared" si="19"/>
        <v>0</v>
      </c>
      <c r="J75" s="8" t="b">
        <f t="shared" si="20"/>
        <v>0</v>
      </c>
      <c r="K75" s="5"/>
      <c r="L75" s="9" t="b">
        <f t="shared" si="21"/>
        <v>0</v>
      </c>
      <c r="M75" s="12" t="e">
        <f t="shared" si="13"/>
        <v>#VALUE!</v>
      </c>
      <c r="N75" s="12" t="b">
        <f t="shared" si="14"/>
        <v>0</v>
      </c>
      <c r="O75" s="13" t="e">
        <f t="shared" si="15"/>
        <v>#VALUE!</v>
      </c>
      <c r="P75" s="13" t="b">
        <f t="shared" si="16"/>
        <v>0</v>
      </c>
      <c r="Q75" s="5"/>
      <c r="R75" s="5"/>
      <c r="S75" s="14"/>
      <c r="T75" s="5"/>
      <c r="U75" s="1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>
      <c r="A76" s="5"/>
      <c r="B76" s="4"/>
      <c r="C76" s="5"/>
      <c r="D76" s="5"/>
      <c r="E76" s="5"/>
      <c r="F76" s="7" t="b">
        <f t="shared" si="17"/>
        <v>0</v>
      </c>
      <c r="G76" s="8" t="b">
        <f t="shared" si="18"/>
        <v>0</v>
      </c>
      <c r="H76" s="5"/>
      <c r="I76" s="9" t="b">
        <f t="shared" si="19"/>
        <v>0</v>
      </c>
      <c r="J76" s="8" t="b">
        <f t="shared" si="20"/>
        <v>0</v>
      </c>
      <c r="K76" s="5"/>
      <c r="L76" s="9" t="b">
        <f t="shared" si="21"/>
        <v>0</v>
      </c>
      <c r="M76" s="12" t="e">
        <f t="shared" si="13"/>
        <v>#VALUE!</v>
      </c>
      <c r="N76" s="12" t="b">
        <f t="shared" si="14"/>
        <v>0</v>
      </c>
      <c r="O76" s="13" t="e">
        <f t="shared" si="15"/>
        <v>#VALUE!</v>
      </c>
      <c r="P76" s="13" t="b">
        <f t="shared" si="16"/>
        <v>0</v>
      </c>
      <c r="Q76" s="5"/>
      <c r="R76" s="5"/>
      <c r="S76" s="14"/>
      <c r="T76" s="5"/>
      <c r="U76" s="1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>
      <c r="A77" s="5"/>
      <c r="B77" s="4"/>
      <c r="C77" s="5"/>
      <c r="D77" s="5"/>
      <c r="E77" s="5"/>
      <c r="F77" s="7" t="b">
        <f t="shared" si="17"/>
        <v>0</v>
      </c>
      <c r="G77" s="8" t="b">
        <f t="shared" si="18"/>
        <v>0</v>
      </c>
      <c r="H77" s="5"/>
      <c r="I77" s="9" t="b">
        <f t="shared" si="19"/>
        <v>0</v>
      </c>
      <c r="J77" s="8" t="b">
        <f t="shared" si="20"/>
        <v>0</v>
      </c>
      <c r="K77" s="5"/>
      <c r="L77" s="9" t="b">
        <f t="shared" si="21"/>
        <v>0</v>
      </c>
      <c r="M77" s="12" t="e">
        <f t="shared" si="13"/>
        <v>#VALUE!</v>
      </c>
      <c r="N77" s="12" t="b">
        <f t="shared" si="14"/>
        <v>0</v>
      </c>
      <c r="O77" s="13" t="e">
        <f t="shared" si="15"/>
        <v>#VALUE!</v>
      </c>
      <c r="P77" s="13" t="b">
        <f t="shared" si="16"/>
        <v>0</v>
      </c>
      <c r="Q77" s="5"/>
      <c r="R77" s="5"/>
      <c r="S77" s="14"/>
      <c r="T77" s="5"/>
      <c r="U77" s="1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>
      <c r="A78" s="5"/>
      <c r="B78" s="4"/>
      <c r="C78" s="5"/>
      <c r="D78" s="5"/>
      <c r="E78" s="5"/>
      <c r="F78" s="7" t="b">
        <f t="shared" si="17"/>
        <v>0</v>
      </c>
      <c r="G78" s="8" t="b">
        <f t="shared" si="18"/>
        <v>0</v>
      </c>
      <c r="H78" s="5"/>
      <c r="I78" s="9" t="b">
        <f t="shared" si="19"/>
        <v>0</v>
      </c>
      <c r="J78" s="8" t="b">
        <f t="shared" si="20"/>
        <v>0</v>
      </c>
      <c r="K78" s="5"/>
      <c r="L78" s="9" t="b">
        <f t="shared" si="21"/>
        <v>0</v>
      </c>
      <c r="M78" s="12" t="e">
        <f t="shared" si="13"/>
        <v>#VALUE!</v>
      </c>
      <c r="N78" s="12" t="b">
        <f t="shared" si="14"/>
        <v>0</v>
      </c>
      <c r="O78" s="13" t="e">
        <f t="shared" si="15"/>
        <v>#VALUE!</v>
      </c>
      <c r="P78" s="13" t="b">
        <f t="shared" si="16"/>
        <v>0</v>
      </c>
      <c r="Q78" s="5"/>
      <c r="R78" s="5"/>
      <c r="S78" s="14"/>
      <c r="T78" s="5"/>
      <c r="U78" s="1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>
      <c r="A79" s="5"/>
      <c r="B79" s="4"/>
      <c r="C79" s="5"/>
      <c r="D79" s="5"/>
      <c r="E79" s="5"/>
      <c r="F79" s="7" t="b">
        <f t="shared" si="17"/>
        <v>0</v>
      </c>
      <c r="G79" s="8" t="b">
        <f t="shared" si="18"/>
        <v>0</v>
      </c>
      <c r="H79" s="5"/>
      <c r="I79" s="9" t="b">
        <f t="shared" si="19"/>
        <v>0</v>
      </c>
      <c r="J79" s="8" t="b">
        <f t="shared" si="20"/>
        <v>0</v>
      </c>
      <c r="K79" s="5"/>
      <c r="L79" s="9" t="b">
        <f t="shared" si="21"/>
        <v>0</v>
      </c>
      <c r="M79" s="12" t="e">
        <f t="shared" si="13"/>
        <v>#VALUE!</v>
      </c>
      <c r="N79" s="12" t="b">
        <f t="shared" si="14"/>
        <v>0</v>
      </c>
      <c r="O79" s="13" t="e">
        <f t="shared" si="15"/>
        <v>#VALUE!</v>
      </c>
      <c r="P79" s="13" t="b">
        <f t="shared" si="16"/>
        <v>0</v>
      </c>
      <c r="Q79" s="5"/>
      <c r="R79" s="5"/>
      <c r="S79" s="14"/>
      <c r="T79" s="5"/>
      <c r="U79" s="1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>
      <c r="A80" s="5"/>
      <c r="B80" s="4"/>
      <c r="C80" s="5"/>
      <c r="D80" s="5"/>
      <c r="E80" s="5"/>
      <c r="F80" s="7" t="b">
        <f t="shared" si="17"/>
        <v>0</v>
      </c>
      <c r="G80" s="8" t="b">
        <f t="shared" si="18"/>
        <v>0</v>
      </c>
      <c r="H80" s="5"/>
      <c r="I80" s="9" t="b">
        <f t="shared" si="19"/>
        <v>0</v>
      </c>
      <c r="J80" s="8" t="b">
        <f t="shared" si="20"/>
        <v>0</v>
      </c>
      <c r="K80" s="5"/>
      <c r="L80" s="9" t="b">
        <f t="shared" si="21"/>
        <v>0</v>
      </c>
      <c r="M80" s="12" t="e">
        <f t="shared" si="13"/>
        <v>#VALUE!</v>
      </c>
      <c r="N80" s="12" t="b">
        <f t="shared" si="14"/>
        <v>0</v>
      </c>
      <c r="O80" s="13" t="e">
        <f t="shared" si="15"/>
        <v>#VALUE!</v>
      </c>
      <c r="P80" s="13" t="b">
        <f t="shared" si="16"/>
        <v>0</v>
      </c>
      <c r="Q80" s="5"/>
      <c r="R80" s="5"/>
      <c r="S80" s="14"/>
      <c r="T80" s="5"/>
      <c r="U80" s="1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>
      <c r="A81" s="5"/>
      <c r="B81" s="4"/>
      <c r="C81" s="5"/>
      <c r="D81" s="5"/>
      <c r="E81" s="5"/>
      <c r="F81" s="7" t="b">
        <f t="shared" si="17"/>
        <v>0</v>
      </c>
      <c r="G81" s="8" t="b">
        <f t="shared" si="18"/>
        <v>0</v>
      </c>
      <c r="H81" s="5"/>
      <c r="I81" s="9" t="b">
        <f t="shared" si="19"/>
        <v>0</v>
      </c>
      <c r="J81" s="8" t="b">
        <f t="shared" si="20"/>
        <v>0</v>
      </c>
      <c r="K81" s="5"/>
      <c r="L81" s="9" t="b">
        <f t="shared" si="21"/>
        <v>0</v>
      </c>
      <c r="M81" s="12" t="e">
        <f t="shared" si="13"/>
        <v>#VALUE!</v>
      </c>
      <c r="N81" s="12" t="b">
        <f t="shared" si="14"/>
        <v>0</v>
      </c>
      <c r="O81" s="13" t="e">
        <f t="shared" si="15"/>
        <v>#VALUE!</v>
      </c>
      <c r="P81" s="13" t="b">
        <f t="shared" si="16"/>
        <v>0</v>
      </c>
      <c r="Q81" s="5"/>
      <c r="R81" s="5"/>
      <c r="S81" s="14"/>
      <c r="T81" s="5"/>
      <c r="U81" s="1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>
      <c r="A82" s="5"/>
      <c r="B82" s="4"/>
      <c r="C82" s="5"/>
      <c r="D82" s="5"/>
      <c r="E82" s="5"/>
      <c r="F82" s="7" t="b">
        <f t="shared" si="17"/>
        <v>0</v>
      </c>
      <c r="G82" s="8" t="b">
        <f t="shared" si="18"/>
        <v>0</v>
      </c>
      <c r="H82" s="5"/>
      <c r="I82" s="9" t="b">
        <f t="shared" si="19"/>
        <v>0</v>
      </c>
      <c r="J82" s="8" t="b">
        <f t="shared" si="20"/>
        <v>0</v>
      </c>
      <c r="K82" s="5"/>
      <c r="L82" s="9" t="b">
        <f t="shared" si="21"/>
        <v>0</v>
      </c>
      <c r="M82" s="12" t="e">
        <f t="shared" si="13"/>
        <v>#VALUE!</v>
      </c>
      <c r="N82" s="12" t="b">
        <f t="shared" si="14"/>
        <v>0</v>
      </c>
      <c r="O82" s="13" t="e">
        <f t="shared" si="15"/>
        <v>#VALUE!</v>
      </c>
      <c r="P82" s="13" t="b">
        <f t="shared" si="16"/>
        <v>0</v>
      </c>
      <c r="Q82" s="5"/>
      <c r="R82" s="5"/>
      <c r="S82" s="14"/>
      <c r="T82" s="5"/>
      <c r="U82" s="1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>
      <c r="A83" s="5"/>
      <c r="B83" s="4"/>
      <c r="C83" s="5"/>
      <c r="D83" s="5"/>
      <c r="E83" s="5"/>
      <c r="F83" s="7" t="b">
        <f t="shared" si="17"/>
        <v>0</v>
      </c>
      <c r="G83" s="8" t="b">
        <f t="shared" si="18"/>
        <v>0</v>
      </c>
      <c r="H83" s="5"/>
      <c r="I83" s="9" t="b">
        <f t="shared" si="19"/>
        <v>0</v>
      </c>
      <c r="J83" s="8" t="b">
        <f t="shared" si="20"/>
        <v>0</v>
      </c>
      <c r="K83" s="5"/>
      <c r="L83" s="9" t="b">
        <f t="shared" si="21"/>
        <v>0</v>
      </c>
      <c r="M83" s="12" t="e">
        <f t="shared" si="13"/>
        <v>#VALUE!</v>
      </c>
      <c r="N83" s="12" t="b">
        <f t="shared" si="14"/>
        <v>0</v>
      </c>
      <c r="O83" s="13" t="e">
        <f t="shared" si="15"/>
        <v>#VALUE!</v>
      </c>
      <c r="P83" s="13" t="b">
        <f t="shared" si="16"/>
        <v>0</v>
      </c>
      <c r="Q83" s="5"/>
      <c r="R83" s="5"/>
      <c r="S83" s="14"/>
      <c r="T83" s="5"/>
      <c r="U83" s="1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>
      <c r="A84" s="5"/>
      <c r="B84" s="4"/>
      <c r="C84" s="5"/>
      <c r="D84" s="5"/>
      <c r="E84" s="5"/>
      <c r="F84" s="7" t="b">
        <f t="shared" si="17"/>
        <v>0</v>
      </c>
      <c r="G84" s="8" t="b">
        <f t="shared" si="18"/>
        <v>0</v>
      </c>
      <c r="H84" s="5"/>
      <c r="I84" s="9" t="b">
        <f t="shared" si="19"/>
        <v>0</v>
      </c>
      <c r="J84" s="8" t="b">
        <f t="shared" si="20"/>
        <v>0</v>
      </c>
      <c r="K84" s="5"/>
      <c r="L84" s="9" t="b">
        <f t="shared" si="21"/>
        <v>0</v>
      </c>
      <c r="M84" s="12" t="e">
        <f t="shared" si="13"/>
        <v>#VALUE!</v>
      </c>
      <c r="N84" s="12" t="b">
        <f t="shared" si="14"/>
        <v>0</v>
      </c>
      <c r="O84" s="13" t="e">
        <f t="shared" si="15"/>
        <v>#VALUE!</v>
      </c>
      <c r="P84" s="13" t="b">
        <f t="shared" si="16"/>
        <v>0</v>
      </c>
      <c r="Q84" s="5"/>
      <c r="R84" s="5"/>
      <c r="S84" s="14"/>
      <c r="T84" s="5"/>
      <c r="U84" s="1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>
      <c r="A85" s="5"/>
      <c r="B85" s="4"/>
      <c r="C85" s="5"/>
      <c r="D85" s="5"/>
      <c r="E85" s="5"/>
      <c r="F85" s="7" t="b">
        <f t="shared" si="17"/>
        <v>0</v>
      </c>
      <c r="G85" s="8" t="b">
        <f t="shared" si="18"/>
        <v>0</v>
      </c>
      <c r="H85" s="5"/>
      <c r="I85" s="9" t="b">
        <f t="shared" si="19"/>
        <v>0</v>
      </c>
      <c r="J85" s="8" t="b">
        <f t="shared" si="20"/>
        <v>0</v>
      </c>
      <c r="K85" s="5"/>
      <c r="L85" s="9" t="b">
        <f t="shared" si="21"/>
        <v>0</v>
      </c>
      <c r="M85" s="12" t="e">
        <f t="shared" si="13"/>
        <v>#VALUE!</v>
      </c>
      <c r="N85" s="12" t="b">
        <f t="shared" si="14"/>
        <v>0</v>
      </c>
      <c r="O85" s="13" t="e">
        <f t="shared" si="15"/>
        <v>#VALUE!</v>
      </c>
      <c r="P85" s="13" t="b">
        <f t="shared" si="16"/>
        <v>0</v>
      </c>
      <c r="Q85" s="5"/>
      <c r="R85" s="5"/>
      <c r="S85" s="14"/>
      <c r="T85" s="5"/>
      <c r="U85" s="1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>
      <c r="A86" s="5"/>
      <c r="B86" s="4"/>
      <c r="C86" s="5"/>
      <c r="D86" s="5"/>
      <c r="E86" s="5"/>
      <c r="F86" s="7" t="b">
        <f t="shared" si="17"/>
        <v>0</v>
      </c>
      <c r="G86" s="8" t="b">
        <f t="shared" si="18"/>
        <v>0</v>
      </c>
      <c r="H86" s="5"/>
      <c r="I86" s="9" t="b">
        <f t="shared" si="19"/>
        <v>0</v>
      </c>
      <c r="J86" s="8" t="b">
        <f t="shared" si="20"/>
        <v>0</v>
      </c>
      <c r="K86" s="5"/>
      <c r="L86" s="9" t="b">
        <f t="shared" si="21"/>
        <v>0</v>
      </c>
      <c r="M86" s="12" t="e">
        <f t="shared" si="13"/>
        <v>#VALUE!</v>
      </c>
      <c r="N86" s="12" t="b">
        <f t="shared" si="14"/>
        <v>0</v>
      </c>
      <c r="O86" s="13" t="e">
        <f t="shared" si="15"/>
        <v>#VALUE!</v>
      </c>
      <c r="P86" s="13" t="b">
        <f t="shared" si="16"/>
        <v>0</v>
      </c>
      <c r="Q86" s="5"/>
      <c r="R86" s="5"/>
      <c r="S86" s="14"/>
      <c r="T86" s="5"/>
      <c r="U86" s="1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>
      <c r="A87" s="5"/>
      <c r="B87" s="4"/>
      <c r="C87" s="5"/>
      <c r="D87" s="5"/>
      <c r="E87" s="5"/>
      <c r="F87" s="7" t="b">
        <f t="shared" si="17"/>
        <v>0</v>
      </c>
      <c r="G87" s="8" t="b">
        <f t="shared" si="18"/>
        <v>0</v>
      </c>
      <c r="H87" s="5"/>
      <c r="I87" s="9" t="b">
        <f t="shared" si="19"/>
        <v>0</v>
      </c>
      <c r="J87" s="8" t="b">
        <f t="shared" si="20"/>
        <v>0</v>
      </c>
      <c r="K87" s="5"/>
      <c r="L87" s="9" t="b">
        <f t="shared" si="21"/>
        <v>0</v>
      </c>
      <c r="M87" s="12" t="e">
        <f t="shared" si="13"/>
        <v>#VALUE!</v>
      </c>
      <c r="N87" s="12" t="b">
        <f t="shared" si="14"/>
        <v>0</v>
      </c>
      <c r="O87" s="13" t="e">
        <f t="shared" si="15"/>
        <v>#VALUE!</v>
      </c>
      <c r="P87" s="13" t="b">
        <f t="shared" si="16"/>
        <v>0</v>
      </c>
      <c r="Q87" s="5"/>
      <c r="R87" s="5"/>
      <c r="S87" s="14"/>
      <c r="T87" s="5"/>
      <c r="U87" s="1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>
      <c r="A88" s="5"/>
      <c r="B88" s="4"/>
      <c r="C88" s="5"/>
      <c r="D88" s="5"/>
      <c r="E88" s="5"/>
      <c r="F88" s="7" t="b">
        <f t="shared" si="17"/>
        <v>0</v>
      </c>
      <c r="G88" s="8" t="b">
        <f t="shared" si="18"/>
        <v>0</v>
      </c>
      <c r="H88" s="5"/>
      <c r="I88" s="9" t="b">
        <f t="shared" si="19"/>
        <v>0</v>
      </c>
      <c r="J88" s="8" t="b">
        <f t="shared" si="20"/>
        <v>0</v>
      </c>
      <c r="K88" s="5"/>
      <c r="L88" s="9" t="b">
        <f t="shared" si="21"/>
        <v>0</v>
      </c>
      <c r="M88" s="12" t="e">
        <f t="shared" si="13"/>
        <v>#VALUE!</v>
      </c>
      <c r="N88" s="12" t="b">
        <f t="shared" si="14"/>
        <v>0</v>
      </c>
      <c r="O88" s="13" t="e">
        <f t="shared" si="15"/>
        <v>#VALUE!</v>
      </c>
      <c r="P88" s="13" t="b">
        <f t="shared" si="16"/>
        <v>0</v>
      </c>
      <c r="Q88" s="5"/>
      <c r="R88" s="5"/>
      <c r="S88" s="14"/>
      <c r="T88" s="5"/>
      <c r="U88" s="1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>
      <c r="A89" s="5"/>
      <c r="B89" s="4"/>
      <c r="C89" s="5"/>
      <c r="D89" s="5"/>
      <c r="E89" s="5"/>
      <c r="F89" s="7" t="b">
        <f t="shared" si="17"/>
        <v>0</v>
      </c>
      <c r="G89" s="8" t="b">
        <f t="shared" si="18"/>
        <v>0</v>
      </c>
      <c r="H89" s="5"/>
      <c r="I89" s="9" t="b">
        <f t="shared" si="19"/>
        <v>0</v>
      </c>
      <c r="J89" s="8" t="b">
        <f t="shared" si="20"/>
        <v>0</v>
      </c>
      <c r="K89" s="5"/>
      <c r="L89" s="9" t="b">
        <f t="shared" si="21"/>
        <v>0</v>
      </c>
      <c r="M89" s="12" t="e">
        <f t="shared" si="13"/>
        <v>#VALUE!</v>
      </c>
      <c r="N89" s="12" t="b">
        <f t="shared" si="14"/>
        <v>0</v>
      </c>
      <c r="O89" s="13" t="e">
        <f t="shared" si="15"/>
        <v>#VALUE!</v>
      </c>
      <c r="P89" s="13" t="b">
        <f t="shared" si="16"/>
        <v>0</v>
      </c>
      <c r="Q89" s="5"/>
      <c r="R89" s="5"/>
      <c r="S89" s="14"/>
      <c r="T89" s="5"/>
      <c r="U89" s="1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>
      <c r="A90" s="5"/>
      <c r="B90" s="4"/>
      <c r="C90" s="5"/>
      <c r="D90" s="5"/>
      <c r="E90" s="5"/>
      <c r="F90" s="7" t="b">
        <f t="shared" si="17"/>
        <v>0</v>
      </c>
      <c r="G90" s="8" t="b">
        <f t="shared" si="18"/>
        <v>0</v>
      </c>
      <c r="H90" s="5"/>
      <c r="I90" s="9" t="b">
        <f t="shared" si="19"/>
        <v>0</v>
      </c>
      <c r="J90" s="8" t="b">
        <f t="shared" si="20"/>
        <v>0</v>
      </c>
      <c r="K90" s="5"/>
      <c r="L90" s="9" t="b">
        <f t="shared" si="21"/>
        <v>0</v>
      </c>
      <c r="M90" s="12" t="e">
        <f t="shared" si="13"/>
        <v>#VALUE!</v>
      </c>
      <c r="N90" s="12" t="b">
        <f t="shared" si="14"/>
        <v>0</v>
      </c>
      <c r="O90" s="13" t="e">
        <f t="shared" si="15"/>
        <v>#VALUE!</v>
      </c>
      <c r="P90" s="13" t="b">
        <f t="shared" si="16"/>
        <v>0</v>
      </c>
      <c r="Q90" s="5"/>
      <c r="R90" s="5"/>
      <c r="S90" s="14"/>
      <c r="T90" s="5"/>
      <c r="U90" s="1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>
      <c r="A91" s="5"/>
      <c r="B91" s="4"/>
      <c r="C91" s="5"/>
      <c r="D91" s="5"/>
      <c r="E91" s="5"/>
      <c r="F91" s="7" t="b">
        <f t="shared" si="17"/>
        <v>0</v>
      </c>
      <c r="G91" s="8" t="b">
        <f t="shared" si="18"/>
        <v>0</v>
      </c>
      <c r="H91" s="5"/>
      <c r="I91" s="9" t="b">
        <f t="shared" si="19"/>
        <v>0</v>
      </c>
      <c r="J91" s="8" t="b">
        <f t="shared" si="20"/>
        <v>0</v>
      </c>
      <c r="K91" s="5"/>
      <c r="L91" s="9" t="b">
        <f t="shared" si="21"/>
        <v>0</v>
      </c>
      <c r="M91" s="12" t="e">
        <f t="shared" si="13"/>
        <v>#VALUE!</v>
      </c>
      <c r="N91" s="12" t="b">
        <f t="shared" si="14"/>
        <v>0</v>
      </c>
      <c r="O91" s="13" t="e">
        <f t="shared" si="15"/>
        <v>#VALUE!</v>
      </c>
      <c r="P91" s="13" t="b">
        <f t="shared" si="16"/>
        <v>0</v>
      </c>
      <c r="Q91" s="5"/>
      <c r="R91" s="5"/>
      <c r="S91" s="14"/>
      <c r="T91" s="5"/>
      <c r="U91" s="1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>
      <c r="A92" s="5"/>
      <c r="B92" s="4"/>
      <c r="C92" s="5"/>
      <c r="D92" s="5"/>
      <c r="E92" s="5"/>
      <c r="F92" s="7" t="b">
        <f t="shared" si="17"/>
        <v>0</v>
      </c>
      <c r="G92" s="8" t="b">
        <f t="shared" si="18"/>
        <v>0</v>
      </c>
      <c r="H92" s="5"/>
      <c r="I92" s="9" t="b">
        <f t="shared" si="19"/>
        <v>0</v>
      </c>
      <c r="J92" s="8" t="b">
        <f t="shared" si="20"/>
        <v>0</v>
      </c>
      <c r="K92" s="5"/>
      <c r="L92" s="9" t="b">
        <f t="shared" si="21"/>
        <v>0</v>
      </c>
      <c r="M92" s="12" t="e">
        <f t="shared" si="13"/>
        <v>#VALUE!</v>
      </c>
      <c r="N92" s="12" t="b">
        <f t="shared" si="14"/>
        <v>0</v>
      </c>
      <c r="O92" s="13" t="e">
        <f t="shared" si="15"/>
        <v>#VALUE!</v>
      </c>
      <c r="P92" s="13" t="b">
        <f t="shared" si="16"/>
        <v>0</v>
      </c>
      <c r="Q92" s="5"/>
      <c r="R92" s="5"/>
      <c r="S92" s="14"/>
      <c r="T92" s="5"/>
      <c r="U92" s="1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>
      <c r="A93" s="5"/>
      <c r="B93" s="4"/>
      <c r="C93" s="5"/>
      <c r="D93" s="5"/>
      <c r="E93" s="5"/>
      <c r="F93" s="7" t="b">
        <f t="shared" si="17"/>
        <v>0</v>
      </c>
      <c r="G93" s="8" t="b">
        <f t="shared" si="18"/>
        <v>0</v>
      </c>
      <c r="H93" s="5"/>
      <c r="I93" s="9" t="b">
        <f t="shared" si="19"/>
        <v>0</v>
      </c>
      <c r="J93" s="8" t="b">
        <f t="shared" si="20"/>
        <v>0</v>
      </c>
      <c r="K93" s="5"/>
      <c r="L93" s="9" t="b">
        <f t="shared" si="21"/>
        <v>0</v>
      </c>
      <c r="M93" s="12" t="e">
        <f t="shared" si="13"/>
        <v>#VALUE!</v>
      </c>
      <c r="N93" s="12" t="b">
        <f t="shared" si="14"/>
        <v>0</v>
      </c>
      <c r="O93" s="13" t="e">
        <f t="shared" si="15"/>
        <v>#VALUE!</v>
      </c>
      <c r="P93" s="13" t="b">
        <f t="shared" si="16"/>
        <v>0</v>
      </c>
      <c r="Q93" s="5"/>
      <c r="R93" s="5"/>
      <c r="S93" s="14"/>
      <c r="T93" s="5"/>
      <c r="U93" s="1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>
      <c r="A94" s="5"/>
      <c r="B94" s="4"/>
      <c r="C94" s="5"/>
      <c r="D94" s="5"/>
      <c r="E94" s="5"/>
      <c r="F94" s="7" t="b">
        <f t="shared" si="17"/>
        <v>0</v>
      </c>
      <c r="G94" s="8" t="b">
        <f t="shared" si="18"/>
        <v>0</v>
      </c>
      <c r="H94" s="5"/>
      <c r="I94" s="9" t="b">
        <f t="shared" si="19"/>
        <v>0</v>
      </c>
      <c r="J94" s="8" t="b">
        <f t="shared" si="20"/>
        <v>0</v>
      </c>
      <c r="K94" s="5"/>
      <c r="L94" s="9" t="b">
        <f t="shared" si="21"/>
        <v>0</v>
      </c>
      <c r="M94" s="12" t="e">
        <f t="shared" si="13"/>
        <v>#VALUE!</v>
      </c>
      <c r="N94" s="12" t="b">
        <f t="shared" si="14"/>
        <v>0</v>
      </c>
      <c r="O94" s="13" t="e">
        <f t="shared" si="15"/>
        <v>#VALUE!</v>
      </c>
      <c r="P94" s="13" t="b">
        <f t="shared" si="16"/>
        <v>0</v>
      </c>
      <c r="Q94" s="5"/>
      <c r="R94" s="5"/>
      <c r="S94" s="14"/>
      <c r="T94" s="5"/>
      <c r="U94" s="1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>
      <c r="A95" s="5"/>
      <c r="B95" s="4"/>
      <c r="C95" s="5"/>
      <c r="D95" s="5"/>
      <c r="E95" s="5"/>
      <c r="F95" s="7" t="b">
        <f t="shared" si="17"/>
        <v>0</v>
      </c>
      <c r="G95" s="8" t="b">
        <f t="shared" si="18"/>
        <v>0</v>
      </c>
      <c r="H95" s="5"/>
      <c r="I95" s="9" t="b">
        <f t="shared" si="19"/>
        <v>0</v>
      </c>
      <c r="J95" s="8" t="b">
        <f t="shared" si="20"/>
        <v>0</v>
      </c>
      <c r="K95" s="5"/>
      <c r="L95" s="9" t="b">
        <f t="shared" si="21"/>
        <v>0</v>
      </c>
      <c r="M95" s="12" t="e">
        <f t="shared" si="13"/>
        <v>#VALUE!</v>
      </c>
      <c r="N95" s="12" t="b">
        <f t="shared" si="14"/>
        <v>0</v>
      </c>
      <c r="O95" s="13" t="e">
        <f t="shared" si="15"/>
        <v>#VALUE!</v>
      </c>
      <c r="P95" s="13" t="b">
        <f t="shared" si="16"/>
        <v>0</v>
      </c>
      <c r="Q95" s="5"/>
      <c r="R95" s="5"/>
      <c r="S95" s="14"/>
      <c r="T95" s="5"/>
      <c r="U95" s="1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>
      <c r="A96" s="5"/>
      <c r="B96" s="4"/>
      <c r="C96" s="5"/>
      <c r="D96" s="5"/>
      <c r="E96" s="5"/>
      <c r="F96" s="7" t="b">
        <f t="shared" si="17"/>
        <v>0</v>
      </c>
      <c r="G96" s="8" t="b">
        <f t="shared" si="18"/>
        <v>0</v>
      </c>
      <c r="H96" s="5"/>
      <c r="I96" s="9" t="b">
        <f t="shared" si="19"/>
        <v>0</v>
      </c>
      <c r="J96" s="8" t="b">
        <f t="shared" si="20"/>
        <v>0</v>
      </c>
      <c r="K96" s="5"/>
      <c r="L96" s="9" t="b">
        <f t="shared" si="21"/>
        <v>0</v>
      </c>
      <c r="M96" s="12" t="e">
        <f t="shared" si="13"/>
        <v>#VALUE!</v>
      </c>
      <c r="N96" s="12" t="b">
        <f t="shared" si="14"/>
        <v>0</v>
      </c>
      <c r="O96" s="13" t="e">
        <f t="shared" si="15"/>
        <v>#VALUE!</v>
      </c>
      <c r="P96" s="13" t="b">
        <f t="shared" si="16"/>
        <v>0</v>
      </c>
      <c r="Q96" s="5"/>
      <c r="R96" s="5"/>
      <c r="S96" s="14"/>
      <c r="T96" s="5"/>
      <c r="U96" s="1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>
      <c r="A97" s="5"/>
      <c r="B97" s="4"/>
      <c r="C97" s="5"/>
      <c r="D97" s="5"/>
      <c r="E97" s="5"/>
      <c r="F97" s="7" t="b">
        <f t="shared" si="17"/>
        <v>0</v>
      </c>
      <c r="G97" s="8" t="b">
        <f t="shared" si="18"/>
        <v>0</v>
      </c>
      <c r="H97" s="5"/>
      <c r="I97" s="9" t="b">
        <f t="shared" si="19"/>
        <v>0</v>
      </c>
      <c r="J97" s="8" t="b">
        <f t="shared" si="20"/>
        <v>0</v>
      </c>
      <c r="K97" s="5"/>
      <c r="L97" s="9" t="b">
        <f t="shared" si="21"/>
        <v>0</v>
      </c>
      <c r="M97" s="12" t="e">
        <f t="shared" si="13"/>
        <v>#VALUE!</v>
      </c>
      <c r="N97" s="12" t="b">
        <f t="shared" si="14"/>
        <v>0</v>
      </c>
      <c r="O97" s="13" t="e">
        <f t="shared" si="15"/>
        <v>#VALUE!</v>
      </c>
      <c r="P97" s="13" t="b">
        <f t="shared" si="16"/>
        <v>0</v>
      </c>
      <c r="Q97" s="5"/>
      <c r="R97" s="5"/>
      <c r="S97" s="14"/>
      <c r="T97" s="5"/>
      <c r="U97" s="1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>
      <c r="A98" s="5"/>
      <c r="B98" s="4"/>
      <c r="C98" s="5"/>
      <c r="D98" s="5"/>
      <c r="E98" s="5"/>
      <c r="F98" s="7" t="b">
        <f t="shared" si="17"/>
        <v>0</v>
      </c>
      <c r="G98" s="8" t="b">
        <f t="shared" si="18"/>
        <v>0</v>
      </c>
      <c r="H98" s="5"/>
      <c r="I98" s="9" t="b">
        <f t="shared" si="19"/>
        <v>0</v>
      </c>
      <c r="J98" s="8" t="b">
        <f t="shared" si="20"/>
        <v>0</v>
      </c>
      <c r="K98" s="5"/>
      <c r="L98" s="9" t="b">
        <f t="shared" si="21"/>
        <v>0</v>
      </c>
      <c r="M98" s="12" t="e">
        <f t="shared" si="13"/>
        <v>#VALUE!</v>
      </c>
      <c r="N98" s="12" t="b">
        <f t="shared" si="14"/>
        <v>0</v>
      </c>
      <c r="O98" s="13" t="e">
        <f t="shared" si="15"/>
        <v>#VALUE!</v>
      </c>
      <c r="P98" s="13" t="b">
        <f t="shared" si="16"/>
        <v>0</v>
      </c>
      <c r="Q98" s="5"/>
      <c r="R98" s="5"/>
      <c r="S98" s="14"/>
      <c r="T98" s="5"/>
      <c r="U98" s="1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>
      <c r="A99" s="5"/>
      <c r="B99" s="4"/>
      <c r="C99" s="5"/>
      <c r="D99" s="5"/>
      <c r="E99" s="5"/>
      <c r="F99" s="7" t="b">
        <f t="shared" si="17"/>
        <v>0</v>
      </c>
      <c r="G99" s="8" t="b">
        <f t="shared" si="18"/>
        <v>0</v>
      </c>
      <c r="H99" s="5"/>
      <c r="I99" s="9" t="b">
        <f t="shared" si="19"/>
        <v>0</v>
      </c>
      <c r="J99" s="8" t="b">
        <f t="shared" si="20"/>
        <v>0</v>
      </c>
      <c r="K99" s="5"/>
      <c r="L99" s="9" t="b">
        <f t="shared" si="21"/>
        <v>0</v>
      </c>
      <c r="M99" s="12" t="e">
        <f t="shared" si="13"/>
        <v>#VALUE!</v>
      </c>
      <c r="N99" s="12" t="b">
        <f t="shared" ref="N99:N101" si="22">IF(B99="BUY",(M99*(1-0.1%)),IF(B99="SELL",(M99*(1+0.1%))))</f>
        <v>0</v>
      </c>
      <c r="O99" s="13" t="e">
        <f t="shared" si="15"/>
        <v>#VALUE!</v>
      </c>
      <c r="P99" s="13" t="b">
        <f t="shared" ref="P99:P101" si="23">IF(B99="BUY",(O99*(1-0.1%)),IF(B99="SELL",(O99*(1+0.1%))))</f>
        <v>0</v>
      </c>
      <c r="Q99" s="5"/>
      <c r="R99" s="5"/>
      <c r="S99" s="14"/>
      <c r="T99" s="5"/>
      <c r="U99" s="1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>
      <c r="A100" s="5"/>
      <c r="B100" s="4"/>
      <c r="C100" s="5"/>
      <c r="D100" s="5"/>
      <c r="E100" s="5"/>
      <c r="F100" s="7" t="b">
        <f t="shared" si="17"/>
        <v>0</v>
      </c>
      <c r="G100" s="8" t="b">
        <f t="shared" si="18"/>
        <v>0</v>
      </c>
      <c r="H100" s="5"/>
      <c r="I100" s="9" t="b">
        <f t="shared" si="19"/>
        <v>0</v>
      </c>
      <c r="J100" s="8" t="b">
        <f t="shared" si="20"/>
        <v>0</v>
      </c>
      <c r="K100" s="5"/>
      <c r="L100" s="9" t="b">
        <f t="shared" si="21"/>
        <v>0</v>
      </c>
      <c r="M100" s="12" t="e">
        <f t="shared" si="13"/>
        <v>#VALUE!</v>
      </c>
      <c r="N100" s="12" t="b">
        <f t="shared" si="22"/>
        <v>0</v>
      </c>
      <c r="O100" s="13" t="e">
        <f t="shared" si="15"/>
        <v>#VALUE!</v>
      </c>
      <c r="P100" s="13" t="b">
        <f t="shared" si="23"/>
        <v>0</v>
      </c>
      <c r="Q100" s="5"/>
      <c r="R100" s="5"/>
      <c r="S100" s="14"/>
      <c r="T100" s="5"/>
      <c r="U100" s="1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>
      <c r="A101" s="5"/>
      <c r="B101" s="4"/>
      <c r="C101" s="5"/>
      <c r="D101" s="5"/>
      <c r="E101" s="5"/>
      <c r="F101" s="7" t="b">
        <f t="shared" si="17"/>
        <v>0</v>
      </c>
      <c r="G101" s="8" t="b">
        <f t="shared" si="18"/>
        <v>0</v>
      </c>
      <c r="H101" s="5"/>
      <c r="I101" s="9" t="b">
        <f t="shared" si="19"/>
        <v>0</v>
      </c>
      <c r="J101" s="8" t="b">
        <f t="shared" si="20"/>
        <v>0</v>
      </c>
      <c r="K101" s="5"/>
      <c r="L101" s="9" t="b">
        <f t="shared" si="21"/>
        <v>0</v>
      </c>
      <c r="M101" s="12" t="e">
        <f t="shared" si="13"/>
        <v>#VALUE!</v>
      </c>
      <c r="N101" s="12" t="b">
        <f t="shared" si="22"/>
        <v>0</v>
      </c>
      <c r="O101" s="13" t="e">
        <f t="shared" si="15"/>
        <v>#VALUE!</v>
      </c>
      <c r="P101" s="13" t="b">
        <f t="shared" si="23"/>
        <v>0</v>
      </c>
      <c r="Q101" s="5"/>
      <c r="R101" s="5"/>
      <c r="S101" s="14"/>
      <c r="T101" s="5"/>
      <c r="U101" s="1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2" t="s">
        <v>17</v>
      </c>
      <c r="R102" s="22"/>
      <c r="S102" s="23">
        <f>SUM(S3:S101)</f>
        <v>0</v>
      </c>
      <c r="T102" s="1"/>
      <c r="U102" s="1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2:31">
      <c r="B104" s="16"/>
      <c r="C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2:31">
      <c r="B105" s="16"/>
      <c r="C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2:31">
      <c r="B106" s="16"/>
      <c r="C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2:31">
      <c r="B107" s="16"/>
      <c r="C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>
      <c r="A108" s="17"/>
      <c r="B108" s="18"/>
      <c r="C108" s="18"/>
      <c r="D108" s="17"/>
      <c r="E108" s="17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5">
      <c r="A109" s="17"/>
      <c r="B109" s="18"/>
      <c r="C109" s="18"/>
      <c r="D109" s="17"/>
      <c r="E109" s="17"/>
    </row>
    <row r="110" spans="1:5">
      <c r="A110" s="17"/>
      <c r="B110" s="18"/>
      <c r="C110" s="18"/>
      <c r="D110" s="17"/>
      <c r="E110" s="17"/>
    </row>
    <row r="111" spans="1:5">
      <c r="A111" s="17"/>
      <c r="B111" s="17"/>
      <c r="C111" s="17"/>
      <c r="D111" s="17"/>
      <c r="E111" s="17"/>
    </row>
    <row r="112" ht="20.4" spans="2:5">
      <c r="B112" s="19" t="s">
        <v>21</v>
      </c>
      <c r="C112" s="20"/>
      <c r="D112" s="20"/>
      <c r="E112" s="17"/>
    </row>
    <row r="113" ht="20.4" spans="2:5">
      <c r="B113" s="21" t="s">
        <v>22</v>
      </c>
      <c r="E113" s="17"/>
    </row>
    <row r="114" ht="20.4" spans="2:5">
      <c r="B114" s="21" t="s">
        <v>23</v>
      </c>
      <c r="C114" s="20"/>
      <c r="D114" s="20"/>
      <c r="E114" s="17"/>
    </row>
    <row r="115" ht="20.4" spans="2:5">
      <c r="B115" s="21" t="s">
        <v>24</v>
      </c>
      <c r="C115" s="20"/>
      <c r="E115" s="17"/>
    </row>
  </sheetData>
  <sheetProtection algorithmName="SHA-512" hashValue="p6lgDDaB2/u1m5KpJvpPwLgMTKOLDWcyy6kzmbh+SBZxMQy8sSFtxpg8nk1FZ8AUEGhPQXisYPq9eBFIMhmG/A==" saltValue="WqaXws7VeA26/89jttqX8Q==" spinCount="100000" sheet="1" objects="1" scenarios="1"/>
  <mergeCells count="3">
    <mergeCell ref="G1:I1"/>
    <mergeCell ref="J1:L1"/>
    <mergeCell ref="Q102:R102"/>
  </mergeCells>
  <dataValidations count="1">
    <dataValidation type="list" allowBlank="1" showInputMessage="1" showErrorMessage="1" sqref="B3:B101">
      <formula1>$V$1:$V$2</formula1>
    </dataValidation>
  </dataValidations>
  <pageMargins left="0.699305555555556" right="0.699305555555556" top="0.75" bottom="0.75" header="0.3" footer="0.3"/>
  <headerFooter/>
  <ignoredErrors>
    <ignoredError sqref="M3" evalError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10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Nifty Fut</vt:lpstr>
      <vt:lpstr>Banknifty Fut</vt:lpstr>
      <vt:lpstr>Gold Fut</vt:lpstr>
      <vt:lpstr>Gold Mini Fut</vt:lpstr>
      <vt:lpstr>Gold Ten Fut</vt:lpstr>
      <vt:lpstr>Silver Fut</vt:lpstr>
      <vt:lpstr>Silver Mini Fut</vt:lpstr>
      <vt:lpstr>Silver Micro Fut</vt:lpstr>
      <vt:lpstr>Natutal Gas Fut</vt:lpstr>
      <vt:lpstr>Natgas Mini Fut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tradingsecrets0@gmail.com</dc:creator>
  <cp:lastModifiedBy>subash</cp:lastModifiedBy>
  <dcterms:created xsi:type="dcterms:W3CDTF">2024-12-01T05:28:00Z</dcterms:created>
  <dcterms:modified xsi:type="dcterms:W3CDTF">2026-04-02T08:48:55Z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EF9AA329CB315A0F35919969B8078B7C_42</vt:lpwstr>
  </property>
</Properties>
</file>