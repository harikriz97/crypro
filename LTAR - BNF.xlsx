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TC\"/>
    </mc:Choice>
  </mc:AlternateContent>
  <xr:revisionPtr revIDLastSave="0" documentId="8_{0955F8B1-4847-4854-A4AC-489C80C161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1" i="1" l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O151" i="1"/>
  <c r="S151" i="1" s="1"/>
  <c r="U151" i="1" s="1"/>
  <c r="O152" i="1"/>
  <c r="S152" i="1" s="1"/>
  <c r="U152" i="1" s="1"/>
  <c r="O153" i="1"/>
  <c r="S153" i="1" s="1"/>
  <c r="U153" i="1" s="1"/>
  <c r="O154" i="1"/>
  <c r="S154" i="1" s="1"/>
  <c r="U154" i="1" s="1"/>
  <c r="O155" i="1"/>
  <c r="S155" i="1" s="1"/>
  <c r="U155" i="1" s="1"/>
  <c r="O156" i="1"/>
  <c r="S156" i="1" s="1"/>
  <c r="U156" i="1" s="1"/>
  <c r="O157" i="1"/>
  <c r="S157" i="1" s="1"/>
  <c r="U157" i="1" s="1"/>
  <c r="O158" i="1"/>
  <c r="S158" i="1" s="1"/>
  <c r="U158" i="1" s="1"/>
  <c r="O159" i="1"/>
  <c r="S159" i="1" s="1"/>
  <c r="U159" i="1" s="1"/>
  <c r="O160" i="1"/>
  <c r="S160" i="1" s="1"/>
  <c r="U160" i="1" s="1"/>
  <c r="O161" i="1"/>
  <c r="S161" i="1" s="1"/>
  <c r="U161" i="1" s="1"/>
  <c r="O162" i="1"/>
  <c r="S162" i="1" s="1"/>
  <c r="U162" i="1" s="1"/>
  <c r="O163" i="1"/>
  <c r="S163" i="1" s="1"/>
  <c r="U163" i="1" s="1"/>
  <c r="O164" i="1"/>
  <c r="S164" i="1" s="1"/>
  <c r="U164" i="1" s="1"/>
  <c r="O165" i="1"/>
  <c r="S165" i="1" s="1"/>
  <c r="U165" i="1" s="1"/>
  <c r="O166" i="1"/>
  <c r="S166" i="1" s="1"/>
  <c r="U166" i="1" s="1"/>
  <c r="O167" i="1"/>
  <c r="S167" i="1" s="1"/>
  <c r="U167" i="1" s="1"/>
  <c r="O168" i="1"/>
  <c r="S168" i="1" s="1"/>
  <c r="U168" i="1" s="1"/>
  <c r="O169" i="1"/>
  <c r="S169" i="1" s="1"/>
  <c r="U169" i="1" s="1"/>
  <c r="O170" i="1"/>
  <c r="S170" i="1" s="1"/>
  <c r="U170" i="1" s="1"/>
  <c r="O171" i="1"/>
  <c r="S171" i="1" s="1"/>
  <c r="U171" i="1" s="1"/>
  <c r="O172" i="1"/>
  <c r="S172" i="1" s="1"/>
  <c r="U172" i="1" s="1"/>
  <c r="O173" i="1"/>
  <c r="S173" i="1" s="1"/>
  <c r="U173" i="1" s="1"/>
  <c r="O174" i="1"/>
  <c r="S174" i="1" s="1"/>
  <c r="U174" i="1" s="1"/>
  <c r="O175" i="1"/>
  <c r="S175" i="1" s="1"/>
  <c r="U175" i="1" s="1"/>
  <c r="O176" i="1"/>
  <c r="S176" i="1" s="1"/>
  <c r="U176" i="1" s="1"/>
  <c r="O177" i="1"/>
  <c r="S177" i="1" s="1"/>
  <c r="U177" i="1" s="1"/>
  <c r="O178" i="1"/>
  <c r="S178" i="1" s="1"/>
  <c r="U178" i="1" s="1"/>
  <c r="O179" i="1"/>
  <c r="S179" i="1" s="1"/>
  <c r="U179" i="1" s="1"/>
  <c r="O180" i="1"/>
  <c r="S180" i="1" s="1"/>
  <c r="U180" i="1" s="1"/>
  <c r="O181" i="1"/>
  <c r="S181" i="1" s="1"/>
  <c r="U181" i="1" s="1"/>
  <c r="O182" i="1"/>
  <c r="S182" i="1" s="1"/>
  <c r="U182" i="1" s="1"/>
  <c r="O183" i="1"/>
  <c r="S183" i="1" s="1"/>
  <c r="U183" i="1" s="1"/>
  <c r="O184" i="1"/>
  <c r="S184" i="1" s="1"/>
  <c r="U184" i="1" s="1"/>
  <c r="O185" i="1"/>
  <c r="S185" i="1" s="1"/>
  <c r="U185" i="1" s="1"/>
  <c r="O186" i="1"/>
  <c r="S186" i="1" s="1"/>
  <c r="U186" i="1" s="1"/>
  <c r="O187" i="1"/>
  <c r="S187" i="1" s="1"/>
  <c r="U187" i="1" s="1"/>
  <c r="O188" i="1"/>
  <c r="S188" i="1" s="1"/>
  <c r="U188" i="1" s="1"/>
  <c r="O189" i="1"/>
  <c r="S189" i="1" s="1"/>
  <c r="U189" i="1" s="1"/>
  <c r="O190" i="1"/>
  <c r="S190" i="1" s="1"/>
  <c r="U190" i="1" s="1"/>
  <c r="O191" i="1"/>
  <c r="S191" i="1" s="1"/>
  <c r="U191" i="1" s="1"/>
  <c r="O192" i="1"/>
  <c r="S192" i="1" s="1"/>
  <c r="U192" i="1" s="1"/>
  <c r="O193" i="1"/>
  <c r="S193" i="1" s="1"/>
  <c r="U193" i="1" s="1"/>
  <c r="O194" i="1"/>
  <c r="S194" i="1" s="1"/>
  <c r="U194" i="1" s="1"/>
  <c r="O195" i="1"/>
  <c r="S195" i="1" s="1"/>
  <c r="U195" i="1" s="1"/>
  <c r="O196" i="1"/>
  <c r="S196" i="1" s="1"/>
  <c r="U196" i="1" s="1"/>
  <c r="O197" i="1"/>
  <c r="S197" i="1" s="1"/>
  <c r="U197" i="1" s="1"/>
  <c r="O198" i="1"/>
  <c r="S198" i="1" s="1"/>
  <c r="U198" i="1" s="1"/>
  <c r="O199" i="1"/>
  <c r="S199" i="1" s="1"/>
  <c r="U199" i="1" s="1"/>
  <c r="O200" i="1"/>
  <c r="S200" i="1" s="1"/>
  <c r="U200" i="1" s="1"/>
  <c r="O201" i="1"/>
  <c r="S201" i="1" s="1"/>
  <c r="U201" i="1" s="1"/>
  <c r="O202" i="1"/>
  <c r="S202" i="1" s="1"/>
  <c r="U202" i="1" s="1"/>
  <c r="O203" i="1"/>
  <c r="S203" i="1" s="1"/>
  <c r="U203" i="1" s="1"/>
  <c r="O204" i="1"/>
  <c r="S204" i="1" s="1"/>
  <c r="U204" i="1" s="1"/>
  <c r="O205" i="1"/>
  <c r="S205" i="1" s="1"/>
  <c r="U205" i="1" s="1"/>
  <c r="O206" i="1"/>
  <c r="S206" i="1" s="1"/>
  <c r="U206" i="1" s="1"/>
  <c r="O207" i="1"/>
  <c r="S207" i="1" s="1"/>
  <c r="U207" i="1" s="1"/>
  <c r="O208" i="1"/>
  <c r="S208" i="1" s="1"/>
  <c r="U208" i="1" s="1"/>
  <c r="O209" i="1"/>
  <c r="S209" i="1" s="1"/>
  <c r="U209" i="1" s="1"/>
  <c r="O210" i="1"/>
  <c r="S210" i="1" s="1"/>
  <c r="U210" i="1" s="1"/>
  <c r="O211" i="1"/>
  <c r="S211" i="1" s="1"/>
  <c r="U211" i="1" s="1"/>
  <c r="O212" i="1"/>
  <c r="S212" i="1" s="1"/>
  <c r="U212" i="1" s="1"/>
  <c r="O213" i="1"/>
  <c r="S213" i="1" s="1"/>
  <c r="U213" i="1" s="1"/>
  <c r="O214" i="1"/>
  <c r="S214" i="1" s="1"/>
  <c r="U214" i="1" s="1"/>
  <c r="O215" i="1"/>
  <c r="S215" i="1" s="1"/>
  <c r="U215" i="1" s="1"/>
  <c r="O216" i="1"/>
  <c r="S216" i="1" s="1"/>
  <c r="U216" i="1" s="1"/>
  <c r="O217" i="1"/>
  <c r="S217" i="1" s="1"/>
  <c r="U217" i="1" s="1"/>
  <c r="O218" i="1"/>
  <c r="S218" i="1" s="1"/>
  <c r="U218" i="1" s="1"/>
  <c r="O219" i="1"/>
  <c r="S219" i="1" s="1"/>
  <c r="U219" i="1" s="1"/>
  <c r="O220" i="1"/>
  <c r="S220" i="1" s="1"/>
  <c r="U220" i="1" s="1"/>
  <c r="O221" i="1"/>
  <c r="S221" i="1" s="1"/>
  <c r="U221" i="1" s="1"/>
  <c r="O222" i="1"/>
  <c r="S222" i="1" s="1"/>
  <c r="U222" i="1" s="1"/>
  <c r="O223" i="1"/>
  <c r="S223" i="1" s="1"/>
  <c r="U223" i="1" s="1"/>
  <c r="O224" i="1"/>
  <c r="S224" i="1" s="1"/>
  <c r="U224" i="1" s="1"/>
  <c r="O225" i="1"/>
  <c r="S225" i="1" s="1"/>
  <c r="U225" i="1" s="1"/>
  <c r="O226" i="1"/>
  <c r="S226" i="1" s="1"/>
  <c r="U226" i="1" s="1"/>
  <c r="O227" i="1"/>
  <c r="S227" i="1" s="1"/>
  <c r="U227" i="1" s="1"/>
  <c r="O228" i="1"/>
  <c r="S228" i="1" s="1"/>
  <c r="U228" i="1" s="1"/>
  <c r="O229" i="1"/>
  <c r="S229" i="1" s="1"/>
  <c r="U229" i="1" s="1"/>
  <c r="O230" i="1"/>
  <c r="S230" i="1" s="1"/>
  <c r="U230" i="1" s="1"/>
  <c r="O231" i="1"/>
  <c r="S231" i="1" s="1"/>
  <c r="U231" i="1" s="1"/>
  <c r="O232" i="1"/>
  <c r="S232" i="1" s="1"/>
  <c r="U232" i="1" s="1"/>
  <c r="O233" i="1"/>
  <c r="S233" i="1" s="1"/>
  <c r="U233" i="1" s="1"/>
  <c r="O234" i="1"/>
  <c r="S234" i="1" s="1"/>
  <c r="U234" i="1" s="1"/>
  <c r="O235" i="1"/>
  <c r="S235" i="1" s="1"/>
  <c r="U235" i="1" s="1"/>
  <c r="O236" i="1"/>
  <c r="S236" i="1" s="1"/>
  <c r="U236" i="1" s="1"/>
  <c r="O237" i="1"/>
  <c r="S237" i="1" s="1"/>
  <c r="U237" i="1" s="1"/>
  <c r="O238" i="1"/>
  <c r="S238" i="1" s="1"/>
  <c r="U238" i="1" s="1"/>
  <c r="O239" i="1"/>
  <c r="S239" i="1" s="1"/>
  <c r="U239" i="1" s="1"/>
  <c r="O240" i="1"/>
  <c r="S240" i="1" s="1"/>
  <c r="U240" i="1" s="1"/>
  <c r="O241" i="1"/>
  <c r="S241" i="1" s="1"/>
  <c r="U241" i="1" s="1"/>
  <c r="O242" i="1"/>
  <c r="S242" i="1" s="1"/>
  <c r="U242" i="1" s="1"/>
  <c r="O243" i="1"/>
  <c r="S243" i="1" s="1"/>
  <c r="U243" i="1" s="1"/>
  <c r="O244" i="1"/>
  <c r="S244" i="1" s="1"/>
  <c r="U244" i="1" s="1"/>
  <c r="O245" i="1"/>
  <c r="S245" i="1" s="1"/>
  <c r="U245" i="1" s="1"/>
  <c r="O246" i="1"/>
  <c r="S246" i="1" s="1"/>
  <c r="U246" i="1" s="1"/>
  <c r="O247" i="1"/>
  <c r="S247" i="1" s="1"/>
  <c r="U247" i="1" s="1"/>
  <c r="O248" i="1"/>
  <c r="S248" i="1" s="1"/>
  <c r="U248" i="1" s="1"/>
  <c r="O249" i="1"/>
  <c r="S249" i="1" s="1"/>
  <c r="U249" i="1" s="1"/>
  <c r="O250" i="1"/>
  <c r="S250" i="1" s="1"/>
  <c r="U250" i="1" s="1"/>
  <c r="O251" i="1"/>
  <c r="S251" i="1" s="1"/>
  <c r="U251" i="1" s="1"/>
  <c r="O252" i="1"/>
  <c r="S252" i="1" s="1"/>
  <c r="U252" i="1" s="1"/>
  <c r="O253" i="1"/>
  <c r="S253" i="1" s="1"/>
  <c r="U253" i="1" s="1"/>
  <c r="O254" i="1"/>
  <c r="S254" i="1" s="1"/>
  <c r="U254" i="1" s="1"/>
  <c r="O255" i="1"/>
  <c r="S255" i="1" s="1"/>
  <c r="U255" i="1" s="1"/>
  <c r="O256" i="1"/>
  <c r="S256" i="1" s="1"/>
  <c r="U256" i="1" s="1"/>
  <c r="O257" i="1"/>
  <c r="S257" i="1" s="1"/>
  <c r="U257" i="1" s="1"/>
  <c r="O258" i="1"/>
  <c r="S258" i="1" s="1"/>
  <c r="U258" i="1" s="1"/>
  <c r="O259" i="1"/>
  <c r="S259" i="1" s="1"/>
  <c r="U259" i="1" s="1"/>
  <c r="O260" i="1"/>
  <c r="S260" i="1" s="1"/>
  <c r="U260" i="1" s="1"/>
  <c r="O261" i="1"/>
  <c r="S261" i="1" s="1"/>
  <c r="U261" i="1" s="1"/>
  <c r="O262" i="1"/>
  <c r="S262" i="1" s="1"/>
  <c r="U262" i="1" s="1"/>
  <c r="O263" i="1"/>
  <c r="S263" i="1" s="1"/>
  <c r="U263" i="1" s="1"/>
  <c r="O264" i="1"/>
  <c r="S264" i="1" s="1"/>
  <c r="U264" i="1" s="1"/>
  <c r="O265" i="1"/>
  <c r="S265" i="1" s="1"/>
  <c r="U265" i="1" s="1"/>
  <c r="O266" i="1"/>
  <c r="S266" i="1" s="1"/>
  <c r="U266" i="1" s="1"/>
  <c r="O267" i="1"/>
  <c r="S267" i="1" s="1"/>
  <c r="U267" i="1" s="1"/>
  <c r="O268" i="1"/>
  <c r="S268" i="1" s="1"/>
  <c r="U268" i="1" s="1"/>
  <c r="O269" i="1"/>
  <c r="S269" i="1" s="1"/>
  <c r="U269" i="1" s="1"/>
  <c r="O270" i="1"/>
  <c r="S270" i="1" s="1"/>
  <c r="U270" i="1" s="1"/>
  <c r="O271" i="1"/>
  <c r="S271" i="1" s="1"/>
  <c r="U271" i="1" s="1"/>
  <c r="O272" i="1"/>
  <c r="S272" i="1" s="1"/>
  <c r="U272" i="1" s="1"/>
  <c r="O273" i="1"/>
  <c r="S273" i="1" s="1"/>
  <c r="U273" i="1" s="1"/>
  <c r="O274" i="1"/>
  <c r="S274" i="1" s="1"/>
  <c r="U274" i="1" s="1"/>
  <c r="O275" i="1"/>
  <c r="S275" i="1" s="1"/>
  <c r="U275" i="1" s="1"/>
  <c r="O276" i="1"/>
  <c r="S276" i="1" s="1"/>
  <c r="U276" i="1" s="1"/>
  <c r="O277" i="1"/>
  <c r="S277" i="1" s="1"/>
  <c r="U277" i="1" s="1"/>
  <c r="O278" i="1"/>
  <c r="S278" i="1" s="1"/>
  <c r="U278" i="1" s="1"/>
  <c r="O279" i="1"/>
  <c r="S279" i="1" s="1"/>
  <c r="U279" i="1" s="1"/>
  <c r="O280" i="1"/>
  <c r="S280" i="1" s="1"/>
  <c r="U280" i="1" s="1"/>
  <c r="O281" i="1"/>
  <c r="S281" i="1" s="1"/>
  <c r="U281" i="1" s="1"/>
  <c r="O282" i="1"/>
  <c r="S282" i="1" s="1"/>
  <c r="U282" i="1" s="1"/>
  <c r="O283" i="1"/>
  <c r="S283" i="1" s="1"/>
  <c r="U283" i="1" s="1"/>
  <c r="O284" i="1"/>
  <c r="S284" i="1" s="1"/>
  <c r="U284" i="1" s="1"/>
  <c r="O285" i="1"/>
  <c r="S285" i="1" s="1"/>
  <c r="U285" i="1" s="1"/>
  <c r="O286" i="1"/>
  <c r="S286" i="1" s="1"/>
  <c r="U286" i="1" s="1"/>
  <c r="O287" i="1"/>
  <c r="S287" i="1" s="1"/>
  <c r="U287" i="1" s="1"/>
  <c r="O288" i="1"/>
  <c r="S288" i="1" s="1"/>
  <c r="U288" i="1" s="1"/>
  <c r="O289" i="1"/>
  <c r="S289" i="1" s="1"/>
  <c r="U289" i="1" s="1"/>
  <c r="O290" i="1"/>
  <c r="S290" i="1" s="1"/>
  <c r="U290" i="1" s="1"/>
  <c r="O291" i="1"/>
  <c r="S291" i="1" s="1"/>
  <c r="U291" i="1" s="1"/>
  <c r="O292" i="1"/>
  <c r="S292" i="1" s="1"/>
  <c r="U292" i="1" s="1"/>
  <c r="O293" i="1"/>
  <c r="S293" i="1" s="1"/>
  <c r="U293" i="1" s="1"/>
  <c r="O294" i="1"/>
  <c r="S294" i="1" s="1"/>
  <c r="U294" i="1" s="1"/>
  <c r="O295" i="1"/>
  <c r="S295" i="1" s="1"/>
  <c r="U295" i="1" s="1"/>
  <c r="O296" i="1"/>
  <c r="S296" i="1" s="1"/>
  <c r="U296" i="1" s="1"/>
  <c r="O297" i="1"/>
  <c r="S297" i="1" s="1"/>
  <c r="U297" i="1" s="1"/>
  <c r="O298" i="1"/>
  <c r="S298" i="1" s="1"/>
  <c r="U298" i="1" s="1"/>
  <c r="O299" i="1"/>
  <c r="S299" i="1" s="1"/>
  <c r="U299" i="1" s="1"/>
  <c r="O300" i="1"/>
  <c r="S300" i="1" s="1"/>
  <c r="U300" i="1" s="1"/>
  <c r="O301" i="1"/>
  <c r="S301" i="1" s="1"/>
  <c r="U301" i="1" s="1"/>
  <c r="O302" i="1"/>
  <c r="S302" i="1" s="1"/>
  <c r="U302" i="1" s="1"/>
  <c r="O303" i="1"/>
  <c r="S303" i="1" s="1"/>
  <c r="U303" i="1" s="1"/>
  <c r="O304" i="1"/>
  <c r="S304" i="1" s="1"/>
  <c r="U304" i="1" s="1"/>
  <c r="O305" i="1"/>
  <c r="S305" i="1" s="1"/>
  <c r="U305" i="1" s="1"/>
  <c r="O306" i="1"/>
  <c r="S306" i="1" s="1"/>
  <c r="U306" i="1" s="1"/>
  <c r="O307" i="1"/>
  <c r="S307" i="1" s="1"/>
  <c r="U307" i="1" s="1"/>
  <c r="O308" i="1"/>
  <c r="S308" i="1" s="1"/>
  <c r="U308" i="1" s="1"/>
  <c r="O309" i="1"/>
  <c r="S309" i="1" s="1"/>
  <c r="U309" i="1" s="1"/>
  <c r="O310" i="1"/>
  <c r="S310" i="1" s="1"/>
  <c r="U310" i="1" s="1"/>
  <c r="O311" i="1"/>
  <c r="S311" i="1" s="1"/>
  <c r="U311" i="1" s="1"/>
  <c r="O312" i="1"/>
  <c r="S312" i="1" s="1"/>
  <c r="U312" i="1" s="1"/>
  <c r="O313" i="1"/>
  <c r="S313" i="1" s="1"/>
  <c r="U313" i="1" s="1"/>
  <c r="O314" i="1"/>
  <c r="S314" i="1" s="1"/>
  <c r="U314" i="1" s="1"/>
  <c r="O315" i="1"/>
  <c r="S315" i="1" s="1"/>
  <c r="U315" i="1" s="1"/>
  <c r="O316" i="1"/>
  <c r="S316" i="1" s="1"/>
  <c r="U316" i="1" s="1"/>
  <c r="O317" i="1"/>
  <c r="S317" i="1" s="1"/>
  <c r="U317" i="1" s="1"/>
  <c r="O318" i="1"/>
  <c r="S318" i="1" s="1"/>
  <c r="U318" i="1" s="1"/>
  <c r="O319" i="1"/>
  <c r="S319" i="1" s="1"/>
  <c r="U319" i="1" s="1"/>
  <c r="O320" i="1"/>
  <c r="S320" i="1" s="1"/>
  <c r="U320" i="1" s="1"/>
  <c r="O321" i="1"/>
  <c r="S321" i="1" s="1"/>
  <c r="U321" i="1" s="1"/>
  <c r="O322" i="1"/>
  <c r="S322" i="1" s="1"/>
  <c r="U322" i="1" s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T150" i="1" l="1"/>
  <c r="R150" i="1"/>
  <c r="Q150" i="1"/>
  <c r="P150" i="1"/>
  <c r="O150" i="1"/>
  <c r="N150" i="1"/>
  <c r="T149" i="1"/>
  <c r="R149" i="1"/>
  <c r="Q149" i="1"/>
  <c r="P149" i="1"/>
  <c r="O149" i="1"/>
  <c r="N149" i="1"/>
  <c r="T148" i="1"/>
  <c r="R148" i="1"/>
  <c r="Q148" i="1"/>
  <c r="P148" i="1"/>
  <c r="O148" i="1"/>
  <c r="N148" i="1"/>
  <c r="T147" i="1"/>
  <c r="R147" i="1"/>
  <c r="Q147" i="1"/>
  <c r="P147" i="1"/>
  <c r="O147" i="1"/>
  <c r="N147" i="1"/>
  <c r="T146" i="1"/>
  <c r="R146" i="1"/>
  <c r="Q146" i="1"/>
  <c r="P146" i="1"/>
  <c r="O146" i="1"/>
  <c r="N146" i="1"/>
  <c r="T145" i="1"/>
  <c r="R145" i="1"/>
  <c r="Q145" i="1"/>
  <c r="P145" i="1"/>
  <c r="O145" i="1"/>
  <c r="N145" i="1"/>
  <c r="T144" i="1"/>
  <c r="R144" i="1"/>
  <c r="Q144" i="1"/>
  <c r="P144" i="1"/>
  <c r="O144" i="1"/>
  <c r="N144" i="1"/>
  <c r="T143" i="1"/>
  <c r="R143" i="1"/>
  <c r="Q143" i="1"/>
  <c r="P143" i="1"/>
  <c r="O143" i="1"/>
  <c r="N143" i="1"/>
  <c r="T142" i="1"/>
  <c r="R142" i="1"/>
  <c r="Q142" i="1"/>
  <c r="P142" i="1"/>
  <c r="O142" i="1"/>
  <c r="N142" i="1"/>
  <c r="T141" i="1"/>
  <c r="R141" i="1"/>
  <c r="Q141" i="1"/>
  <c r="P141" i="1"/>
  <c r="O141" i="1"/>
  <c r="N141" i="1"/>
  <c r="T140" i="1"/>
  <c r="R140" i="1"/>
  <c r="Q140" i="1"/>
  <c r="P140" i="1"/>
  <c r="O140" i="1"/>
  <c r="N140" i="1"/>
  <c r="T139" i="1"/>
  <c r="R139" i="1"/>
  <c r="Q139" i="1"/>
  <c r="P139" i="1"/>
  <c r="O139" i="1"/>
  <c r="N139" i="1"/>
  <c r="T138" i="1"/>
  <c r="R138" i="1"/>
  <c r="Q138" i="1"/>
  <c r="P138" i="1"/>
  <c r="O138" i="1"/>
  <c r="N138" i="1"/>
  <c r="T137" i="1"/>
  <c r="R137" i="1"/>
  <c r="Q137" i="1"/>
  <c r="P137" i="1"/>
  <c r="O137" i="1"/>
  <c r="N137" i="1"/>
  <c r="T136" i="1"/>
  <c r="R136" i="1"/>
  <c r="Q136" i="1"/>
  <c r="P136" i="1"/>
  <c r="O136" i="1"/>
  <c r="N136" i="1"/>
  <c r="T135" i="1"/>
  <c r="R135" i="1"/>
  <c r="Q135" i="1"/>
  <c r="P135" i="1"/>
  <c r="O135" i="1"/>
  <c r="N135" i="1"/>
  <c r="T134" i="1"/>
  <c r="R134" i="1"/>
  <c r="Q134" i="1"/>
  <c r="P134" i="1"/>
  <c r="O134" i="1"/>
  <c r="S134" i="1" s="1"/>
  <c r="U134" i="1" s="1"/>
  <c r="N134" i="1"/>
  <c r="T133" i="1"/>
  <c r="R133" i="1"/>
  <c r="Q133" i="1"/>
  <c r="P133" i="1"/>
  <c r="O133" i="1"/>
  <c r="N133" i="1"/>
  <c r="T132" i="1"/>
  <c r="R132" i="1"/>
  <c r="Q132" i="1"/>
  <c r="P132" i="1"/>
  <c r="O132" i="1"/>
  <c r="N132" i="1"/>
  <c r="T131" i="1"/>
  <c r="R131" i="1"/>
  <c r="Q131" i="1"/>
  <c r="P131" i="1"/>
  <c r="O131" i="1"/>
  <c r="N131" i="1"/>
  <c r="T130" i="1"/>
  <c r="R130" i="1"/>
  <c r="Q130" i="1"/>
  <c r="P130" i="1"/>
  <c r="O130" i="1"/>
  <c r="N130" i="1"/>
  <c r="T129" i="1"/>
  <c r="R129" i="1"/>
  <c r="Q129" i="1"/>
  <c r="P129" i="1"/>
  <c r="O129" i="1"/>
  <c r="N129" i="1"/>
  <c r="T128" i="1"/>
  <c r="R128" i="1"/>
  <c r="Q128" i="1"/>
  <c r="P128" i="1"/>
  <c r="O128" i="1"/>
  <c r="N128" i="1"/>
  <c r="T127" i="1"/>
  <c r="R127" i="1"/>
  <c r="Q127" i="1"/>
  <c r="P127" i="1"/>
  <c r="O127" i="1"/>
  <c r="N127" i="1"/>
  <c r="T126" i="1"/>
  <c r="R126" i="1"/>
  <c r="Q126" i="1"/>
  <c r="P126" i="1"/>
  <c r="O126" i="1"/>
  <c r="N126" i="1"/>
  <c r="T125" i="1"/>
  <c r="R125" i="1"/>
  <c r="Q125" i="1"/>
  <c r="P125" i="1"/>
  <c r="O125" i="1"/>
  <c r="N125" i="1"/>
  <c r="T124" i="1"/>
  <c r="R124" i="1"/>
  <c r="Q124" i="1"/>
  <c r="P124" i="1"/>
  <c r="O124" i="1"/>
  <c r="N124" i="1"/>
  <c r="T123" i="1"/>
  <c r="R123" i="1"/>
  <c r="Q123" i="1"/>
  <c r="P123" i="1"/>
  <c r="O123" i="1"/>
  <c r="N123" i="1"/>
  <c r="T122" i="1"/>
  <c r="R122" i="1"/>
  <c r="Q122" i="1"/>
  <c r="P122" i="1"/>
  <c r="O122" i="1"/>
  <c r="S122" i="1" s="1"/>
  <c r="U122" i="1" s="1"/>
  <c r="N122" i="1"/>
  <c r="T121" i="1"/>
  <c r="R121" i="1"/>
  <c r="Q121" i="1"/>
  <c r="P121" i="1"/>
  <c r="O121" i="1"/>
  <c r="N121" i="1"/>
  <c r="T120" i="1"/>
  <c r="R120" i="1"/>
  <c r="Q120" i="1"/>
  <c r="P120" i="1"/>
  <c r="O120" i="1"/>
  <c r="N120" i="1"/>
  <c r="T119" i="1"/>
  <c r="R119" i="1"/>
  <c r="Q119" i="1"/>
  <c r="P119" i="1"/>
  <c r="O119" i="1"/>
  <c r="N119" i="1"/>
  <c r="T118" i="1"/>
  <c r="R118" i="1"/>
  <c r="Q118" i="1"/>
  <c r="P118" i="1"/>
  <c r="O118" i="1"/>
  <c r="N118" i="1"/>
  <c r="T117" i="1"/>
  <c r="R117" i="1"/>
  <c r="Q117" i="1"/>
  <c r="P117" i="1"/>
  <c r="O117" i="1"/>
  <c r="N117" i="1"/>
  <c r="T116" i="1"/>
  <c r="R116" i="1"/>
  <c r="Q116" i="1"/>
  <c r="P116" i="1"/>
  <c r="O116" i="1"/>
  <c r="N116" i="1"/>
  <c r="T115" i="1"/>
  <c r="R115" i="1"/>
  <c r="Q115" i="1"/>
  <c r="P115" i="1"/>
  <c r="O115" i="1"/>
  <c r="N115" i="1"/>
  <c r="T114" i="1"/>
  <c r="R114" i="1"/>
  <c r="Q114" i="1"/>
  <c r="P114" i="1"/>
  <c r="O114" i="1"/>
  <c r="N114" i="1"/>
  <c r="T113" i="1"/>
  <c r="R113" i="1"/>
  <c r="Q113" i="1"/>
  <c r="P113" i="1"/>
  <c r="O113" i="1"/>
  <c r="N113" i="1"/>
  <c r="T112" i="1"/>
  <c r="R112" i="1"/>
  <c r="Q112" i="1"/>
  <c r="P112" i="1"/>
  <c r="O112" i="1"/>
  <c r="N112" i="1"/>
  <c r="T111" i="1"/>
  <c r="R111" i="1"/>
  <c r="Q111" i="1"/>
  <c r="P111" i="1"/>
  <c r="O111" i="1"/>
  <c r="N111" i="1"/>
  <c r="T110" i="1"/>
  <c r="R110" i="1"/>
  <c r="Q110" i="1"/>
  <c r="P110" i="1"/>
  <c r="O110" i="1"/>
  <c r="N110" i="1"/>
  <c r="T109" i="1"/>
  <c r="R109" i="1"/>
  <c r="Q109" i="1"/>
  <c r="P109" i="1"/>
  <c r="O109" i="1"/>
  <c r="N109" i="1"/>
  <c r="T108" i="1"/>
  <c r="R108" i="1"/>
  <c r="Q108" i="1"/>
  <c r="P108" i="1"/>
  <c r="O108" i="1"/>
  <c r="N108" i="1"/>
  <c r="T107" i="1"/>
  <c r="R107" i="1"/>
  <c r="Q107" i="1"/>
  <c r="P107" i="1"/>
  <c r="O107" i="1"/>
  <c r="N107" i="1"/>
  <c r="T106" i="1"/>
  <c r="R106" i="1"/>
  <c r="Q106" i="1"/>
  <c r="P106" i="1"/>
  <c r="O106" i="1"/>
  <c r="N106" i="1"/>
  <c r="T105" i="1"/>
  <c r="R105" i="1"/>
  <c r="Q105" i="1"/>
  <c r="P105" i="1"/>
  <c r="O105" i="1"/>
  <c r="N105" i="1"/>
  <c r="T104" i="1"/>
  <c r="R104" i="1"/>
  <c r="Q104" i="1"/>
  <c r="P104" i="1"/>
  <c r="O104" i="1"/>
  <c r="N104" i="1"/>
  <c r="N94" i="1"/>
  <c r="O94" i="1"/>
  <c r="P94" i="1"/>
  <c r="Q94" i="1"/>
  <c r="R94" i="1"/>
  <c r="T94" i="1"/>
  <c r="N95" i="1"/>
  <c r="O95" i="1"/>
  <c r="P95" i="1"/>
  <c r="Q95" i="1"/>
  <c r="R95" i="1"/>
  <c r="T95" i="1"/>
  <c r="N96" i="1"/>
  <c r="O96" i="1"/>
  <c r="P96" i="1"/>
  <c r="Q96" i="1"/>
  <c r="R96" i="1"/>
  <c r="T96" i="1"/>
  <c r="N97" i="1"/>
  <c r="O97" i="1"/>
  <c r="P97" i="1"/>
  <c r="Q97" i="1"/>
  <c r="R97" i="1"/>
  <c r="T97" i="1"/>
  <c r="N98" i="1"/>
  <c r="O98" i="1"/>
  <c r="P98" i="1"/>
  <c r="Q98" i="1"/>
  <c r="R98" i="1"/>
  <c r="T98" i="1"/>
  <c r="N99" i="1"/>
  <c r="O99" i="1"/>
  <c r="P99" i="1"/>
  <c r="Q99" i="1"/>
  <c r="R99" i="1"/>
  <c r="T99" i="1"/>
  <c r="N100" i="1"/>
  <c r="O100" i="1"/>
  <c r="P100" i="1"/>
  <c r="Q100" i="1"/>
  <c r="R100" i="1"/>
  <c r="T100" i="1"/>
  <c r="N101" i="1"/>
  <c r="O101" i="1"/>
  <c r="P101" i="1"/>
  <c r="Q101" i="1"/>
  <c r="R101" i="1"/>
  <c r="T101" i="1"/>
  <c r="N102" i="1"/>
  <c r="O102" i="1"/>
  <c r="P102" i="1"/>
  <c r="Q102" i="1"/>
  <c r="R102" i="1"/>
  <c r="T102" i="1"/>
  <c r="N103" i="1"/>
  <c r="O103" i="1"/>
  <c r="P103" i="1"/>
  <c r="Q103" i="1"/>
  <c r="R103" i="1"/>
  <c r="T103" i="1"/>
  <c r="O93" i="1"/>
  <c r="N93" i="1"/>
  <c r="S146" i="1" l="1"/>
  <c r="U146" i="1" s="1"/>
  <c r="S116" i="1"/>
  <c r="U116" i="1" s="1"/>
  <c r="S128" i="1"/>
  <c r="U128" i="1" s="1"/>
  <c r="S140" i="1"/>
  <c r="U140" i="1" s="1"/>
  <c r="S102" i="1"/>
  <c r="S103" i="1"/>
  <c r="S109" i="1"/>
  <c r="S98" i="1"/>
  <c r="U98" i="1" s="1"/>
  <c r="S96" i="1"/>
  <c r="S114" i="1"/>
  <c r="S106" i="1"/>
  <c r="S112" i="1"/>
  <c r="S99" i="1"/>
  <c r="S107" i="1"/>
  <c r="S113" i="1"/>
  <c r="S133" i="1"/>
  <c r="U133" i="1" s="1"/>
  <c r="S145" i="1"/>
  <c r="U145" i="1" s="1"/>
  <c r="S115" i="1"/>
  <c r="S121" i="1"/>
  <c r="U121" i="1" s="1"/>
  <c r="S94" i="1"/>
  <c r="S105" i="1"/>
  <c r="S111" i="1"/>
  <c r="S127" i="1"/>
  <c r="U127" i="1" s="1"/>
  <c r="S139" i="1"/>
  <c r="U139" i="1" s="1"/>
  <c r="S117" i="1"/>
  <c r="U117" i="1" s="1"/>
  <c r="S123" i="1"/>
  <c r="U123" i="1" s="1"/>
  <c r="S129" i="1"/>
  <c r="U129" i="1" s="1"/>
  <c r="S135" i="1"/>
  <c r="U135" i="1" s="1"/>
  <c r="S101" i="1"/>
  <c r="S141" i="1"/>
  <c r="U141" i="1" s="1"/>
  <c r="S147" i="1"/>
  <c r="U147" i="1" s="1"/>
  <c r="S97" i="1"/>
  <c r="S110" i="1"/>
  <c r="S142" i="1"/>
  <c r="U142" i="1" s="1"/>
  <c r="S148" i="1"/>
  <c r="U148" i="1" s="1"/>
  <c r="S108" i="1"/>
  <c r="S124" i="1"/>
  <c r="U124" i="1" s="1"/>
  <c r="S130" i="1"/>
  <c r="U130" i="1" s="1"/>
  <c r="S100" i="1"/>
  <c r="S136" i="1"/>
  <c r="U136" i="1" s="1"/>
  <c r="S120" i="1"/>
  <c r="U120" i="1" s="1"/>
  <c r="S126" i="1"/>
  <c r="U126" i="1" s="1"/>
  <c r="S132" i="1"/>
  <c r="U132" i="1" s="1"/>
  <c r="S138" i="1"/>
  <c r="U138" i="1" s="1"/>
  <c r="S144" i="1"/>
  <c r="U144" i="1" s="1"/>
  <c r="S150" i="1"/>
  <c r="U150" i="1" s="1"/>
  <c r="S118" i="1"/>
  <c r="U118" i="1" s="1"/>
  <c r="S95" i="1"/>
  <c r="S119" i="1"/>
  <c r="U119" i="1" s="1"/>
  <c r="S149" i="1"/>
  <c r="U149" i="1" s="1"/>
  <c r="S137" i="1"/>
  <c r="U137" i="1" s="1"/>
  <c r="S131" i="1"/>
  <c r="U131" i="1" s="1"/>
  <c r="S143" i="1"/>
  <c r="U143" i="1" s="1"/>
  <c r="S104" i="1"/>
  <c r="S125" i="1"/>
  <c r="U125" i="1" s="1"/>
  <c r="P93" i="1"/>
  <c r="Q93" i="1"/>
  <c r="R93" i="1"/>
  <c r="T93" i="1"/>
  <c r="U114" i="1"/>
  <c r="U102" i="1"/>
  <c r="U99" i="1"/>
  <c r="U96" i="1"/>
  <c r="U103" i="1" l="1"/>
  <c r="U109" i="1"/>
  <c r="U106" i="1"/>
  <c r="S93" i="1"/>
  <c r="U93" i="1" s="1"/>
  <c r="U111" i="1"/>
  <c r="U112" i="1"/>
  <c r="U105" i="1"/>
  <c r="U115" i="1"/>
  <c r="U100" i="1"/>
  <c r="U94" i="1"/>
  <c r="U110" i="1"/>
  <c r="U95" i="1"/>
  <c r="U97" i="1"/>
  <c r="U101" i="1"/>
  <c r="U108" i="1"/>
  <c r="U104" i="1"/>
  <c r="U113" i="1"/>
  <c r="U107" i="1"/>
  <c r="O71" i="1"/>
  <c r="P71" i="1"/>
  <c r="Q71" i="1"/>
  <c r="R71" i="1"/>
  <c r="T71" i="1"/>
  <c r="O72" i="1"/>
  <c r="P72" i="1"/>
  <c r="Q72" i="1"/>
  <c r="R72" i="1"/>
  <c r="T72" i="1"/>
  <c r="O73" i="1"/>
  <c r="P73" i="1"/>
  <c r="Q73" i="1"/>
  <c r="R73" i="1"/>
  <c r="T73" i="1"/>
  <c r="O74" i="1"/>
  <c r="P74" i="1"/>
  <c r="Q74" i="1"/>
  <c r="R74" i="1"/>
  <c r="T74" i="1"/>
  <c r="O75" i="1"/>
  <c r="P75" i="1"/>
  <c r="Q75" i="1"/>
  <c r="R75" i="1"/>
  <c r="T75" i="1"/>
  <c r="O76" i="1"/>
  <c r="P76" i="1"/>
  <c r="Q76" i="1"/>
  <c r="R76" i="1"/>
  <c r="T76" i="1"/>
  <c r="O77" i="1"/>
  <c r="P77" i="1"/>
  <c r="Q77" i="1"/>
  <c r="R77" i="1"/>
  <c r="T77" i="1"/>
  <c r="O78" i="1"/>
  <c r="P78" i="1"/>
  <c r="Q78" i="1"/>
  <c r="R78" i="1"/>
  <c r="T78" i="1"/>
  <c r="O79" i="1"/>
  <c r="P79" i="1"/>
  <c r="Q79" i="1"/>
  <c r="R79" i="1"/>
  <c r="T79" i="1"/>
  <c r="O80" i="1"/>
  <c r="P80" i="1"/>
  <c r="Q80" i="1"/>
  <c r="R80" i="1"/>
  <c r="T80" i="1"/>
  <c r="O81" i="1"/>
  <c r="P81" i="1"/>
  <c r="Q81" i="1"/>
  <c r="R81" i="1"/>
  <c r="T81" i="1"/>
  <c r="O82" i="1"/>
  <c r="P82" i="1"/>
  <c r="Q82" i="1"/>
  <c r="R82" i="1"/>
  <c r="T82" i="1"/>
  <c r="O83" i="1"/>
  <c r="P83" i="1"/>
  <c r="Q83" i="1"/>
  <c r="R83" i="1"/>
  <c r="T83" i="1"/>
  <c r="O84" i="1"/>
  <c r="P84" i="1"/>
  <c r="Q84" i="1"/>
  <c r="R84" i="1"/>
  <c r="T84" i="1"/>
  <c r="O85" i="1"/>
  <c r="P85" i="1"/>
  <c r="Q85" i="1"/>
  <c r="R85" i="1"/>
  <c r="T85" i="1"/>
  <c r="O86" i="1"/>
  <c r="P86" i="1"/>
  <c r="Q86" i="1"/>
  <c r="R86" i="1"/>
  <c r="T86" i="1"/>
  <c r="O87" i="1"/>
  <c r="P87" i="1"/>
  <c r="Q87" i="1"/>
  <c r="R87" i="1"/>
  <c r="T87" i="1"/>
  <c r="O88" i="1"/>
  <c r="P88" i="1"/>
  <c r="Q88" i="1"/>
  <c r="R88" i="1"/>
  <c r="T88" i="1"/>
  <c r="O89" i="1"/>
  <c r="P89" i="1"/>
  <c r="Q89" i="1"/>
  <c r="R89" i="1"/>
  <c r="T89" i="1"/>
  <c r="O90" i="1"/>
  <c r="P90" i="1"/>
  <c r="Q90" i="1"/>
  <c r="R90" i="1"/>
  <c r="T90" i="1"/>
  <c r="O91" i="1"/>
  <c r="P91" i="1"/>
  <c r="Q91" i="1"/>
  <c r="R91" i="1"/>
  <c r="T91" i="1"/>
  <c r="O92" i="1"/>
  <c r="P92" i="1"/>
  <c r="Q92" i="1"/>
  <c r="R92" i="1"/>
  <c r="T92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S84" i="1" l="1"/>
  <c r="U84" i="1" s="1"/>
  <c r="S89" i="1"/>
  <c r="S77" i="1"/>
  <c r="U77" i="1" s="1"/>
  <c r="U89" i="1"/>
  <c r="S72" i="1"/>
  <c r="U72" i="1" s="1"/>
  <c r="S80" i="1"/>
  <c r="U80" i="1" s="1"/>
  <c r="S73" i="1"/>
  <c r="U73" i="1" s="1"/>
  <c r="S87" i="1"/>
  <c r="U87" i="1" s="1"/>
  <c r="S71" i="1"/>
  <c r="U71" i="1" s="1"/>
  <c r="S91" i="1"/>
  <c r="U91" i="1" s="1"/>
  <c r="S75" i="1"/>
  <c r="U75" i="1" s="1"/>
  <c r="S82" i="1"/>
  <c r="U82" i="1" s="1"/>
  <c r="S79" i="1"/>
  <c r="U79" i="1" s="1"/>
  <c r="S86" i="1"/>
  <c r="U86" i="1" s="1"/>
  <c r="S74" i="1"/>
  <c r="U74" i="1" s="1"/>
  <c r="S88" i="1"/>
  <c r="U88" i="1" s="1"/>
  <c r="S81" i="1"/>
  <c r="U81" i="1" s="1"/>
  <c r="S90" i="1"/>
  <c r="U90" i="1" s="1"/>
  <c r="S83" i="1"/>
  <c r="U83" i="1" s="1"/>
  <c r="S76" i="1"/>
  <c r="U76" i="1" s="1"/>
  <c r="S92" i="1"/>
  <c r="U92" i="1" s="1"/>
  <c r="S85" i="1"/>
  <c r="U85" i="1" s="1"/>
  <c r="S78" i="1"/>
  <c r="U78" i="1" s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O53" i="1"/>
  <c r="O54" i="1"/>
  <c r="O55" i="1"/>
  <c r="O56" i="1"/>
  <c r="O57" i="1"/>
  <c r="O58" i="1"/>
  <c r="O59" i="1"/>
  <c r="O60" i="1"/>
  <c r="O61" i="1"/>
  <c r="O62" i="1"/>
  <c r="S62" i="1" s="1"/>
  <c r="O63" i="1"/>
  <c r="O64" i="1"/>
  <c r="O65" i="1"/>
  <c r="S65" i="1" s="1"/>
  <c r="O66" i="1"/>
  <c r="O67" i="1"/>
  <c r="O68" i="1"/>
  <c r="O69" i="1"/>
  <c r="O70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S69" i="1" l="1"/>
  <c r="S53" i="1"/>
  <c r="S70" i="1"/>
  <c r="S58" i="1"/>
  <c r="U58" i="1" s="1"/>
  <c r="S57" i="1"/>
  <c r="U57" i="1" s="1"/>
  <c r="S67" i="1"/>
  <c r="U67" i="1" s="1"/>
  <c r="S54" i="1"/>
  <c r="U54" i="1" s="1"/>
  <c r="S68" i="1"/>
  <c r="U68" i="1" s="1"/>
  <c r="S56" i="1"/>
  <c r="U56" i="1" s="1"/>
  <c r="S66" i="1"/>
  <c r="S64" i="1"/>
  <c r="S63" i="1"/>
  <c r="U63" i="1" s="1"/>
  <c r="S55" i="1"/>
  <c r="U55" i="1" s="1"/>
  <c r="S61" i="1"/>
  <c r="S60" i="1"/>
  <c r="U60" i="1" s="1"/>
  <c r="S59" i="1"/>
  <c r="U59" i="1" s="1"/>
  <c r="U66" i="1"/>
  <c r="U53" i="1"/>
  <c r="U65" i="1"/>
  <c r="U64" i="1"/>
  <c r="U70" i="1"/>
  <c r="U69" i="1"/>
  <c r="U62" i="1"/>
  <c r="U61" i="1"/>
  <c r="O23" i="1"/>
  <c r="P23" i="1"/>
  <c r="Q23" i="1"/>
  <c r="R23" i="1"/>
  <c r="T23" i="1"/>
  <c r="O24" i="1"/>
  <c r="P24" i="1"/>
  <c r="Q24" i="1"/>
  <c r="R24" i="1"/>
  <c r="T24" i="1"/>
  <c r="O25" i="1"/>
  <c r="P25" i="1"/>
  <c r="Q25" i="1"/>
  <c r="R25" i="1"/>
  <c r="T25" i="1"/>
  <c r="O26" i="1"/>
  <c r="P26" i="1"/>
  <c r="Q26" i="1"/>
  <c r="R26" i="1"/>
  <c r="T26" i="1"/>
  <c r="O27" i="1"/>
  <c r="P27" i="1"/>
  <c r="Q27" i="1"/>
  <c r="R27" i="1"/>
  <c r="T27" i="1"/>
  <c r="O28" i="1"/>
  <c r="P28" i="1"/>
  <c r="Q28" i="1"/>
  <c r="R28" i="1"/>
  <c r="T28" i="1"/>
  <c r="O29" i="1"/>
  <c r="P29" i="1"/>
  <c r="Q29" i="1"/>
  <c r="R29" i="1"/>
  <c r="T29" i="1"/>
  <c r="O30" i="1"/>
  <c r="P30" i="1"/>
  <c r="Q30" i="1"/>
  <c r="R30" i="1"/>
  <c r="T30" i="1"/>
  <c r="O31" i="1"/>
  <c r="P31" i="1"/>
  <c r="Q31" i="1"/>
  <c r="R31" i="1"/>
  <c r="T31" i="1"/>
  <c r="O32" i="1"/>
  <c r="P32" i="1"/>
  <c r="Q32" i="1"/>
  <c r="R32" i="1"/>
  <c r="T32" i="1"/>
  <c r="O33" i="1"/>
  <c r="P33" i="1"/>
  <c r="Q33" i="1"/>
  <c r="R33" i="1"/>
  <c r="T33" i="1"/>
  <c r="O34" i="1"/>
  <c r="P34" i="1"/>
  <c r="Q34" i="1"/>
  <c r="R34" i="1"/>
  <c r="T34" i="1"/>
  <c r="O35" i="1"/>
  <c r="P35" i="1"/>
  <c r="Q35" i="1"/>
  <c r="R35" i="1"/>
  <c r="T35" i="1"/>
  <c r="O36" i="1"/>
  <c r="P36" i="1"/>
  <c r="Q36" i="1"/>
  <c r="R36" i="1"/>
  <c r="T36" i="1"/>
  <c r="O37" i="1"/>
  <c r="P37" i="1"/>
  <c r="Q37" i="1"/>
  <c r="R37" i="1"/>
  <c r="T37" i="1"/>
  <c r="O38" i="1"/>
  <c r="P38" i="1"/>
  <c r="Q38" i="1"/>
  <c r="R38" i="1"/>
  <c r="T38" i="1"/>
  <c r="O39" i="1"/>
  <c r="P39" i="1"/>
  <c r="Q39" i="1"/>
  <c r="R39" i="1"/>
  <c r="T39" i="1"/>
  <c r="O40" i="1"/>
  <c r="P40" i="1"/>
  <c r="Q40" i="1"/>
  <c r="R40" i="1"/>
  <c r="T40" i="1"/>
  <c r="O41" i="1"/>
  <c r="P41" i="1"/>
  <c r="Q41" i="1"/>
  <c r="R41" i="1"/>
  <c r="T41" i="1"/>
  <c r="O42" i="1"/>
  <c r="P42" i="1"/>
  <c r="Q42" i="1"/>
  <c r="R42" i="1"/>
  <c r="T42" i="1"/>
  <c r="O43" i="1"/>
  <c r="P43" i="1"/>
  <c r="Q43" i="1"/>
  <c r="R43" i="1"/>
  <c r="T43" i="1"/>
  <c r="O44" i="1"/>
  <c r="P44" i="1"/>
  <c r="Q44" i="1"/>
  <c r="R44" i="1"/>
  <c r="T44" i="1"/>
  <c r="O45" i="1"/>
  <c r="P45" i="1"/>
  <c r="Q45" i="1"/>
  <c r="R45" i="1"/>
  <c r="T45" i="1"/>
  <c r="O46" i="1"/>
  <c r="P46" i="1"/>
  <c r="Q46" i="1"/>
  <c r="R46" i="1"/>
  <c r="T46" i="1"/>
  <c r="O47" i="1"/>
  <c r="P47" i="1"/>
  <c r="Q47" i="1"/>
  <c r="R47" i="1"/>
  <c r="T47" i="1"/>
  <c r="O48" i="1"/>
  <c r="P48" i="1"/>
  <c r="Q48" i="1"/>
  <c r="R48" i="1"/>
  <c r="T48" i="1"/>
  <c r="O49" i="1"/>
  <c r="P49" i="1"/>
  <c r="Q49" i="1"/>
  <c r="R49" i="1"/>
  <c r="T49" i="1"/>
  <c r="O50" i="1"/>
  <c r="P50" i="1"/>
  <c r="Q50" i="1"/>
  <c r="R50" i="1"/>
  <c r="T50" i="1"/>
  <c r="O51" i="1"/>
  <c r="P51" i="1"/>
  <c r="Q51" i="1"/>
  <c r="R51" i="1"/>
  <c r="T51" i="1"/>
  <c r="O52" i="1"/>
  <c r="P52" i="1"/>
  <c r="Q52" i="1"/>
  <c r="R52" i="1"/>
  <c r="T5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S48" i="1" l="1"/>
  <c r="U48" i="1" s="1"/>
  <c r="S36" i="1"/>
  <c r="U36" i="1" s="1"/>
  <c r="S24" i="1"/>
  <c r="U24" i="1" s="1"/>
  <c r="S49" i="1"/>
  <c r="U49" i="1" s="1"/>
  <c r="S52" i="1"/>
  <c r="U52" i="1" s="1"/>
  <c r="S40" i="1"/>
  <c r="U40" i="1" s="1"/>
  <c r="S47" i="1"/>
  <c r="U47" i="1" s="1"/>
  <c r="S28" i="1"/>
  <c r="U28" i="1" s="1"/>
  <c r="S42" i="1"/>
  <c r="U42" i="1" s="1"/>
  <c r="S37" i="1"/>
  <c r="U37" i="1" s="1"/>
  <c r="S35" i="1"/>
  <c r="U35" i="1" s="1"/>
  <c r="S51" i="1"/>
  <c r="U51" i="1" s="1"/>
  <c r="S30" i="1"/>
  <c r="U30" i="1" s="1"/>
  <c r="S25" i="1"/>
  <c r="U25" i="1" s="1"/>
  <c r="S23" i="1"/>
  <c r="U23" i="1" s="1"/>
  <c r="S44" i="1"/>
  <c r="U44" i="1" s="1"/>
  <c r="S39" i="1"/>
  <c r="U39" i="1" s="1"/>
  <c r="S32" i="1"/>
  <c r="U32" i="1" s="1"/>
  <c r="S27" i="1"/>
  <c r="U27" i="1" s="1"/>
  <c r="S46" i="1"/>
  <c r="U46" i="1" s="1"/>
  <c r="S43" i="1"/>
  <c r="U43" i="1" s="1"/>
  <c r="S50" i="1"/>
  <c r="U50" i="1" s="1"/>
  <c r="S41" i="1"/>
  <c r="U41" i="1" s="1"/>
  <c r="S34" i="1"/>
  <c r="U34" i="1" s="1"/>
  <c r="S31" i="1"/>
  <c r="U31" i="1" s="1"/>
  <c r="S33" i="1"/>
  <c r="U33" i="1" s="1"/>
  <c r="S38" i="1"/>
  <c r="U38" i="1" s="1"/>
  <c r="S29" i="1"/>
  <c r="U29" i="1" s="1"/>
  <c r="S45" i="1"/>
  <c r="U45" i="1" s="1"/>
  <c r="S26" i="1"/>
  <c r="U26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M4" i="1"/>
  <c r="L3" i="1"/>
  <c r="L4" i="1"/>
  <c r="S10" i="1" l="1"/>
  <c r="S22" i="1"/>
  <c r="S21" i="1"/>
  <c r="U21" i="1" s="1"/>
  <c r="S9" i="1"/>
  <c r="U9" i="1" s="1"/>
  <c r="S20" i="1"/>
  <c r="U20" i="1" s="1"/>
  <c r="S8" i="1"/>
  <c r="U8" i="1" s="1"/>
  <c r="S7" i="1"/>
  <c r="U7" i="1" s="1"/>
  <c r="U22" i="1"/>
  <c r="U10" i="1"/>
  <c r="S18" i="1"/>
  <c r="U18" i="1" s="1"/>
  <c r="S6" i="1"/>
  <c r="U6" i="1" s="1"/>
  <c r="S17" i="1"/>
  <c r="U17" i="1" s="1"/>
  <c r="S5" i="1"/>
  <c r="U5" i="1" s="1"/>
  <c r="S16" i="1"/>
  <c r="U16" i="1" s="1"/>
  <c r="S4" i="1"/>
  <c r="U4" i="1" s="1"/>
  <c r="S15" i="1"/>
  <c r="U15" i="1" s="1"/>
  <c r="S3" i="1"/>
  <c r="S14" i="1"/>
  <c r="U14" i="1" s="1"/>
  <c r="S19" i="1"/>
  <c r="U19" i="1" s="1"/>
  <c r="S13" i="1"/>
  <c r="U13" i="1" s="1"/>
  <c r="S12" i="1"/>
  <c r="U12" i="1" s="1"/>
  <c r="S11" i="1"/>
  <c r="U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acer</author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IB = Initiative Buying
RB = Responsive Buying
IS = Initiative Selling
RS = Responsive Selling
	-Sanjeev Gaur</t>
        </r>
      </text>
    </comment>
    <comment ref="G1" authorId="0" shapeId="0" xr:uid="{00000000-0006-0000-0000-000002000000}">
      <text>
        <r>
          <rPr>
            <sz val="10"/>
            <color rgb="FF000000"/>
            <rFont val="Arial"/>
            <scheme val="minor"/>
          </rPr>
          <t>If there is Tail at both ends, take the NET Tail.
IB = Initiative Buying
RB = Responsive Buying
IS = Initiative Selling
RS = Responsive Selling
	-Sanjeev Gaur</t>
        </r>
      </text>
    </comment>
    <comment ref="H1" authorId="0" shapeId="0" xr:uid="{00000000-0006-0000-0000-000003000000}">
      <text>
        <r>
          <rPr>
            <sz val="10"/>
            <color rgb="FF000000"/>
            <rFont val="Arial"/>
            <scheme val="minor"/>
          </rPr>
          <t>If price opens in lowest quartile of UP day range, it's buying composite. 
If price opens in highest quartile of DOWN day range, it's selling composite.
NOTE: Candle open is considered at previous closing price.
IB = Initiative Buying
RB = Responsive Buying
IS = Initiative Selling
RS = Responsive Selling
	-Sanjeev Gaur</t>
        </r>
      </text>
    </comment>
    <comment ref="I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only for reference sake. It has no contribution to Bias Code.</t>
        </r>
      </text>
    </comment>
    <comment ref="J1" authorId="0" shapeId="0" xr:uid="{00000000-0006-0000-0000-000005000000}">
      <text>
        <r>
          <rPr>
            <sz val="10"/>
            <color rgb="FF000000"/>
            <rFont val="Arial"/>
            <scheme val="minor"/>
          </rPr>
          <t>Volume ka weightage badhao. 
Low volume ki activity par contra trade ke liye socho kuch.
	-Sanjeev Gaur</t>
        </r>
      </text>
    </comment>
    <comment ref="E2" authorId="0" shapeId="0" xr:uid="{00000000-0006-0000-0000-000006000000}">
      <text>
        <r>
          <rPr>
            <sz val="10"/>
            <color rgb="FF000000"/>
            <rFont val="Arial"/>
            <scheme val="minor"/>
          </rPr>
          <t>There must be Single Prints in Range Extension for it to be Initiative as per First Principle. 
L period singles are not considered.
	-Sanjeev Gaur</t>
        </r>
      </text>
    </comment>
  </commentList>
</comments>
</file>

<file path=xl/sharedStrings.xml><?xml version="1.0" encoding="utf-8"?>
<sst xmlns="http://schemas.openxmlformats.org/spreadsheetml/2006/main" count="1118" uniqueCount="33">
  <si>
    <t>Date</t>
  </si>
  <si>
    <t>VA Width</t>
  </si>
  <si>
    <t>Range Extension</t>
  </si>
  <si>
    <t>Net Tail/
Excess</t>
  </si>
  <si>
    <t>B/S Comp</t>
  </si>
  <si>
    <t>Attempted Direction</t>
  </si>
  <si>
    <t>Volume</t>
  </si>
  <si>
    <t>VA
Rank</t>
  </si>
  <si>
    <t>RE Rank</t>
  </si>
  <si>
    <t>Tail
Rank</t>
  </si>
  <si>
    <t>Comp
Rank</t>
  </si>
  <si>
    <t>Ranking 
Factor</t>
  </si>
  <si>
    <t>VA
Factor</t>
  </si>
  <si>
    <t>RF</t>
  </si>
  <si>
    <t>P-I</t>
  </si>
  <si>
    <t>VA</t>
  </si>
  <si>
    <t>Daily</t>
  </si>
  <si>
    <t>Average</t>
  </si>
  <si>
    <t>Daily/Avg</t>
  </si>
  <si>
    <t>Avg/Avg</t>
  </si>
  <si>
    <t>L</t>
  </si>
  <si>
    <t>--</t>
  </si>
  <si>
    <t>RB</t>
  </si>
  <si>
    <t>H</t>
  </si>
  <si>
    <t>IB</t>
  </si>
  <si>
    <t>OL</t>
  </si>
  <si>
    <t>RS</t>
  </si>
  <si>
    <t>OH</t>
  </si>
  <si>
    <t>IS</t>
  </si>
  <si>
    <t>O</t>
  </si>
  <si>
    <t>Bias
Code</t>
  </si>
  <si>
    <t>VA Placement</t>
  </si>
  <si>
    <t>Sr 
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</si>
</sst>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14009]dd/mm/yy;@"/>
  </numFmts>
  <fonts count="21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0"/>
      <name val="Arial"/>
    </font>
    <font>
      <b/>
      <sz val="9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10" fontId="6" fillId="0" borderId="1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0" fontId="9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wrapText="1"/>
    </xf>
    <xf numFmtId="164" fontId="5" fillId="0" borderId="0" xfId="0" applyNumberFormat="1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7" xfId="0" applyBorder="1"/>
    <xf numFmtId="0" fontId="8" fillId="8" borderId="13" xfId="0" applyFont="1" applyFill="1" applyBorder="1" applyAlignment="1">
      <alignment horizontal="center" vertical="center" wrapText="1"/>
    </xf>
    <xf numFmtId="2" fontId="16" fillId="0" borderId="0" xfId="0" quotePrefix="1" applyNumberFormat="1" applyFont="1" applyAlignment="1">
      <alignment horizontal="center" vertical="center"/>
    </xf>
    <xf numFmtId="4" fontId="16" fillId="0" borderId="12" xfId="0" quotePrefix="1" applyNumberFormat="1" applyFont="1" applyBorder="1" applyAlignment="1">
      <alignment horizontal="center" vertical="center"/>
    </xf>
    <xf numFmtId="10" fontId="18" fillId="0" borderId="12" xfId="0" quotePrefix="1" applyNumberFormat="1" applyFont="1" applyBorder="1" applyAlignment="1">
      <alignment horizontal="center"/>
    </xf>
    <xf numFmtId="0" fontId="8" fillId="9" borderId="13" xfId="0" applyFont="1" applyFill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 wrapText="1"/>
    </xf>
    <xf numFmtId="165" fontId="17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10" fillId="0" borderId="0" xfId="0" applyNumberFormat="1" applyFont="1"/>
    <xf numFmtId="4" fontId="11" fillId="7" borderId="3" xfId="0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1" fillId="2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4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10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12" fillId="6" borderId="2" xfId="0" applyNumberFormat="1" applyFont="1" applyFill="1" applyBorder="1" applyAlignment="1">
      <alignment horizontal="center" vertical="center" wrapText="1"/>
    </xf>
    <xf numFmtId="0" fontId="3" fillId="0" borderId="9" xfId="0" applyFont="1" applyBorder="1"/>
    <xf numFmtId="0" fontId="17" fillId="2" borderId="1" xfId="0" applyFont="1" applyFill="1" applyBorder="1" applyAlignment="1">
      <alignment horizontal="center" vertical="center" wrapText="1"/>
    </xf>
    <xf numFmtId="165" fontId="17" fillId="2" borderId="1" xfId="0" applyNumberFormat="1" applyFont="1" applyFill="1" applyBorder="1" applyAlignment="1">
      <alignment horizontal="center" vertical="center"/>
    </xf>
    <xf numFmtId="165" fontId="19" fillId="0" borderId="7" xfId="0" applyNumberFormat="1" applyFont="1" applyBorder="1"/>
    <xf numFmtId="0" fontId="1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22"/>
  <sheetViews>
    <sheetView tabSelected="1" zoomScale="90" zoomScaleNormal="90" workbookViewId="0">
      <pane xSplit="2" ySplit="2" topLeftCell="C199" activePane="bottomRight" state="frozen"/>
      <selection pane="topRight" activeCell="C1" sqref="C1"/>
      <selection pane="bottomLeft" activeCell="A4" sqref="A4"/>
      <selection pane="bottomRight" activeCell="X220" sqref="X220"/>
    </sheetView>
  </sheetViews>
  <sheetFormatPr defaultColWidth="12.5703125" defaultRowHeight="15.75" customHeight="1" x14ac:dyDescent="0.2"/>
  <cols>
    <col min="1" max="1" width="5.140625" customWidth="1"/>
    <col min="2" max="2" width="10.28515625" style="36" customWidth="1"/>
    <col min="3" max="3" width="9.7109375" customWidth="1"/>
    <col min="4" max="4" width="5.7109375" customWidth="1"/>
    <col min="5" max="5" width="7.28515625" customWidth="1"/>
    <col min="6" max="6" width="6.42578125" customWidth="1"/>
    <col min="7" max="7" width="8.85546875" customWidth="1"/>
    <col min="8" max="8" width="6" customWidth="1"/>
    <col min="9" max="9" width="9.5703125" customWidth="1"/>
    <col min="10" max="10" width="6.28515625" customWidth="1"/>
    <col min="11" max="11" width="6.5703125" customWidth="1"/>
    <col min="12" max="13" width="8.85546875" bestFit="1" customWidth="1"/>
    <col min="14" max="14" width="7.140625" customWidth="1"/>
    <col min="15" max="16" width="6.85546875" customWidth="1"/>
    <col min="17" max="17" width="7.42578125" customWidth="1"/>
    <col min="18" max="18" width="7.5703125" customWidth="1"/>
    <col min="19" max="19" width="8.42578125" bestFit="1" customWidth="1"/>
    <col min="20" max="20" width="7.85546875" customWidth="1"/>
    <col min="21" max="21" width="9.85546875" customWidth="1"/>
    <col min="22" max="22" width="3.7109375" style="27" customWidth="1"/>
    <col min="24" max="24" width="9.42578125" customWidth="1"/>
  </cols>
  <sheetData>
    <row r="1" spans="1:36" ht="15" x14ac:dyDescent="0.2">
      <c r="A1" s="53" t="s">
        <v>32</v>
      </c>
      <c r="B1" s="54" t="s">
        <v>0</v>
      </c>
      <c r="C1" s="56" t="s">
        <v>31</v>
      </c>
      <c r="D1" s="47" t="s">
        <v>1</v>
      </c>
      <c r="E1" s="41" t="s">
        <v>2</v>
      </c>
      <c r="F1" s="42"/>
      <c r="G1" s="47" t="s">
        <v>3</v>
      </c>
      <c r="H1" s="47" t="s">
        <v>4</v>
      </c>
      <c r="I1" s="49" t="s">
        <v>5</v>
      </c>
      <c r="J1" s="43" t="s">
        <v>6</v>
      </c>
      <c r="K1" s="44"/>
      <c r="L1" s="44"/>
      <c r="M1" s="45"/>
      <c r="N1" s="50" t="s">
        <v>7</v>
      </c>
      <c r="O1" s="46" t="s">
        <v>8</v>
      </c>
      <c r="P1" s="42"/>
      <c r="Q1" s="50" t="s">
        <v>9</v>
      </c>
      <c r="R1" s="50" t="s">
        <v>10</v>
      </c>
      <c r="S1" s="50" t="s">
        <v>11</v>
      </c>
      <c r="T1" s="51" t="s">
        <v>12</v>
      </c>
      <c r="U1" s="37" t="s">
        <v>30</v>
      </c>
      <c r="V1" s="39" t="s">
        <v>13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thickBot="1" x14ac:dyDescent="0.25">
      <c r="A2" s="48"/>
      <c r="B2" s="55"/>
      <c r="C2" s="48"/>
      <c r="D2" s="48"/>
      <c r="E2" s="2" t="s">
        <v>14</v>
      </c>
      <c r="F2" s="2" t="s">
        <v>15</v>
      </c>
      <c r="G2" s="48"/>
      <c r="H2" s="48"/>
      <c r="I2" s="48"/>
      <c r="J2" s="3" t="s">
        <v>16</v>
      </c>
      <c r="K2" s="3" t="s">
        <v>17</v>
      </c>
      <c r="L2" s="4" t="s">
        <v>18</v>
      </c>
      <c r="M2" s="5" t="s">
        <v>19</v>
      </c>
      <c r="N2" s="48"/>
      <c r="O2" s="6" t="s">
        <v>14</v>
      </c>
      <c r="P2" s="6" t="s">
        <v>15</v>
      </c>
      <c r="Q2" s="48"/>
      <c r="R2" s="48"/>
      <c r="S2" s="48"/>
      <c r="T2" s="52"/>
      <c r="U2" s="38"/>
      <c r="V2" s="40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thickBot="1" x14ac:dyDescent="0.25">
      <c r="A3" s="1">
        <v>1</v>
      </c>
      <c r="B3" s="33">
        <v>45289</v>
      </c>
      <c r="C3" s="18" t="s">
        <v>27</v>
      </c>
      <c r="D3" s="19">
        <v>6</v>
      </c>
      <c r="E3" s="19" t="s">
        <v>21</v>
      </c>
      <c r="F3" s="19" t="s">
        <v>21</v>
      </c>
      <c r="G3" s="19" t="s">
        <v>21</v>
      </c>
      <c r="H3" s="18" t="s">
        <v>21</v>
      </c>
      <c r="I3" s="20">
        <v>1.9E-3</v>
      </c>
      <c r="J3" s="19">
        <v>1.81</v>
      </c>
      <c r="K3" s="19">
        <v>2.419</v>
      </c>
      <c r="L3" s="10">
        <f t="shared" ref="L3:L66" si="0">J3/K3</f>
        <v>0.74824307565109549</v>
      </c>
      <c r="M3" s="31" t="s">
        <v>21</v>
      </c>
      <c r="N3" s="11">
        <f t="shared" ref="N3:N50" si="1">IF(C3="L", -2, IF(C3="OL", -1, IF(C3="H", 2, IF(C3="OH", 1, IF(C3="O", 0, "")))))</f>
        <v>1</v>
      </c>
      <c r="O3" s="8">
        <f t="shared" ref="O3:O22" si="2">IF(E3="IS", -2, IF(E3="--", 0, IF(E3="IB", 2, "")))</f>
        <v>0</v>
      </c>
      <c r="P3" s="8">
        <f t="shared" ref="P3:P22" si="3">IF(F3="IS", -2, IF(F3="RS", -1, IF(F3="--", 0, IF(F3="IB", 2, IF(F3="RB", 1, "")))))</f>
        <v>0</v>
      </c>
      <c r="Q3" s="8">
        <f t="shared" ref="Q3:Q22" si="4">IF(G3="IS", -2, IF(G3="RS", -1, IF(G3="--", 0, IF(G3="IB", 2, IF(G3="RB", 1, "")))))</f>
        <v>0</v>
      </c>
      <c r="R3" s="8">
        <f t="shared" ref="R3:R22" si="5">IF(H3="IS", -2, IF(H3="RS", -1, IF(H3="--", 0, IF(H3="IB", 2, IF(H3="RB", 1, "")))))</f>
        <v>0</v>
      </c>
      <c r="S3" s="11">
        <f t="shared" ref="S3:S22" si="6">O3*0.3 + P3*0.2 + Q3*0.25 + N3*0.2 + R3*0.05</f>
        <v>0.2</v>
      </c>
      <c r="T3" s="29" t="s">
        <v>21</v>
      </c>
      <c r="U3" s="30" t="s">
        <v>21</v>
      </c>
      <c r="V3" s="24">
        <v>-6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thickBot="1" x14ac:dyDescent="0.25">
      <c r="A4" s="1">
        <v>2</v>
      </c>
      <c r="B4" s="33">
        <v>45292</v>
      </c>
      <c r="C4" s="18" t="s">
        <v>27</v>
      </c>
      <c r="D4" s="19">
        <v>9</v>
      </c>
      <c r="E4" s="19" t="s">
        <v>21</v>
      </c>
      <c r="F4" s="19" t="s">
        <v>24</v>
      </c>
      <c r="G4" s="19" t="s">
        <v>21</v>
      </c>
      <c r="H4" s="18" t="s">
        <v>21</v>
      </c>
      <c r="I4" s="20">
        <v>-2.3E-3</v>
      </c>
      <c r="J4" s="19">
        <v>1.571</v>
      </c>
      <c r="K4" s="19">
        <v>2.3959999999999999</v>
      </c>
      <c r="L4" s="10">
        <f t="shared" si="0"/>
        <v>0.65567612687813026</v>
      </c>
      <c r="M4" s="14">
        <f t="shared" ref="M4:M67" si="7">K4/K3</f>
        <v>0.99049193881769326</v>
      </c>
      <c r="N4" s="11">
        <f t="shared" si="1"/>
        <v>1</v>
      </c>
      <c r="O4" s="8">
        <f t="shared" si="2"/>
        <v>0</v>
      </c>
      <c r="P4" s="8">
        <f t="shared" si="3"/>
        <v>2</v>
      </c>
      <c r="Q4" s="8">
        <f t="shared" si="4"/>
        <v>0</v>
      </c>
      <c r="R4" s="8">
        <f t="shared" si="5"/>
        <v>0</v>
      </c>
      <c r="S4" s="11">
        <f t="shared" si="6"/>
        <v>0.60000000000000009</v>
      </c>
      <c r="T4" s="12">
        <f t="shared" ref="T4:T22" si="8">D4/D3</f>
        <v>1.5</v>
      </c>
      <c r="U4" s="13">
        <f t="shared" ref="U4:U22" si="9">S4*L4*L4*T4*M4*M4*M4</f>
        <v>0.37598808995657795</v>
      </c>
      <c r="V4" s="24">
        <v>4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thickBot="1" x14ac:dyDescent="0.25">
      <c r="A5" s="1">
        <v>3</v>
      </c>
      <c r="B5" s="33">
        <v>45293</v>
      </c>
      <c r="C5" s="18" t="s">
        <v>20</v>
      </c>
      <c r="D5" s="19">
        <v>11</v>
      </c>
      <c r="E5" s="19" t="s">
        <v>28</v>
      </c>
      <c r="F5" s="19" t="s">
        <v>28</v>
      </c>
      <c r="G5" s="19" t="s">
        <v>21</v>
      </c>
      <c r="H5" s="18" t="s">
        <v>28</v>
      </c>
      <c r="I5" s="20">
        <v>-1.2200000000000001E-2</v>
      </c>
      <c r="J5" s="19">
        <v>2.6709999999999998</v>
      </c>
      <c r="K5" s="19">
        <v>2.3439999999999999</v>
      </c>
      <c r="L5" s="10">
        <f t="shared" si="0"/>
        <v>1.139505119453925</v>
      </c>
      <c r="M5" s="14">
        <f t="shared" si="7"/>
        <v>0.97829716193656091</v>
      </c>
      <c r="N5" s="11">
        <f t="shared" si="1"/>
        <v>-2</v>
      </c>
      <c r="O5" s="8">
        <f t="shared" si="2"/>
        <v>-2</v>
      </c>
      <c r="P5" s="8">
        <f t="shared" si="3"/>
        <v>-2</v>
      </c>
      <c r="Q5" s="8">
        <f t="shared" si="4"/>
        <v>0</v>
      </c>
      <c r="R5" s="8">
        <f t="shared" si="5"/>
        <v>-2</v>
      </c>
      <c r="S5" s="11">
        <f t="shared" si="6"/>
        <v>-1.5</v>
      </c>
      <c r="T5" s="12">
        <f t="shared" si="8"/>
        <v>1.2222222222222223</v>
      </c>
      <c r="U5" s="13">
        <f t="shared" si="9"/>
        <v>-2.2288784077497574</v>
      </c>
      <c r="V5" s="24">
        <v>-2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thickBot="1" x14ac:dyDescent="0.25">
      <c r="A6" s="1">
        <v>4</v>
      </c>
      <c r="B6" s="33">
        <v>45294</v>
      </c>
      <c r="C6" s="18" t="s">
        <v>25</v>
      </c>
      <c r="D6" s="19">
        <v>7</v>
      </c>
      <c r="E6" s="19" t="s">
        <v>21</v>
      </c>
      <c r="F6" s="19" t="s">
        <v>24</v>
      </c>
      <c r="G6" s="19" t="s">
        <v>22</v>
      </c>
      <c r="H6" s="18" t="s">
        <v>21</v>
      </c>
      <c r="I6" s="20">
        <v>-2.9999999999999997E-4</v>
      </c>
      <c r="J6" s="19">
        <v>2.585</v>
      </c>
      <c r="K6" s="19">
        <v>2.2879999999999998</v>
      </c>
      <c r="L6" s="10">
        <f t="shared" si="0"/>
        <v>1.1298076923076923</v>
      </c>
      <c r="M6" s="14">
        <f t="shared" si="7"/>
        <v>0.97610921501706482</v>
      </c>
      <c r="N6" s="11">
        <f t="shared" si="1"/>
        <v>-1</v>
      </c>
      <c r="O6" s="8">
        <f t="shared" si="2"/>
        <v>0</v>
      </c>
      <c r="P6" s="8">
        <f t="shared" si="3"/>
        <v>2</v>
      </c>
      <c r="Q6" s="8">
        <f t="shared" si="4"/>
        <v>1</v>
      </c>
      <c r="R6" s="8">
        <f t="shared" si="5"/>
        <v>0</v>
      </c>
      <c r="S6" s="11">
        <f t="shared" si="6"/>
        <v>0.45</v>
      </c>
      <c r="T6" s="12">
        <f t="shared" si="8"/>
        <v>0.63636363636363635</v>
      </c>
      <c r="U6" s="13">
        <f t="shared" si="9"/>
        <v>0.33995557024294615</v>
      </c>
      <c r="V6" s="24">
        <v>8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thickBot="1" x14ac:dyDescent="0.25">
      <c r="A7" s="1">
        <v>5</v>
      </c>
      <c r="B7" s="33">
        <v>45295</v>
      </c>
      <c r="C7" s="18" t="s">
        <v>23</v>
      </c>
      <c r="D7" s="19">
        <v>12</v>
      </c>
      <c r="E7" s="19" t="s">
        <v>21</v>
      </c>
      <c r="F7" s="19" t="s">
        <v>24</v>
      </c>
      <c r="G7" s="19" t="s">
        <v>24</v>
      </c>
      <c r="H7" s="18" t="s">
        <v>24</v>
      </c>
      <c r="I7" s="20">
        <v>1.3100000000000001E-2</v>
      </c>
      <c r="J7" s="19">
        <v>2.319</v>
      </c>
      <c r="K7" s="19">
        <v>2.27</v>
      </c>
      <c r="L7" s="10">
        <f t="shared" si="0"/>
        <v>1.0215859030837005</v>
      </c>
      <c r="M7" s="14">
        <f t="shared" si="7"/>
        <v>0.99213286713286719</v>
      </c>
      <c r="N7" s="11">
        <f t="shared" si="1"/>
        <v>2</v>
      </c>
      <c r="O7" s="8">
        <f t="shared" si="2"/>
        <v>0</v>
      </c>
      <c r="P7" s="8">
        <f t="shared" si="3"/>
        <v>2</v>
      </c>
      <c r="Q7" s="8">
        <f t="shared" si="4"/>
        <v>2</v>
      </c>
      <c r="R7" s="8">
        <f t="shared" si="5"/>
        <v>2</v>
      </c>
      <c r="S7" s="11">
        <f t="shared" si="6"/>
        <v>1.4000000000000001</v>
      </c>
      <c r="T7" s="12">
        <f t="shared" si="8"/>
        <v>1.7142857142857142</v>
      </c>
      <c r="U7" s="13">
        <f t="shared" si="9"/>
        <v>2.4460793191378478</v>
      </c>
      <c r="V7" s="24">
        <v>10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thickBot="1" x14ac:dyDescent="0.25">
      <c r="A8" s="1">
        <v>6</v>
      </c>
      <c r="B8" s="33">
        <v>45296</v>
      </c>
      <c r="C8" s="18" t="s">
        <v>25</v>
      </c>
      <c r="D8" s="19">
        <v>13</v>
      </c>
      <c r="E8" s="19" t="s">
        <v>21</v>
      </c>
      <c r="F8" s="19" t="s">
        <v>28</v>
      </c>
      <c r="G8" s="19" t="s">
        <v>21</v>
      </c>
      <c r="H8" s="18" t="s">
        <v>26</v>
      </c>
      <c r="I8" s="20">
        <v>-3.8E-3</v>
      </c>
      <c r="J8" s="19">
        <v>2.6389999999999998</v>
      </c>
      <c r="K8" s="19">
        <v>2.3090000000000002</v>
      </c>
      <c r="L8" s="10">
        <f t="shared" si="0"/>
        <v>1.1429190125595494</v>
      </c>
      <c r="M8" s="14">
        <f t="shared" si="7"/>
        <v>1.0171806167400881</v>
      </c>
      <c r="N8" s="11">
        <f t="shared" si="1"/>
        <v>-1</v>
      </c>
      <c r="O8" s="8">
        <f t="shared" si="2"/>
        <v>0</v>
      </c>
      <c r="P8" s="8">
        <f t="shared" si="3"/>
        <v>-2</v>
      </c>
      <c r="Q8" s="8">
        <f t="shared" si="4"/>
        <v>0</v>
      </c>
      <c r="R8" s="8">
        <f t="shared" si="5"/>
        <v>-1</v>
      </c>
      <c r="S8" s="11">
        <f t="shared" si="6"/>
        <v>-0.65000000000000013</v>
      </c>
      <c r="T8" s="12">
        <f t="shared" si="8"/>
        <v>1.0833333333333333</v>
      </c>
      <c r="U8" s="13">
        <f t="shared" si="9"/>
        <v>-0.96805627556210638</v>
      </c>
      <c r="V8" s="24">
        <v>-10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thickBot="1" x14ac:dyDescent="0.25">
      <c r="A9" s="1">
        <v>7</v>
      </c>
      <c r="B9" s="33">
        <v>45299</v>
      </c>
      <c r="C9" s="18" t="s">
        <v>25</v>
      </c>
      <c r="D9" s="19">
        <v>17</v>
      </c>
      <c r="E9" s="19" t="s">
        <v>28</v>
      </c>
      <c r="F9" s="19" t="s">
        <v>28</v>
      </c>
      <c r="G9" s="19" t="s">
        <v>28</v>
      </c>
      <c r="H9" s="18" t="s">
        <v>28</v>
      </c>
      <c r="I9" s="20">
        <v>-1.5900000000000001E-2</v>
      </c>
      <c r="J9" s="19">
        <v>2.8530000000000002</v>
      </c>
      <c r="K9" s="19">
        <v>2.3159999999999998</v>
      </c>
      <c r="L9" s="10">
        <f t="shared" si="0"/>
        <v>1.2318652849740934</v>
      </c>
      <c r="M9" s="14">
        <f t="shared" si="7"/>
        <v>1.0030316154179297</v>
      </c>
      <c r="N9" s="11">
        <f t="shared" si="1"/>
        <v>-1</v>
      </c>
      <c r="O9" s="8">
        <f t="shared" si="2"/>
        <v>-2</v>
      </c>
      <c r="P9" s="8">
        <f t="shared" si="3"/>
        <v>-2</v>
      </c>
      <c r="Q9" s="8">
        <f t="shared" si="4"/>
        <v>-2</v>
      </c>
      <c r="R9" s="8">
        <f t="shared" si="5"/>
        <v>-2</v>
      </c>
      <c r="S9" s="11">
        <f t="shared" si="6"/>
        <v>-1.8</v>
      </c>
      <c r="T9" s="12">
        <f t="shared" si="8"/>
        <v>1.3076923076923077</v>
      </c>
      <c r="U9" s="13">
        <f t="shared" si="9"/>
        <v>-3.6045277536419817</v>
      </c>
      <c r="V9" s="24">
        <v>-12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thickBot="1" x14ac:dyDescent="0.25">
      <c r="A10" s="1">
        <v>8</v>
      </c>
      <c r="B10" s="33">
        <v>45300</v>
      </c>
      <c r="C10" s="18" t="s">
        <v>25</v>
      </c>
      <c r="D10" s="19">
        <v>15</v>
      </c>
      <c r="E10" s="19" t="s">
        <v>28</v>
      </c>
      <c r="F10" s="19" t="s">
        <v>28</v>
      </c>
      <c r="G10" s="19" t="s">
        <v>21</v>
      </c>
      <c r="H10" s="18" t="s">
        <v>21</v>
      </c>
      <c r="I10" s="20">
        <v>-4.4999999999999997E-3</v>
      </c>
      <c r="J10" s="19">
        <v>2.927</v>
      </c>
      <c r="K10" s="19">
        <v>2.375</v>
      </c>
      <c r="L10" s="10">
        <f t="shared" si="0"/>
        <v>1.2324210526315789</v>
      </c>
      <c r="M10" s="14">
        <f t="shared" si="7"/>
        <v>1.0254749568221071</v>
      </c>
      <c r="N10" s="11">
        <f t="shared" si="1"/>
        <v>-1</v>
      </c>
      <c r="O10" s="8">
        <f t="shared" si="2"/>
        <v>-2</v>
      </c>
      <c r="P10" s="8">
        <f t="shared" si="3"/>
        <v>-2</v>
      </c>
      <c r="Q10" s="8">
        <f t="shared" si="4"/>
        <v>0</v>
      </c>
      <c r="R10" s="8">
        <f t="shared" si="5"/>
        <v>0</v>
      </c>
      <c r="S10" s="11">
        <f t="shared" si="6"/>
        <v>-1.2</v>
      </c>
      <c r="T10" s="12">
        <f t="shared" si="8"/>
        <v>0.88235294117647056</v>
      </c>
      <c r="U10" s="13">
        <f t="shared" si="9"/>
        <v>-1.7342710614331107</v>
      </c>
      <c r="V10" s="24">
        <v>-8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thickBot="1" x14ac:dyDescent="0.25">
      <c r="A11" s="1">
        <v>9</v>
      </c>
      <c r="B11" s="33">
        <v>45301</v>
      </c>
      <c r="C11" s="18" t="s">
        <v>20</v>
      </c>
      <c r="D11" s="19">
        <v>7</v>
      </c>
      <c r="E11" s="19" t="s">
        <v>21</v>
      </c>
      <c r="F11" s="19" t="s">
        <v>21</v>
      </c>
      <c r="G11" s="19" t="s">
        <v>22</v>
      </c>
      <c r="H11" s="18" t="s">
        <v>21</v>
      </c>
      <c r="I11" s="20">
        <v>3.5999999999999999E-3</v>
      </c>
      <c r="J11" s="19">
        <v>2.1469999999999998</v>
      </c>
      <c r="K11" s="19">
        <v>2.4</v>
      </c>
      <c r="L11" s="10">
        <f t="shared" si="0"/>
        <v>0.89458333333333329</v>
      </c>
      <c r="M11" s="14">
        <f t="shared" si="7"/>
        <v>1.0105263157894737</v>
      </c>
      <c r="N11" s="11">
        <f t="shared" si="1"/>
        <v>-2</v>
      </c>
      <c r="O11" s="8">
        <f t="shared" si="2"/>
        <v>0</v>
      </c>
      <c r="P11" s="8">
        <f t="shared" si="3"/>
        <v>0</v>
      </c>
      <c r="Q11" s="8">
        <f t="shared" si="4"/>
        <v>1</v>
      </c>
      <c r="R11" s="8">
        <f t="shared" si="5"/>
        <v>0</v>
      </c>
      <c r="S11" s="11">
        <f t="shared" si="6"/>
        <v>-0.15000000000000002</v>
      </c>
      <c r="T11" s="12">
        <f t="shared" si="8"/>
        <v>0.46666666666666667</v>
      </c>
      <c r="U11" s="13">
        <f t="shared" si="9"/>
        <v>-5.7807279157894749E-2</v>
      </c>
      <c r="V11" s="24">
        <v>6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thickBot="1" x14ac:dyDescent="0.25">
      <c r="A12" s="1">
        <v>10</v>
      </c>
      <c r="B12" s="33">
        <v>45302</v>
      </c>
      <c r="C12" s="18" t="s">
        <v>27</v>
      </c>
      <c r="D12" s="19">
        <v>8</v>
      </c>
      <c r="E12" s="19" t="s">
        <v>21</v>
      </c>
      <c r="F12" s="19" t="s">
        <v>28</v>
      </c>
      <c r="G12" s="19" t="s">
        <v>21</v>
      </c>
      <c r="H12" s="18" t="s">
        <v>21</v>
      </c>
      <c r="I12" s="20">
        <v>-8.0000000000000004E-4</v>
      </c>
      <c r="J12" s="19">
        <v>1.643</v>
      </c>
      <c r="K12" s="19">
        <v>2.3959999999999999</v>
      </c>
      <c r="L12" s="10">
        <f t="shared" si="0"/>
        <v>0.68572621035058434</v>
      </c>
      <c r="M12" s="14">
        <f t="shared" si="7"/>
        <v>0.99833333333333329</v>
      </c>
      <c r="N12" s="11">
        <f t="shared" si="1"/>
        <v>1</v>
      </c>
      <c r="O12" s="8">
        <f t="shared" si="2"/>
        <v>0</v>
      </c>
      <c r="P12" s="8">
        <f t="shared" si="3"/>
        <v>-2</v>
      </c>
      <c r="Q12" s="8">
        <f t="shared" si="4"/>
        <v>0</v>
      </c>
      <c r="R12" s="8">
        <f t="shared" si="5"/>
        <v>0</v>
      </c>
      <c r="S12" s="11">
        <f t="shared" si="6"/>
        <v>-0.2</v>
      </c>
      <c r="T12" s="12">
        <f t="shared" si="8"/>
        <v>1.1428571428571428</v>
      </c>
      <c r="U12" s="13">
        <f t="shared" si="9"/>
        <v>-0.10694245707671958</v>
      </c>
      <c r="V12" s="24">
        <v>-4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thickBot="1" x14ac:dyDescent="0.25">
      <c r="A13" s="1">
        <v>11</v>
      </c>
      <c r="B13" s="33">
        <v>45303</v>
      </c>
      <c r="C13" s="18" t="s">
        <v>23</v>
      </c>
      <c r="D13" s="19">
        <v>9</v>
      </c>
      <c r="E13" s="19" t="s">
        <v>21</v>
      </c>
      <c r="F13" s="19" t="s">
        <v>24</v>
      </c>
      <c r="G13" s="19" t="s">
        <v>21</v>
      </c>
      <c r="H13" s="18" t="s">
        <v>24</v>
      </c>
      <c r="I13" s="20">
        <v>6.7000000000000002E-3</v>
      </c>
      <c r="J13" s="19">
        <v>2.2829999999999999</v>
      </c>
      <c r="K13" s="19">
        <v>2.399</v>
      </c>
      <c r="L13" s="10">
        <f t="shared" si="0"/>
        <v>0.95164651938307621</v>
      </c>
      <c r="M13" s="14">
        <f t="shared" si="7"/>
        <v>1.0012520868113524</v>
      </c>
      <c r="N13" s="11">
        <f t="shared" si="1"/>
        <v>2</v>
      </c>
      <c r="O13" s="8">
        <f t="shared" si="2"/>
        <v>0</v>
      </c>
      <c r="P13" s="8">
        <f t="shared" si="3"/>
        <v>2</v>
      </c>
      <c r="Q13" s="8">
        <f t="shared" si="4"/>
        <v>0</v>
      </c>
      <c r="R13" s="8">
        <f t="shared" si="5"/>
        <v>2</v>
      </c>
      <c r="S13" s="11">
        <f t="shared" si="6"/>
        <v>0.9</v>
      </c>
      <c r="T13" s="12">
        <f t="shared" si="8"/>
        <v>1.125</v>
      </c>
      <c r="U13" s="13">
        <f t="shared" si="9"/>
        <v>0.92040010953934104</v>
      </c>
      <c r="V13" s="24">
        <v>7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thickBot="1" x14ac:dyDescent="0.25">
      <c r="A14" s="1">
        <v>12</v>
      </c>
      <c r="B14" s="33">
        <v>45306</v>
      </c>
      <c r="C14" s="18" t="s">
        <v>23</v>
      </c>
      <c r="D14" s="19">
        <v>8</v>
      </c>
      <c r="E14" s="19" t="s">
        <v>21</v>
      </c>
      <c r="F14" s="19" t="s">
        <v>21</v>
      </c>
      <c r="G14" s="19" t="s">
        <v>24</v>
      </c>
      <c r="H14" s="18" t="s">
        <v>24</v>
      </c>
      <c r="I14" s="20">
        <v>1.11E-2</v>
      </c>
      <c r="J14" s="19">
        <v>1.9790000000000001</v>
      </c>
      <c r="K14" s="19">
        <v>2.3849999999999998</v>
      </c>
      <c r="L14" s="10">
        <f t="shared" si="0"/>
        <v>0.82976939203354305</v>
      </c>
      <c r="M14" s="14">
        <f t="shared" si="7"/>
        <v>0.99416423509795737</v>
      </c>
      <c r="N14" s="11">
        <f t="shared" si="1"/>
        <v>2</v>
      </c>
      <c r="O14" s="8">
        <f t="shared" si="2"/>
        <v>0</v>
      </c>
      <c r="P14" s="8">
        <f t="shared" si="3"/>
        <v>0</v>
      </c>
      <c r="Q14" s="8">
        <f t="shared" si="4"/>
        <v>2</v>
      </c>
      <c r="R14" s="8">
        <f t="shared" si="5"/>
        <v>2</v>
      </c>
      <c r="S14" s="11">
        <f t="shared" si="6"/>
        <v>1</v>
      </c>
      <c r="T14" s="12">
        <f t="shared" si="8"/>
        <v>0.88888888888888884</v>
      </c>
      <c r="U14" s="13">
        <f t="shared" si="9"/>
        <v>0.60136300227626427</v>
      </c>
      <c r="V14" s="24">
        <v>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thickBot="1" x14ac:dyDescent="0.25">
      <c r="A15" s="1">
        <v>13</v>
      </c>
      <c r="B15" s="33">
        <v>45307</v>
      </c>
      <c r="C15" s="18" t="s">
        <v>27</v>
      </c>
      <c r="D15" s="19">
        <v>9</v>
      </c>
      <c r="E15" s="19" t="s">
        <v>21</v>
      </c>
      <c r="F15" s="19" t="s">
        <v>21</v>
      </c>
      <c r="G15" s="19" t="s">
        <v>24</v>
      </c>
      <c r="H15" s="18" t="s">
        <v>21</v>
      </c>
      <c r="I15" s="20">
        <v>-1.6000000000000001E-3</v>
      </c>
      <c r="J15" s="19">
        <v>1.897</v>
      </c>
      <c r="K15" s="19">
        <v>2.3959999999999999</v>
      </c>
      <c r="L15" s="10">
        <f t="shared" si="0"/>
        <v>0.79173622704507518</v>
      </c>
      <c r="M15" s="14">
        <f t="shared" si="7"/>
        <v>1.0046121593291406</v>
      </c>
      <c r="N15" s="11">
        <f t="shared" si="1"/>
        <v>1</v>
      </c>
      <c r="O15" s="8">
        <f t="shared" si="2"/>
        <v>0</v>
      </c>
      <c r="P15" s="8">
        <f t="shared" si="3"/>
        <v>0</v>
      </c>
      <c r="Q15" s="8">
        <f t="shared" si="4"/>
        <v>2</v>
      </c>
      <c r="R15" s="8">
        <f t="shared" si="5"/>
        <v>0</v>
      </c>
      <c r="S15" s="11">
        <f t="shared" si="6"/>
        <v>0.7</v>
      </c>
      <c r="T15" s="12">
        <f t="shared" si="8"/>
        <v>1.125</v>
      </c>
      <c r="U15" s="13">
        <f t="shared" si="9"/>
        <v>0.50050323378226669</v>
      </c>
      <c r="V15" s="24">
        <v>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thickBot="1" x14ac:dyDescent="0.25">
      <c r="A16" s="1">
        <v>14</v>
      </c>
      <c r="B16" s="33">
        <v>45308</v>
      </c>
      <c r="C16" s="18" t="s">
        <v>20</v>
      </c>
      <c r="D16" s="19">
        <v>33</v>
      </c>
      <c r="E16" s="19" t="s">
        <v>28</v>
      </c>
      <c r="F16" s="19" t="s">
        <v>28</v>
      </c>
      <c r="G16" s="19" t="s">
        <v>28</v>
      </c>
      <c r="H16" s="18" t="s">
        <v>28</v>
      </c>
      <c r="I16" s="20">
        <v>-4.2599999999999999E-2</v>
      </c>
      <c r="J16" s="19">
        <v>5.6619999999999999</v>
      </c>
      <c r="K16" s="19">
        <v>2.5960000000000001</v>
      </c>
      <c r="L16" s="10">
        <f t="shared" si="0"/>
        <v>2.1810477657935285</v>
      </c>
      <c r="M16" s="14">
        <f t="shared" si="7"/>
        <v>1.0834724540901504</v>
      </c>
      <c r="N16" s="11">
        <f t="shared" si="1"/>
        <v>-2</v>
      </c>
      <c r="O16" s="8">
        <f t="shared" si="2"/>
        <v>-2</v>
      </c>
      <c r="P16" s="8">
        <f t="shared" si="3"/>
        <v>-2</v>
      </c>
      <c r="Q16" s="8">
        <f t="shared" si="4"/>
        <v>-2</v>
      </c>
      <c r="R16" s="8">
        <f t="shared" si="5"/>
        <v>-2</v>
      </c>
      <c r="S16" s="11">
        <f t="shared" si="6"/>
        <v>-2</v>
      </c>
      <c r="T16" s="12">
        <f t="shared" si="8"/>
        <v>3.6666666666666665</v>
      </c>
      <c r="U16" s="13">
        <f t="shared" si="9"/>
        <v>-44.369588725773397</v>
      </c>
      <c r="V16" s="24">
        <v>-6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thickBot="1" x14ac:dyDescent="0.25">
      <c r="A17" s="1">
        <v>15</v>
      </c>
      <c r="B17" s="33">
        <v>45309</v>
      </c>
      <c r="C17" s="18" t="s">
        <v>20</v>
      </c>
      <c r="D17" s="19">
        <v>17</v>
      </c>
      <c r="E17" s="19" t="s">
        <v>21</v>
      </c>
      <c r="F17" s="19" t="s">
        <v>21</v>
      </c>
      <c r="G17" s="19" t="s">
        <v>28</v>
      </c>
      <c r="H17" s="18" t="s">
        <v>21</v>
      </c>
      <c r="I17" s="20">
        <v>-6.0000000000000001E-3</v>
      </c>
      <c r="J17" s="19">
        <v>3.9180000000000001</v>
      </c>
      <c r="K17" s="19">
        <v>2.649</v>
      </c>
      <c r="L17" s="10">
        <f t="shared" si="0"/>
        <v>1.4790486976217441</v>
      </c>
      <c r="M17" s="14">
        <f t="shared" si="7"/>
        <v>1.0204160246533127</v>
      </c>
      <c r="N17" s="11">
        <f t="shared" si="1"/>
        <v>-2</v>
      </c>
      <c r="O17" s="8">
        <f t="shared" si="2"/>
        <v>0</v>
      </c>
      <c r="P17" s="8">
        <f t="shared" si="3"/>
        <v>0</v>
      </c>
      <c r="Q17" s="8">
        <f t="shared" si="4"/>
        <v>-2</v>
      </c>
      <c r="R17" s="8">
        <f t="shared" si="5"/>
        <v>0</v>
      </c>
      <c r="S17" s="11">
        <f t="shared" si="6"/>
        <v>-0.9</v>
      </c>
      <c r="T17" s="12">
        <f t="shared" si="8"/>
        <v>0.51515151515151514</v>
      </c>
      <c r="U17" s="13">
        <f t="shared" si="9"/>
        <v>-1.0776413522138588</v>
      </c>
      <c r="V17" s="24">
        <v>2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thickBot="1" x14ac:dyDescent="0.25">
      <c r="A18" s="1">
        <v>16</v>
      </c>
      <c r="B18" s="33">
        <v>45310</v>
      </c>
      <c r="C18" s="18" t="s">
        <v>25</v>
      </c>
      <c r="D18" s="19">
        <v>20</v>
      </c>
      <c r="E18" s="19" t="s">
        <v>21</v>
      </c>
      <c r="F18" s="19" t="s">
        <v>28</v>
      </c>
      <c r="G18" s="19" t="s">
        <v>26</v>
      </c>
      <c r="H18" s="18" t="s">
        <v>21</v>
      </c>
      <c r="I18" s="20">
        <v>-1.2999999999999999E-3</v>
      </c>
      <c r="J18" s="19">
        <v>3.0190000000000001</v>
      </c>
      <c r="K18" s="19">
        <v>2.6059999999999999</v>
      </c>
      <c r="L18" s="10">
        <f t="shared" si="0"/>
        <v>1.1584804297774367</v>
      </c>
      <c r="M18" s="14">
        <f t="shared" si="7"/>
        <v>0.98376745941864852</v>
      </c>
      <c r="N18" s="11">
        <f t="shared" si="1"/>
        <v>-1</v>
      </c>
      <c r="O18" s="8">
        <f t="shared" si="2"/>
        <v>0</v>
      </c>
      <c r="P18" s="8">
        <f t="shared" si="3"/>
        <v>-2</v>
      </c>
      <c r="Q18" s="8">
        <f t="shared" si="4"/>
        <v>-1</v>
      </c>
      <c r="R18" s="8">
        <f t="shared" si="5"/>
        <v>0</v>
      </c>
      <c r="S18" s="11">
        <f t="shared" si="6"/>
        <v>-0.85000000000000009</v>
      </c>
      <c r="T18" s="12">
        <f t="shared" si="8"/>
        <v>1.1764705882352942</v>
      </c>
      <c r="U18" s="13">
        <f t="shared" si="9"/>
        <v>-1.2777761054862777</v>
      </c>
      <c r="V18" s="24">
        <v>-8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thickBot="1" x14ac:dyDescent="0.25">
      <c r="A19" s="1">
        <v>17</v>
      </c>
      <c r="B19" s="33">
        <v>45311</v>
      </c>
      <c r="C19" s="18" t="s">
        <v>29</v>
      </c>
      <c r="D19" s="19">
        <v>11</v>
      </c>
      <c r="E19" s="19" t="s">
        <v>21</v>
      </c>
      <c r="F19" s="19" t="s">
        <v>21</v>
      </c>
      <c r="G19" s="19" t="s">
        <v>21</v>
      </c>
      <c r="H19" s="18" t="s">
        <v>24</v>
      </c>
      <c r="I19" s="20">
        <v>8.8000000000000005E-3</v>
      </c>
      <c r="J19" s="19">
        <v>1.6950000000000001</v>
      </c>
      <c r="K19" s="19">
        <v>2.4889999999999999</v>
      </c>
      <c r="L19" s="10">
        <f t="shared" si="0"/>
        <v>0.68099638408999608</v>
      </c>
      <c r="M19" s="14">
        <f t="shared" si="7"/>
        <v>0.95510360706062936</v>
      </c>
      <c r="N19" s="11">
        <f t="shared" si="1"/>
        <v>0</v>
      </c>
      <c r="O19" s="8">
        <f t="shared" si="2"/>
        <v>0</v>
      </c>
      <c r="P19" s="8">
        <f t="shared" si="3"/>
        <v>0</v>
      </c>
      <c r="Q19" s="8">
        <f t="shared" si="4"/>
        <v>0</v>
      </c>
      <c r="R19" s="8">
        <f t="shared" si="5"/>
        <v>2</v>
      </c>
      <c r="S19" s="11">
        <f t="shared" si="6"/>
        <v>0.1</v>
      </c>
      <c r="T19" s="12">
        <f t="shared" si="8"/>
        <v>0.55000000000000004</v>
      </c>
      <c r="U19" s="13">
        <f t="shared" si="9"/>
        <v>2.2223054792551038E-2</v>
      </c>
      <c r="V19" s="24">
        <v>6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36" thickBot="1" x14ac:dyDescent="0.25">
      <c r="A20" s="1">
        <v>18</v>
      </c>
      <c r="B20" s="33">
        <v>45314</v>
      </c>
      <c r="C20" s="18" t="s">
        <v>20</v>
      </c>
      <c r="D20" s="19">
        <v>38</v>
      </c>
      <c r="E20" s="19" t="s">
        <v>28</v>
      </c>
      <c r="F20" s="19" t="s">
        <v>28</v>
      </c>
      <c r="G20" s="19" t="s">
        <v>26</v>
      </c>
      <c r="H20" s="18" t="s">
        <v>26</v>
      </c>
      <c r="I20" s="20">
        <v>-2.6700000000000002E-2</v>
      </c>
      <c r="J20" s="19">
        <v>3.669</v>
      </c>
      <c r="K20" s="19">
        <v>2.6259999999999999</v>
      </c>
      <c r="L20" s="10">
        <f t="shared" si="0"/>
        <v>1.3971820258948973</v>
      </c>
      <c r="M20" s="14">
        <f t="shared" si="7"/>
        <v>1.0550421856167136</v>
      </c>
      <c r="N20" s="11">
        <f t="shared" si="1"/>
        <v>-2</v>
      </c>
      <c r="O20" s="8">
        <f t="shared" si="2"/>
        <v>-2</v>
      </c>
      <c r="P20" s="8">
        <f t="shared" si="3"/>
        <v>-2</v>
      </c>
      <c r="Q20" s="8">
        <f t="shared" si="4"/>
        <v>-1</v>
      </c>
      <c r="R20" s="8">
        <f t="shared" si="5"/>
        <v>-1</v>
      </c>
      <c r="S20" s="11">
        <f t="shared" si="6"/>
        <v>-1.7</v>
      </c>
      <c r="T20" s="12">
        <f t="shared" si="8"/>
        <v>3.4545454545454546</v>
      </c>
      <c r="U20" s="13">
        <f t="shared" si="9"/>
        <v>-13.463416719466897</v>
      </c>
      <c r="V20" s="24">
        <v>-14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thickBot="1" x14ac:dyDescent="0.25">
      <c r="A21" s="1">
        <v>19</v>
      </c>
      <c r="B21" s="33">
        <v>45315</v>
      </c>
      <c r="C21" s="18" t="s">
        <v>25</v>
      </c>
      <c r="D21" s="19">
        <v>25</v>
      </c>
      <c r="E21" s="19" t="s">
        <v>21</v>
      </c>
      <c r="F21" s="19" t="s">
        <v>21</v>
      </c>
      <c r="G21" s="19" t="s">
        <v>28</v>
      </c>
      <c r="H21" s="18" t="s">
        <v>21</v>
      </c>
      <c r="I21" s="20">
        <v>5.8999999999999999E-3</v>
      </c>
      <c r="J21" s="19">
        <v>4.5679999999999996</v>
      </c>
      <c r="K21" s="19">
        <v>2.7469999999999999</v>
      </c>
      <c r="L21" s="10">
        <f t="shared" si="0"/>
        <v>1.6629049872588277</v>
      </c>
      <c r="M21" s="14">
        <f t="shared" si="7"/>
        <v>1.0460776846915461</v>
      </c>
      <c r="N21" s="11">
        <f t="shared" si="1"/>
        <v>-1</v>
      </c>
      <c r="O21" s="8">
        <f t="shared" si="2"/>
        <v>0</v>
      </c>
      <c r="P21" s="8">
        <f t="shared" si="3"/>
        <v>0</v>
      </c>
      <c r="Q21" s="8">
        <f t="shared" si="4"/>
        <v>-2</v>
      </c>
      <c r="R21" s="8">
        <f t="shared" si="5"/>
        <v>0</v>
      </c>
      <c r="S21" s="11">
        <f t="shared" si="6"/>
        <v>-0.7</v>
      </c>
      <c r="T21" s="12">
        <f t="shared" si="8"/>
        <v>0.65789473684210531</v>
      </c>
      <c r="U21" s="13">
        <f t="shared" si="9"/>
        <v>-1.457743577549135</v>
      </c>
      <c r="V21" s="24">
        <v>2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1:36" thickBot="1" x14ac:dyDescent="0.25">
      <c r="A22" s="1">
        <v>20</v>
      </c>
      <c r="B22" s="33">
        <v>45316</v>
      </c>
      <c r="C22" s="18" t="s">
        <v>25</v>
      </c>
      <c r="D22" s="19">
        <v>14</v>
      </c>
      <c r="E22" s="19" t="s">
        <v>21</v>
      </c>
      <c r="F22" s="19" t="s">
        <v>28</v>
      </c>
      <c r="G22" s="19" t="s">
        <v>28</v>
      </c>
      <c r="H22" s="18" t="s">
        <v>28</v>
      </c>
      <c r="I22" s="20">
        <v>-6.4000000000000003E-3</v>
      </c>
      <c r="J22" s="19">
        <v>2.8109999999999999</v>
      </c>
      <c r="K22" s="19">
        <v>2.8029999999999999</v>
      </c>
      <c r="L22" s="10">
        <f t="shared" si="0"/>
        <v>1.0028540849090259</v>
      </c>
      <c r="M22" s="14">
        <f t="shared" si="7"/>
        <v>1.0203858755005462</v>
      </c>
      <c r="N22" s="11">
        <f t="shared" si="1"/>
        <v>-1</v>
      </c>
      <c r="O22" s="8">
        <f t="shared" si="2"/>
        <v>0</v>
      </c>
      <c r="P22" s="8">
        <f t="shared" si="3"/>
        <v>-2</v>
      </c>
      <c r="Q22" s="8">
        <f t="shared" si="4"/>
        <v>-2</v>
      </c>
      <c r="R22" s="8">
        <f t="shared" si="5"/>
        <v>-2</v>
      </c>
      <c r="S22" s="11">
        <f t="shared" si="6"/>
        <v>-1.2000000000000002</v>
      </c>
      <c r="T22" s="12">
        <f t="shared" si="8"/>
        <v>0.56000000000000005</v>
      </c>
      <c r="U22" s="13">
        <f t="shared" si="9"/>
        <v>-0.71802254998197701</v>
      </c>
      <c r="V22" s="24">
        <v>-2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thickBot="1" x14ac:dyDescent="0.25">
      <c r="A23" s="1">
        <v>21</v>
      </c>
      <c r="B23" s="33">
        <v>45320</v>
      </c>
      <c r="C23" s="18" t="s">
        <v>23</v>
      </c>
      <c r="D23" s="19">
        <v>10</v>
      </c>
      <c r="E23" s="19" t="s">
        <v>21</v>
      </c>
      <c r="F23" s="19" t="s">
        <v>21</v>
      </c>
      <c r="G23" s="19" t="s">
        <v>21</v>
      </c>
      <c r="H23" s="18" t="s">
        <v>24</v>
      </c>
      <c r="I23" s="20">
        <v>2.2200000000000001E-2</v>
      </c>
      <c r="J23" s="19">
        <v>4.0140000000000002</v>
      </c>
      <c r="K23" s="19">
        <v>2.907</v>
      </c>
      <c r="L23" s="10">
        <f t="shared" si="0"/>
        <v>1.3808049535603717</v>
      </c>
      <c r="M23" s="14">
        <f t="shared" si="7"/>
        <v>1.0371031038173386</v>
      </c>
      <c r="N23" s="11">
        <f t="shared" si="1"/>
        <v>2</v>
      </c>
      <c r="O23" s="8">
        <f t="shared" ref="O23:O70" si="10">IF(E23="IS", -2, IF(E23="--", 0, IF(E23="IB", 2, "")))</f>
        <v>0</v>
      </c>
      <c r="P23" s="8">
        <f t="shared" ref="P23:P70" si="11">IF(F23="IS", -2, IF(F23="RS", -1, IF(F23="--", 0, IF(F23="IB", 2, IF(F23="RB", 1, "")))))</f>
        <v>0</v>
      </c>
      <c r="Q23" s="8">
        <f t="shared" ref="Q23:Q70" si="12">IF(G23="IS", -2, IF(G23="RS", -1, IF(G23="--", 0, IF(G23="IB", 2, IF(G23="RB", 1, "")))))</f>
        <v>0</v>
      </c>
      <c r="R23" s="8">
        <f t="shared" ref="R23:R70" si="13">IF(H23="IS", -2, IF(H23="RS", -1, IF(H23="--", 0, IF(H23="IB", 2, IF(H23="RB", 1, "")))))</f>
        <v>2</v>
      </c>
      <c r="S23" s="11">
        <f t="shared" ref="S23:S70" si="14">O23*0.3 + P23*0.2 + Q23*0.25 + N23*0.2 + R23*0.05</f>
        <v>0.5</v>
      </c>
      <c r="T23" s="12">
        <f t="shared" ref="T23:T70" si="15">D23/D22</f>
        <v>0.7142857142857143</v>
      </c>
      <c r="U23" s="13">
        <f t="shared" ref="U23:U70" si="16">S23*L23*L23*T23*M23*M23*M23</f>
        <v>0.75957811520615481</v>
      </c>
      <c r="V23" s="24">
        <v>-2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spans="1:36" thickBot="1" x14ac:dyDescent="0.25">
      <c r="A24" s="1">
        <v>22</v>
      </c>
      <c r="B24" s="33">
        <v>45321</v>
      </c>
      <c r="C24" s="18" t="s">
        <v>25</v>
      </c>
      <c r="D24" s="19">
        <v>8</v>
      </c>
      <c r="E24" s="19" t="s">
        <v>21</v>
      </c>
      <c r="F24" s="19" t="s">
        <v>21</v>
      </c>
      <c r="G24" s="19" t="s">
        <v>21</v>
      </c>
      <c r="H24" s="18" t="s">
        <v>21</v>
      </c>
      <c r="I24" s="20">
        <v>-6.9999999999999999E-4</v>
      </c>
      <c r="J24" s="19">
        <v>2.5059999999999998</v>
      </c>
      <c r="K24" s="19">
        <v>2.9489999999999998</v>
      </c>
      <c r="L24" s="10">
        <f t="shared" si="0"/>
        <v>0.84977958630044081</v>
      </c>
      <c r="M24" s="14">
        <f t="shared" si="7"/>
        <v>1.0144478844169247</v>
      </c>
      <c r="N24" s="11">
        <f t="shared" si="1"/>
        <v>-1</v>
      </c>
      <c r="O24" s="8">
        <f t="shared" si="10"/>
        <v>0</v>
      </c>
      <c r="P24" s="8">
        <f t="shared" si="11"/>
        <v>0</v>
      </c>
      <c r="Q24" s="8">
        <f t="shared" si="12"/>
        <v>0</v>
      </c>
      <c r="R24" s="8">
        <f t="shared" si="13"/>
        <v>0</v>
      </c>
      <c r="S24" s="11">
        <f t="shared" si="14"/>
        <v>-0.2</v>
      </c>
      <c r="T24" s="12">
        <f t="shared" si="15"/>
        <v>0.8</v>
      </c>
      <c r="U24" s="13">
        <f t="shared" si="16"/>
        <v>-0.12062068575821104</v>
      </c>
      <c r="V24" s="24">
        <v>-6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1:36" thickBot="1" x14ac:dyDescent="0.25">
      <c r="A25" s="1">
        <v>23</v>
      </c>
      <c r="B25" s="33">
        <v>45322</v>
      </c>
      <c r="C25" s="18" t="s">
        <v>23</v>
      </c>
      <c r="D25" s="19">
        <v>15</v>
      </c>
      <c r="E25" s="19" t="s">
        <v>21</v>
      </c>
      <c r="F25" s="19" t="s">
        <v>21</v>
      </c>
      <c r="G25" s="19" t="s">
        <v>24</v>
      </c>
      <c r="H25" s="18" t="s">
        <v>24</v>
      </c>
      <c r="I25" s="20">
        <v>1.4500000000000001E-2</v>
      </c>
      <c r="J25" s="19">
        <v>3.7090000000000001</v>
      </c>
      <c r="K25" s="19">
        <v>3.0009999999999999</v>
      </c>
      <c r="L25" s="10">
        <f t="shared" si="0"/>
        <v>1.2359213595468177</v>
      </c>
      <c r="M25" s="14">
        <f t="shared" si="7"/>
        <v>1.0176330959647337</v>
      </c>
      <c r="N25" s="11">
        <f t="shared" si="1"/>
        <v>2</v>
      </c>
      <c r="O25" s="8">
        <f t="shared" si="10"/>
        <v>0</v>
      </c>
      <c r="P25" s="8">
        <f t="shared" si="11"/>
        <v>0</v>
      </c>
      <c r="Q25" s="8">
        <f t="shared" si="12"/>
        <v>2</v>
      </c>
      <c r="R25" s="8">
        <f t="shared" si="13"/>
        <v>2</v>
      </c>
      <c r="S25" s="11">
        <f t="shared" si="14"/>
        <v>1</v>
      </c>
      <c r="T25" s="12">
        <f t="shared" si="15"/>
        <v>1.875</v>
      </c>
      <c r="U25" s="13">
        <f t="shared" si="16"/>
        <v>3.0182597796460708</v>
      </c>
      <c r="V25" s="24">
        <v>10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6" thickBot="1" x14ac:dyDescent="0.25">
      <c r="A26" s="1">
        <v>24</v>
      </c>
      <c r="B26" s="33">
        <v>45323</v>
      </c>
      <c r="C26" s="18" t="s">
        <v>27</v>
      </c>
      <c r="D26" s="19">
        <v>13</v>
      </c>
      <c r="E26" s="19" t="s">
        <v>21</v>
      </c>
      <c r="F26" s="19" t="s">
        <v>21</v>
      </c>
      <c r="G26" s="19" t="s">
        <v>21</v>
      </c>
      <c r="H26" s="18" t="s">
        <v>21</v>
      </c>
      <c r="I26" s="20">
        <v>2.7000000000000001E-3</v>
      </c>
      <c r="J26" s="19">
        <v>3.9790000000000001</v>
      </c>
      <c r="K26" s="19">
        <v>3.08</v>
      </c>
      <c r="L26" s="10">
        <f t="shared" si="0"/>
        <v>1.2918831168831169</v>
      </c>
      <c r="M26" s="14">
        <f t="shared" si="7"/>
        <v>1.0263245584805065</v>
      </c>
      <c r="N26" s="11">
        <f t="shared" si="1"/>
        <v>1</v>
      </c>
      <c r="O26" s="8">
        <f t="shared" si="10"/>
        <v>0</v>
      </c>
      <c r="P26" s="8">
        <f t="shared" si="11"/>
        <v>0</v>
      </c>
      <c r="Q26" s="8">
        <f t="shared" si="12"/>
        <v>0</v>
      </c>
      <c r="R26" s="8">
        <f t="shared" si="13"/>
        <v>0</v>
      </c>
      <c r="S26" s="11">
        <f t="shared" si="14"/>
        <v>0.2</v>
      </c>
      <c r="T26" s="12">
        <f t="shared" si="15"/>
        <v>0.8666666666666667</v>
      </c>
      <c r="U26" s="13">
        <f t="shared" si="16"/>
        <v>0.31273947115472261</v>
      </c>
      <c r="V26" s="24">
        <v>8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6" thickBot="1" x14ac:dyDescent="0.25">
      <c r="A27" s="1">
        <v>25</v>
      </c>
      <c r="B27" s="33">
        <v>45324</v>
      </c>
      <c r="C27" s="18" t="s">
        <v>23</v>
      </c>
      <c r="D27" s="19">
        <v>18</v>
      </c>
      <c r="E27" s="19" t="s">
        <v>21</v>
      </c>
      <c r="F27" s="19" t="s">
        <v>26</v>
      </c>
      <c r="G27" s="19" t="s">
        <v>26</v>
      </c>
      <c r="H27" s="18" t="s">
        <v>21</v>
      </c>
      <c r="I27" s="20">
        <v>-4.3E-3</v>
      </c>
      <c r="J27" s="19">
        <v>4.4020000000000001</v>
      </c>
      <c r="K27" s="19">
        <v>3.1920000000000002</v>
      </c>
      <c r="L27" s="10">
        <f t="shared" si="0"/>
        <v>1.3790726817042607</v>
      </c>
      <c r="M27" s="14">
        <f t="shared" si="7"/>
        <v>1.0363636363636364</v>
      </c>
      <c r="N27" s="11">
        <f t="shared" si="1"/>
        <v>2</v>
      </c>
      <c r="O27" s="8">
        <f t="shared" si="10"/>
        <v>0</v>
      </c>
      <c r="P27" s="8">
        <f t="shared" si="11"/>
        <v>-1</v>
      </c>
      <c r="Q27" s="8">
        <f t="shared" si="12"/>
        <v>-1</v>
      </c>
      <c r="R27" s="8">
        <f t="shared" si="13"/>
        <v>0</v>
      </c>
      <c r="S27" s="11">
        <f t="shared" si="14"/>
        <v>-4.9999999999999989E-2</v>
      </c>
      <c r="T27" s="12">
        <f t="shared" si="15"/>
        <v>1.3846153846153846</v>
      </c>
      <c r="U27" s="13">
        <f t="shared" si="16"/>
        <v>-0.14655814746056775</v>
      </c>
      <c r="V27" s="24">
        <v>-8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6" thickBot="1" x14ac:dyDescent="0.25">
      <c r="A28" s="1">
        <v>26</v>
      </c>
      <c r="B28" s="33">
        <v>45327</v>
      </c>
      <c r="C28" s="18" t="s">
        <v>20</v>
      </c>
      <c r="D28" s="19">
        <v>11</v>
      </c>
      <c r="E28" s="19" t="s">
        <v>21</v>
      </c>
      <c r="F28" s="19" t="s">
        <v>21</v>
      </c>
      <c r="G28" s="19" t="s">
        <v>22</v>
      </c>
      <c r="H28" s="18" t="s">
        <v>28</v>
      </c>
      <c r="I28" s="20">
        <v>-5.3E-3</v>
      </c>
      <c r="J28" s="19">
        <v>2.855</v>
      </c>
      <c r="K28" s="19">
        <v>3.2029999999999998</v>
      </c>
      <c r="L28" s="10">
        <f t="shared" si="0"/>
        <v>0.89135185763346869</v>
      </c>
      <c r="M28" s="14">
        <f t="shared" si="7"/>
        <v>1.0034461152882204</v>
      </c>
      <c r="N28" s="11">
        <f t="shared" si="1"/>
        <v>-2</v>
      </c>
      <c r="O28" s="8">
        <f t="shared" si="10"/>
        <v>0</v>
      </c>
      <c r="P28" s="8">
        <f t="shared" si="11"/>
        <v>0</v>
      </c>
      <c r="Q28" s="8">
        <f t="shared" si="12"/>
        <v>1</v>
      </c>
      <c r="R28" s="8">
        <f t="shared" si="13"/>
        <v>-2</v>
      </c>
      <c r="S28" s="11">
        <f t="shared" si="14"/>
        <v>-0.25</v>
      </c>
      <c r="T28" s="12">
        <f t="shared" si="15"/>
        <v>0.61111111111111116</v>
      </c>
      <c r="U28" s="13">
        <f t="shared" si="16"/>
        <v>-0.12264241802856042</v>
      </c>
      <c r="V28" s="24">
        <v>-2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1:36" thickBot="1" x14ac:dyDescent="0.25">
      <c r="A29" s="1">
        <v>27</v>
      </c>
      <c r="B29" s="33">
        <v>45328</v>
      </c>
      <c r="C29" s="18" t="s">
        <v>25</v>
      </c>
      <c r="D29" s="19">
        <v>8</v>
      </c>
      <c r="E29" s="19" t="s">
        <v>21</v>
      </c>
      <c r="F29" s="19" t="s">
        <v>21</v>
      </c>
      <c r="G29" s="19" t="s">
        <v>21</v>
      </c>
      <c r="H29" s="18" t="s">
        <v>21</v>
      </c>
      <c r="I29" s="20">
        <v>-8.9999999999999998E-4</v>
      </c>
      <c r="J29" s="19">
        <v>2.4710000000000001</v>
      </c>
      <c r="K29" s="19">
        <v>3.1859999999999999</v>
      </c>
      <c r="L29" s="10">
        <f t="shared" si="0"/>
        <v>0.77558066541117388</v>
      </c>
      <c r="M29" s="14">
        <f t="shared" si="7"/>
        <v>0.99469247580393383</v>
      </c>
      <c r="N29" s="11">
        <f t="shared" si="1"/>
        <v>-1</v>
      </c>
      <c r="O29" s="8">
        <f t="shared" si="10"/>
        <v>0</v>
      </c>
      <c r="P29" s="8">
        <f t="shared" si="11"/>
        <v>0</v>
      </c>
      <c r="Q29" s="8">
        <f t="shared" si="12"/>
        <v>0</v>
      </c>
      <c r="R29" s="8">
        <f t="shared" si="13"/>
        <v>0</v>
      </c>
      <c r="S29" s="11">
        <f t="shared" si="14"/>
        <v>-0.2</v>
      </c>
      <c r="T29" s="12">
        <f t="shared" si="15"/>
        <v>0.72727272727272729</v>
      </c>
      <c r="U29" s="13">
        <f t="shared" si="16"/>
        <v>-8.6108840996577896E-2</v>
      </c>
      <c r="V29" s="24">
        <v>-4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36" thickBot="1" x14ac:dyDescent="0.25">
      <c r="A30" s="1">
        <v>28</v>
      </c>
      <c r="B30" s="33">
        <v>45329</v>
      </c>
      <c r="C30" s="18" t="s">
        <v>27</v>
      </c>
      <c r="D30" s="19">
        <v>8</v>
      </c>
      <c r="E30" s="19" t="s">
        <v>21</v>
      </c>
      <c r="F30" s="19" t="s">
        <v>21</v>
      </c>
      <c r="G30" s="19" t="s">
        <v>26</v>
      </c>
      <c r="H30" s="18" t="s">
        <v>21</v>
      </c>
      <c r="I30" s="20">
        <v>3.3E-3</v>
      </c>
      <c r="J30" s="19">
        <v>2.5219999999999998</v>
      </c>
      <c r="K30" s="19">
        <v>3.1680000000000001</v>
      </c>
      <c r="L30" s="10">
        <f t="shared" si="0"/>
        <v>0.79608585858585845</v>
      </c>
      <c r="M30" s="14">
        <f t="shared" si="7"/>
        <v>0.99435028248587576</v>
      </c>
      <c r="N30" s="11">
        <f t="shared" si="1"/>
        <v>1</v>
      </c>
      <c r="O30" s="8">
        <f t="shared" si="10"/>
        <v>0</v>
      </c>
      <c r="P30" s="8">
        <f t="shared" si="11"/>
        <v>0</v>
      </c>
      <c r="Q30" s="8">
        <f t="shared" si="12"/>
        <v>-1</v>
      </c>
      <c r="R30" s="8">
        <f t="shared" si="13"/>
        <v>0</v>
      </c>
      <c r="S30" s="11">
        <f t="shared" si="14"/>
        <v>-4.9999999999999989E-2</v>
      </c>
      <c r="T30" s="12">
        <f t="shared" si="15"/>
        <v>1</v>
      </c>
      <c r="U30" s="13">
        <f t="shared" si="16"/>
        <v>-3.1153584785301728E-2</v>
      </c>
      <c r="V30" s="24">
        <v>6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thickBot="1" x14ac:dyDescent="0.25">
      <c r="A31" s="1">
        <v>29</v>
      </c>
      <c r="B31" s="33">
        <v>45330</v>
      </c>
      <c r="C31" s="18" t="s">
        <v>25</v>
      </c>
      <c r="D31" s="19">
        <v>35</v>
      </c>
      <c r="E31" s="19" t="s">
        <v>28</v>
      </c>
      <c r="F31" s="19" t="s">
        <v>28</v>
      </c>
      <c r="G31" s="19" t="s">
        <v>26</v>
      </c>
      <c r="H31" s="18" t="s">
        <v>26</v>
      </c>
      <c r="I31" s="20">
        <v>-0.02</v>
      </c>
      <c r="J31" s="19">
        <v>3.911</v>
      </c>
      <c r="K31" s="19">
        <v>3.2589999999999999</v>
      </c>
      <c r="L31" s="10">
        <f t="shared" si="0"/>
        <v>1.2000613685179504</v>
      </c>
      <c r="M31" s="14">
        <f t="shared" si="7"/>
        <v>1.0287247474747474</v>
      </c>
      <c r="N31" s="11">
        <f t="shared" si="1"/>
        <v>-1</v>
      </c>
      <c r="O31" s="8">
        <f t="shared" si="10"/>
        <v>-2</v>
      </c>
      <c r="P31" s="8">
        <f t="shared" si="11"/>
        <v>-2</v>
      </c>
      <c r="Q31" s="8">
        <f t="shared" si="12"/>
        <v>-1</v>
      </c>
      <c r="R31" s="8">
        <f t="shared" si="13"/>
        <v>-1</v>
      </c>
      <c r="S31" s="11">
        <f t="shared" si="14"/>
        <v>-1.5</v>
      </c>
      <c r="T31" s="12">
        <f t="shared" si="15"/>
        <v>4.375</v>
      </c>
      <c r="U31" s="13">
        <f t="shared" si="16"/>
        <v>-10.289014755153818</v>
      </c>
      <c r="V31" s="24">
        <v>-8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spans="1:36" thickBot="1" x14ac:dyDescent="0.25">
      <c r="A32" s="1">
        <v>30</v>
      </c>
      <c r="B32" s="33">
        <v>45331</v>
      </c>
      <c r="C32" s="18" t="s">
        <v>25</v>
      </c>
      <c r="D32" s="19">
        <v>17</v>
      </c>
      <c r="E32" s="19" t="s">
        <v>24</v>
      </c>
      <c r="F32" s="19" t="s">
        <v>24</v>
      </c>
      <c r="G32" s="19" t="s">
        <v>22</v>
      </c>
      <c r="H32" s="18" t="s">
        <v>22</v>
      </c>
      <c r="I32" s="20">
        <v>1.5800000000000002E-2</v>
      </c>
      <c r="J32" s="19">
        <v>3.1909999999999998</v>
      </c>
      <c r="K32" s="19">
        <v>3.3420000000000001</v>
      </c>
      <c r="L32" s="10">
        <f t="shared" si="0"/>
        <v>0.95481747456612798</v>
      </c>
      <c r="M32" s="14">
        <f t="shared" si="7"/>
        <v>1.0254679349493709</v>
      </c>
      <c r="N32" s="11">
        <f t="shared" si="1"/>
        <v>-1</v>
      </c>
      <c r="O32" s="8">
        <f t="shared" si="10"/>
        <v>2</v>
      </c>
      <c r="P32" s="8">
        <f t="shared" si="11"/>
        <v>2</v>
      </c>
      <c r="Q32" s="8">
        <f t="shared" si="12"/>
        <v>1</v>
      </c>
      <c r="R32" s="8">
        <f t="shared" si="13"/>
        <v>1</v>
      </c>
      <c r="S32" s="11">
        <f t="shared" si="14"/>
        <v>1.1000000000000001</v>
      </c>
      <c r="T32" s="12">
        <f t="shared" si="15"/>
        <v>0.48571428571428571</v>
      </c>
      <c r="U32" s="13">
        <f t="shared" si="16"/>
        <v>0.52526750520773202</v>
      </c>
      <c r="V32" s="24">
        <v>7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1:36" thickBot="1" x14ac:dyDescent="0.25">
      <c r="A33" s="1">
        <v>31</v>
      </c>
      <c r="B33" s="33">
        <v>45334</v>
      </c>
      <c r="C33" s="18" t="s">
        <v>25</v>
      </c>
      <c r="D33" s="19">
        <v>26</v>
      </c>
      <c r="E33" s="19" t="s">
        <v>28</v>
      </c>
      <c r="F33" s="19" t="s">
        <v>28</v>
      </c>
      <c r="G33" s="19" t="s">
        <v>26</v>
      </c>
      <c r="H33" s="18" t="s">
        <v>26</v>
      </c>
      <c r="I33" s="20">
        <v>-1.9300000000000001E-2</v>
      </c>
      <c r="J33" s="19">
        <v>3.3410000000000002</v>
      </c>
      <c r="K33" s="19">
        <v>3.3969999999999998</v>
      </c>
      <c r="L33" s="10">
        <f t="shared" si="0"/>
        <v>0.98351486605828686</v>
      </c>
      <c r="M33" s="14">
        <f t="shared" si="7"/>
        <v>1.0164572112507479</v>
      </c>
      <c r="N33" s="11">
        <f t="shared" si="1"/>
        <v>-1</v>
      </c>
      <c r="O33" s="8">
        <f t="shared" si="10"/>
        <v>-2</v>
      </c>
      <c r="P33" s="8">
        <f t="shared" si="11"/>
        <v>-2</v>
      </c>
      <c r="Q33" s="8">
        <f t="shared" si="12"/>
        <v>-1</v>
      </c>
      <c r="R33" s="8">
        <f t="shared" si="13"/>
        <v>-1</v>
      </c>
      <c r="S33" s="11">
        <f t="shared" si="14"/>
        <v>-1.5</v>
      </c>
      <c r="T33" s="12">
        <f t="shared" si="15"/>
        <v>1.5294117647058822</v>
      </c>
      <c r="U33" s="13">
        <f t="shared" si="16"/>
        <v>-2.3304771394239339</v>
      </c>
      <c r="V33" s="24">
        <v>-10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1:36" thickBot="1" x14ac:dyDescent="0.25">
      <c r="A34" s="1">
        <v>32</v>
      </c>
      <c r="B34" s="33">
        <v>45335</v>
      </c>
      <c r="C34" s="18" t="s">
        <v>27</v>
      </c>
      <c r="D34" s="19">
        <v>23</v>
      </c>
      <c r="E34" s="19" t="s">
        <v>21</v>
      </c>
      <c r="F34" s="19" t="s">
        <v>21</v>
      </c>
      <c r="G34" s="19" t="s">
        <v>21</v>
      </c>
      <c r="H34" s="18" t="s">
        <v>22</v>
      </c>
      <c r="I34" s="20">
        <v>1.5699999999999999E-2</v>
      </c>
      <c r="J34" s="19">
        <v>4.2249999999999996</v>
      </c>
      <c r="K34" s="19">
        <v>3.51</v>
      </c>
      <c r="L34" s="10">
        <f t="shared" si="0"/>
        <v>1.2037037037037037</v>
      </c>
      <c r="M34" s="14">
        <f t="shared" si="7"/>
        <v>1.0332646452752428</v>
      </c>
      <c r="N34" s="11">
        <f t="shared" si="1"/>
        <v>1</v>
      </c>
      <c r="O34" s="8">
        <f t="shared" si="10"/>
        <v>0</v>
      </c>
      <c r="P34" s="8">
        <f t="shared" si="11"/>
        <v>0</v>
      </c>
      <c r="Q34" s="8">
        <f t="shared" si="12"/>
        <v>0</v>
      </c>
      <c r="R34" s="8">
        <f t="shared" si="13"/>
        <v>1</v>
      </c>
      <c r="S34" s="11">
        <f t="shared" si="14"/>
        <v>0.25</v>
      </c>
      <c r="T34" s="12">
        <f t="shared" si="15"/>
        <v>0.88461538461538458</v>
      </c>
      <c r="U34" s="13">
        <f t="shared" si="16"/>
        <v>0.3534828917188837</v>
      </c>
      <c r="V34" s="24">
        <v>0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1:36" thickBot="1" x14ac:dyDescent="0.25">
      <c r="A35" s="1">
        <v>33</v>
      </c>
      <c r="B35" s="33">
        <v>45336</v>
      </c>
      <c r="C35" s="18" t="s">
        <v>27</v>
      </c>
      <c r="D35" s="19">
        <v>31</v>
      </c>
      <c r="E35" s="19" t="s">
        <v>21</v>
      </c>
      <c r="F35" s="19" t="s">
        <v>24</v>
      </c>
      <c r="G35" s="19" t="s">
        <v>22</v>
      </c>
      <c r="H35" s="18" t="s">
        <v>21</v>
      </c>
      <c r="I35" s="20">
        <v>9.5999999999999992E-3</v>
      </c>
      <c r="J35" s="19">
        <v>5.7569999999999997</v>
      </c>
      <c r="K35" s="19">
        <v>3.7109999999999999</v>
      </c>
      <c r="L35" s="10">
        <f t="shared" si="0"/>
        <v>1.5513338722716248</v>
      </c>
      <c r="M35" s="14">
        <f t="shared" si="7"/>
        <v>1.0572649572649573</v>
      </c>
      <c r="N35" s="11">
        <f t="shared" si="1"/>
        <v>1</v>
      </c>
      <c r="O35" s="8">
        <f t="shared" si="10"/>
        <v>0</v>
      </c>
      <c r="P35" s="8">
        <f t="shared" si="11"/>
        <v>2</v>
      </c>
      <c r="Q35" s="8">
        <f t="shared" si="12"/>
        <v>1</v>
      </c>
      <c r="R35" s="8">
        <f t="shared" si="13"/>
        <v>0</v>
      </c>
      <c r="S35" s="11">
        <f t="shared" si="14"/>
        <v>0.85000000000000009</v>
      </c>
      <c r="T35" s="12">
        <f t="shared" si="15"/>
        <v>1.3478260869565217</v>
      </c>
      <c r="U35" s="13">
        <f t="shared" si="16"/>
        <v>3.2584784069709181</v>
      </c>
      <c r="V35" s="24">
        <v>16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1:36" thickBot="1" x14ac:dyDescent="0.25">
      <c r="A36" s="1">
        <v>34</v>
      </c>
      <c r="B36" s="33">
        <v>45337</v>
      </c>
      <c r="C36" s="18" t="s">
        <v>27</v>
      </c>
      <c r="D36" s="19">
        <v>16</v>
      </c>
      <c r="E36" s="19" t="s">
        <v>21</v>
      </c>
      <c r="F36" s="19" t="s">
        <v>21</v>
      </c>
      <c r="G36" s="19" t="s">
        <v>24</v>
      </c>
      <c r="H36" s="18" t="s">
        <v>21</v>
      </c>
      <c r="I36" s="20">
        <v>5.1000000000000004E-3</v>
      </c>
      <c r="J36" s="19">
        <v>3.2829999999999999</v>
      </c>
      <c r="K36" s="19">
        <v>3.5779999999999998</v>
      </c>
      <c r="L36" s="10">
        <f t="shared" si="0"/>
        <v>0.91755170486305204</v>
      </c>
      <c r="M36" s="14">
        <f t="shared" si="7"/>
        <v>0.96416060361088651</v>
      </c>
      <c r="N36" s="11">
        <f t="shared" si="1"/>
        <v>1</v>
      </c>
      <c r="O36" s="8">
        <f t="shared" si="10"/>
        <v>0</v>
      </c>
      <c r="P36" s="8">
        <f t="shared" si="11"/>
        <v>0</v>
      </c>
      <c r="Q36" s="8">
        <f t="shared" si="12"/>
        <v>2</v>
      </c>
      <c r="R36" s="8">
        <f t="shared" si="13"/>
        <v>0</v>
      </c>
      <c r="S36" s="11">
        <f t="shared" si="14"/>
        <v>0.7</v>
      </c>
      <c r="T36" s="12">
        <f t="shared" si="15"/>
        <v>0.5161290322580645</v>
      </c>
      <c r="U36" s="13">
        <f t="shared" si="16"/>
        <v>0.27262493025334744</v>
      </c>
      <c r="V36" s="24">
        <v>8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spans="1:36" thickBot="1" x14ac:dyDescent="0.25">
      <c r="A37" s="1">
        <v>35</v>
      </c>
      <c r="B37" s="33">
        <v>45338</v>
      </c>
      <c r="C37" s="18" t="s">
        <v>23</v>
      </c>
      <c r="D37" s="19">
        <v>8</v>
      </c>
      <c r="E37" s="19" t="s">
        <v>21</v>
      </c>
      <c r="F37" s="19" t="s">
        <v>21</v>
      </c>
      <c r="G37" s="19" t="s">
        <v>26</v>
      </c>
      <c r="H37" s="18" t="s">
        <v>24</v>
      </c>
      <c r="I37" s="20">
        <v>2.2000000000000001E-3</v>
      </c>
      <c r="J37" s="19">
        <v>2.5299999999999998</v>
      </c>
      <c r="K37" s="19">
        <v>3.504</v>
      </c>
      <c r="L37" s="10">
        <f t="shared" si="0"/>
        <v>0.72203196347031962</v>
      </c>
      <c r="M37" s="14">
        <f t="shared" si="7"/>
        <v>0.9793180547792063</v>
      </c>
      <c r="N37" s="11">
        <f t="shared" si="1"/>
        <v>2</v>
      </c>
      <c r="O37" s="8">
        <f t="shared" si="10"/>
        <v>0</v>
      </c>
      <c r="P37" s="8">
        <f t="shared" si="11"/>
        <v>0</v>
      </c>
      <c r="Q37" s="8">
        <f t="shared" si="12"/>
        <v>-1</v>
      </c>
      <c r="R37" s="8">
        <f t="shared" si="13"/>
        <v>2</v>
      </c>
      <c r="S37" s="11">
        <f t="shared" si="14"/>
        <v>0.25</v>
      </c>
      <c r="T37" s="12">
        <f t="shared" si="15"/>
        <v>0.5</v>
      </c>
      <c r="U37" s="13">
        <f t="shared" si="16"/>
        <v>6.1206020606061305E-2</v>
      </c>
      <c r="V37" s="24">
        <v>0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spans="1:36" thickBot="1" x14ac:dyDescent="0.25">
      <c r="A38" s="1">
        <v>36</v>
      </c>
      <c r="B38" s="33">
        <v>45341</v>
      </c>
      <c r="C38" s="18" t="s">
        <v>27</v>
      </c>
      <c r="D38" s="19">
        <v>11</v>
      </c>
      <c r="E38" s="19" t="s">
        <v>21</v>
      </c>
      <c r="F38" s="19" t="s">
        <v>24</v>
      </c>
      <c r="G38" s="19" t="s">
        <v>22</v>
      </c>
      <c r="H38" s="18" t="s">
        <v>24</v>
      </c>
      <c r="I38" s="20">
        <v>3.8E-3</v>
      </c>
      <c r="J38" s="19">
        <v>2.202</v>
      </c>
      <c r="K38" s="19">
        <v>3.46</v>
      </c>
      <c r="L38" s="10">
        <f t="shared" si="0"/>
        <v>0.63641618497109831</v>
      </c>
      <c r="M38" s="14">
        <f t="shared" si="7"/>
        <v>0.98744292237442921</v>
      </c>
      <c r="N38" s="11">
        <f t="shared" si="1"/>
        <v>1</v>
      </c>
      <c r="O38" s="8">
        <f t="shared" si="10"/>
        <v>0</v>
      </c>
      <c r="P38" s="8">
        <f t="shared" si="11"/>
        <v>2</v>
      </c>
      <c r="Q38" s="8">
        <f t="shared" si="12"/>
        <v>1</v>
      </c>
      <c r="R38" s="8">
        <f t="shared" si="13"/>
        <v>2</v>
      </c>
      <c r="S38" s="11">
        <f t="shared" si="14"/>
        <v>0.95000000000000007</v>
      </c>
      <c r="T38" s="12">
        <f t="shared" si="15"/>
        <v>1.375</v>
      </c>
      <c r="U38" s="13">
        <f t="shared" si="16"/>
        <v>0.50938334269671082</v>
      </c>
      <c r="V38" s="24">
        <v>4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spans="1:36" thickBot="1" x14ac:dyDescent="0.25">
      <c r="A39" s="1">
        <v>37</v>
      </c>
      <c r="B39" s="33">
        <v>45342</v>
      </c>
      <c r="C39" s="18" t="s">
        <v>23</v>
      </c>
      <c r="D39" s="19">
        <v>13</v>
      </c>
      <c r="E39" s="19" t="s">
        <v>21</v>
      </c>
      <c r="F39" s="19" t="s">
        <v>21</v>
      </c>
      <c r="G39" s="19" t="s">
        <v>22</v>
      </c>
      <c r="H39" s="18" t="s">
        <v>24</v>
      </c>
      <c r="I39" s="20">
        <v>1.14E-2</v>
      </c>
      <c r="J39" s="19">
        <v>2.738</v>
      </c>
      <c r="K39" s="19">
        <v>3.5129999999999999</v>
      </c>
      <c r="L39" s="10">
        <f t="shared" si="0"/>
        <v>0.77939083404497578</v>
      </c>
      <c r="M39" s="14">
        <f t="shared" si="7"/>
        <v>1.0153179190751445</v>
      </c>
      <c r="N39" s="11">
        <f t="shared" si="1"/>
        <v>2</v>
      </c>
      <c r="O39" s="8">
        <f t="shared" si="10"/>
        <v>0</v>
      </c>
      <c r="P39" s="8">
        <f t="shared" si="11"/>
        <v>0</v>
      </c>
      <c r="Q39" s="8">
        <f t="shared" si="12"/>
        <v>1</v>
      </c>
      <c r="R39" s="8">
        <f t="shared" si="13"/>
        <v>2</v>
      </c>
      <c r="S39" s="11">
        <f t="shared" si="14"/>
        <v>0.75</v>
      </c>
      <c r="T39" s="12">
        <f t="shared" si="15"/>
        <v>1.1818181818181819</v>
      </c>
      <c r="U39" s="13">
        <f t="shared" si="16"/>
        <v>0.56354509167711975</v>
      </c>
      <c r="V39" s="24">
        <v>12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spans="1:36" thickBot="1" x14ac:dyDescent="0.25">
      <c r="A40" s="1">
        <v>38</v>
      </c>
      <c r="B40" s="33">
        <v>45343</v>
      </c>
      <c r="C40" s="18" t="s">
        <v>27</v>
      </c>
      <c r="D40" s="19">
        <v>11</v>
      </c>
      <c r="E40" s="19" t="s">
        <v>21</v>
      </c>
      <c r="F40" s="19" t="s">
        <v>21</v>
      </c>
      <c r="G40" s="19" t="s">
        <v>21</v>
      </c>
      <c r="H40" s="18" t="s">
        <v>21</v>
      </c>
      <c r="I40" s="20">
        <v>-3.5000000000000001E-3</v>
      </c>
      <c r="J40" s="19">
        <v>3.3460000000000001</v>
      </c>
      <c r="K40" s="19">
        <v>3.5019999999999998</v>
      </c>
      <c r="L40" s="10">
        <f t="shared" si="0"/>
        <v>0.95545402627070253</v>
      </c>
      <c r="M40" s="14">
        <f t="shared" si="7"/>
        <v>0.99686877312838029</v>
      </c>
      <c r="N40" s="11">
        <f t="shared" si="1"/>
        <v>1</v>
      </c>
      <c r="O40" s="8">
        <f t="shared" si="10"/>
        <v>0</v>
      </c>
      <c r="P40" s="8">
        <f t="shared" si="11"/>
        <v>0</v>
      </c>
      <c r="Q40" s="8">
        <f t="shared" si="12"/>
        <v>0</v>
      </c>
      <c r="R40" s="8">
        <f t="shared" si="13"/>
        <v>0</v>
      </c>
      <c r="S40" s="11">
        <f t="shared" si="14"/>
        <v>0.2</v>
      </c>
      <c r="T40" s="12">
        <f t="shared" si="15"/>
        <v>0.84615384615384615</v>
      </c>
      <c r="U40" s="13">
        <f t="shared" si="16"/>
        <v>0.1530427969684876</v>
      </c>
      <c r="V40" s="24">
        <v>-8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spans="1:36" thickBot="1" x14ac:dyDescent="0.25">
      <c r="A41" s="1">
        <v>39</v>
      </c>
      <c r="B41" s="33">
        <v>45344</v>
      </c>
      <c r="C41" s="18" t="s">
        <v>20</v>
      </c>
      <c r="D41" s="19">
        <v>15</v>
      </c>
      <c r="E41" s="19" t="s">
        <v>21</v>
      </c>
      <c r="F41" s="19" t="s">
        <v>21</v>
      </c>
      <c r="G41" s="19" t="s">
        <v>21</v>
      </c>
      <c r="H41" s="18" t="s">
        <v>21</v>
      </c>
      <c r="I41" s="20">
        <v>-5.0000000000000001E-4</v>
      </c>
      <c r="J41" s="19">
        <v>3.18</v>
      </c>
      <c r="K41" s="19">
        <v>3.4319999999999999</v>
      </c>
      <c r="L41" s="10">
        <f t="shared" si="0"/>
        <v>0.92657342657342667</v>
      </c>
      <c r="M41" s="14">
        <f t="shared" si="7"/>
        <v>0.98001142204454605</v>
      </c>
      <c r="N41" s="11">
        <f t="shared" si="1"/>
        <v>-2</v>
      </c>
      <c r="O41" s="8">
        <f t="shared" si="10"/>
        <v>0</v>
      </c>
      <c r="P41" s="8">
        <f t="shared" si="11"/>
        <v>0</v>
      </c>
      <c r="Q41" s="8">
        <f t="shared" si="12"/>
        <v>0</v>
      </c>
      <c r="R41" s="8">
        <f t="shared" si="13"/>
        <v>0</v>
      </c>
      <c r="S41" s="11">
        <f t="shared" si="14"/>
        <v>-0.4</v>
      </c>
      <c r="T41" s="12">
        <f t="shared" si="15"/>
        <v>1.3636363636363635</v>
      </c>
      <c r="U41" s="13">
        <f t="shared" si="16"/>
        <v>-0.44076962604397263</v>
      </c>
      <c r="V41" s="24">
        <v>-2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spans="1:36" thickBot="1" x14ac:dyDescent="0.25">
      <c r="A42" s="1">
        <v>40</v>
      </c>
      <c r="B42" s="33">
        <v>45345</v>
      </c>
      <c r="C42" s="18" t="s">
        <v>23</v>
      </c>
      <c r="D42" s="19">
        <v>14</v>
      </c>
      <c r="E42" s="19" t="s">
        <v>21</v>
      </c>
      <c r="F42" s="19" t="s">
        <v>21</v>
      </c>
      <c r="G42" s="19" t="s">
        <v>26</v>
      </c>
      <c r="H42" s="18" t="s">
        <v>21</v>
      </c>
      <c r="I42" s="20">
        <v>-1.6999999999999999E-3</v>
      </c>
      <c r="J42" s="19">
        <v>2.931</v>
      </c>
      <c r="K42" s="19">
        <v>3.4409999999999998</v>
      </c>
      <c r="L42" s="10">
        <f t="shared" si="0"/>
        <v>0.85178727114210995</v>
      </c>
      <c r="M42" s="14">
        <f t="shared" si="7"/>
        <v>1.0026223776223775</v>
      </c>
      <c r="N42" s="11">
        <f t="shared" si="1"/>
        <v>2</v>
      </c>
      <c r="O42" s="8">
        <f t="shared" si="10"/>
        <v>0</v>
      </c>
      <c r="P42" s="8">
        <f t="shared" si="11"/>
        <v>0</v>
      </c>
      <c r="Q42" s="8">
        <f t="shared" si="12"/>
        <v>-1</v>
      </c>
      <c r="R42" s="8">
        <f t="shared" si="13"/>
        <v>0</v>
      </c>
      <c r="S42" s="11">
        <f t="shared" si="14"/>
        <v>0.15000000000000002</v>
      </c>
      <c r="T42" s="12">
        <f t="shared" si="15"/>
        <v>0.93333333333333335</v>
      </c>
      <c r="U42" s="13">
        <f t="shared" si="16"/>
        <v>0.10237702559456717</v>
      </c>
      <c r="V42" s="24">
        <v>-2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 spans="1:36" thickBot="1" x14ac:dyDescent="0.25">
      <c r="A43" s="1">
        <v>41</v>
      </c>
      <c r="B43" s="33">
        <v>45348</v>
      </c>
      <c r="C43" s="18" t="s">
        <v>20</v>
      </c>
      <c r="D43" s="19">
        <v>9</v>
      </c>
      <c r="E43" s="19" t="s">
        <v>21</v>
      </c>
      <c r="F43" s="19" t="s">
        <v>21</v>
      </c>
      <c r="G43" s="19" t="s">
        <v>21</v>
      </c>
      <c r="H43" s="18" t="s">
        <v>21</v>
      </c>
      <c r="I43" s="20">
        <v>-5.0000000000000001E-3</v>
      </c>
      <c r="J43" s="19">
        <v>2.3660000000000001</v>
      </c>
      <c r="K43" s="19">
        <v>3.3559999999999999</v>
      </c>
      <c r="L43" s="10">
        <f t="shared" si="0"/>
        <v>0.70500595947556621</v>
      </c>
      <c r="M43" s="14">
        <f t="shared" si="7"/>
        <v>0.97529787852368499</v>
      </c>
      <c r="N43" s="11">
        <f t="shared" si="1"/>
        <v>-2</v>
      </c>
      <c r="O43" s="8">
        <f t="shared" si="10"/>
        <v>0</v>
      </c>
      <c r="P43" s="8">
        <f t="shared" si="11"/>
        <v>0</v>
      </c>
      <c r="Q43" s="8">
        <f t="shared" si="12"/>
        <v>0</v>
      </c>
      <c r="R43" s="8">
        <f t="shared" si="13"/>
        <v>0</v>
      </c>
      <c r="S43" s="11">
        <f t="shared" si="14"/>
        <v>-0.4</v>
      </c>
      <c r="T43" s="12">
        <f t="shared" si="15"/>
        <v>0.6428571428571429</v>
      </c>
      <c r="U43" s="13">
        <f t="shared" si="16"/>
        <v>-0.11856919735854947</v>
      </c>
      <c r="V43" s="24">
        <v>-2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spans="1:36" thickBot="1" x14ac:dyDescent="0.25">
      <c r="A44" s="1">
        <v>42</v>
      </c>
      <c r="B44" s="33">
        <v>45349</v>
      </c>
      <c r="C44" s="18" t="s">
        <v>25</v>
      </c>
      <c r="D44" s="19">
        <v>10</v>
      </c>
      <c r="E44" s="19" t="s">
        <v>21</v>
      </c>
      <c r="F44" s="19" t="s">
        <v>21</v>
      </c>
      <c r="G44" s="19" t="s">
        <v>21</v>
      </c>
      <c r="H44" s="18" t="s">
        <v>21</v>
      </c>
      <c r="I44" s="20">
        <v>-1E-3</v>
      </c>
      <c r="J44" s="19">
        <v>2.3359999999999999</v>
      </c>
      <c r="K44" s="19">
        <v>3.3530000000000002</v>
      </c>
      <c r="L44" s="10">
        <f t="shared" si="0"/>
        <v>0.69668953176260062</v>
      </c>
      <c r="M44" s="14">
        <f t="shared" si="7"/>
        <v>0.99910607866507761</v>
      </c>
      <c r="N44" s="11">
        <f t="shared" si="1"/>
        <v>-1</v>
      </c>
      <c r="O44" s="8">
        <f t="shared" si="10"/>
        <v>0</v>
      </c>
      <c r="P44" s="8">
        <f t="shared" si="11"/>
        <v>0</v>
      </c>
      <c r="Q44" s="8">
        <f t="shared" si="12"/>
        <v>0</v>
      </c>
      <c r="R44" s="8">
        <f t="shared" si="13"/>
        <v>0</v>
      </c>
      <c r="S44" s="11">
        <f t="shared" si="14"/>
        <v>-0.2</v>
      </c>
      <c r="T44" s="12">
        <f t="shared" si="15"/>
        <v>1.1111111111111112</v>
      </c>
      <c r="U44" s="13">
        <f t="shared" si="16"/>
        <v>-0.10757240049039493</v>
      </c>
      <c r="V44" s="24">
        <v>-2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spans="1:36" thickBot="1" x14ac:dyDescent="0.25">
      <c r="A45" s="1">
        <v>43</v>
      </c>
      <c r="B45" s="33">
        <v>45350</v>
      </c>
      <c r="C45" s="18" t="s">
        <v>20</v>
      </c>
      <c r="D45" s="19">
        <v>21</v>
      </c>
      <c r="E45" s="19" t="s">
        <v>28</v>
      </c>
      <c r="F45" s="19" t="s">
        <v>28</v>
      </c>
      <c r="G45" s="19" t="s">
        <v>26</v>
      </c>
      <c r="H45" s="18" t="s">
        <v>28</v>
      </c>
      <c r="I45" s="20">
        <v>-1.5800000000000002E-2</v>
      </c>
      <c r="J45" s="19">
        <v>3.3919999999999999</v>
      </c>
      <c r="K45" s="19">
        <v>3.3279999999999998</v>
      </c>
      <c r="L45" s="10">
        <f t="shared" si="0"/>
        <v>1.0192307692307692</v>
      </c>
      <c r="M45" s="14">
        <f t="shared" si="7"/>
        <v>0.9925439904563077</v>
      </c>
      <c r="N45" s="11">
        <f t="shared" si="1"/>
        <v>-2</v>
      </c>
      <c r="O45" s="8">
        <f t="shared" si="10"/>
        <v>-2</v>
      </c>
      <c r="P45" s="8">
        <f t="shared" si="11"/>
        <v>-2</v>
      </c>
      <c r="Q45" s="8">
        <f t="shared" si="12"/>
        <v>-1</v>
      </c>
      <c r="R45" s="8">
        <f t="shared" si="13"/>
        <v>-2</v>
      </c>
      <c r="S45" s="11">
        <f t="shared" si="14"/>
        <v>-1.75</v>
      </c>
      <c r="T45" s="12">
        <f t="shared" si="15"/>
        <v>2.1</v>
      </c>
      <c r="U45" s="13">
        <f t="shared" si="16"/>
        <v>-3.732945831197175</v>
      </c>
      <c r="V45" s="24">
        <v>-4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spans="1:36" thickBot="1" x14ac:dyDescent="0.25">
      <c r="A46" s="1">
        <v>44</v>
      </c>
      <c r="B46" s="33">
        <v>45351</v>
      </c>
      <c r="C46" s="18" t="s">
        <v>25</v>
      </c>
      <c r="D46" s="19">
        <v>16</v>
      </c>
      <c r="E46" s="19" t="s">
        <v>21</v>
      </c>
      <c r="F46" s="19" t="s">
        <v>21</v>
      </c>
      <c r="G46" s="19" t="s">
        <v>22</v>
      </c>
      <c r="H46" s="18" t="s">
        <v>21</v>
      </c>
      <c r="I46" s="20">
        <v>5.4999999999999997E-3</v>
      </c>
      <c r="J46" s="19">
        <v>2.5390000000000001</v>
      </c>
      <c r="K46" s="19">
        <v>3.2530000000000001</v>
      </c>
      <c r="L46" s="10">
        <f t="shared" si="0"/>
        <v>0.78051029818628959</v>
      </c>
      <c r="M46" s="14">
        <f t="shared" si="7"/>
        <v>0.9774639423076924</v>
      </c>
      <c r="N46" s="11">
        <f t="shared" si="1"/>
        <v>-1</v>
      </c>
      <c r="O46" s="8">
        <f t="shared" si="10"/>
        <v>0</v>
      </c>
      <c r="P46" s="8">
        <f t="shared" si="11"/>
        <v>0</v>
      </c>
      <c r="Q46" s="8">
        <f t="shared" si="12"/>
        <v>1</v>
      </c>
      <c r="R46" s="8">
        <f t="shared" si="13"/>
        <v>0</v>
      </c>
      <c r="S46" s="11">
        <f t="shared" si="14"/>
        <v>4.9999999999999989E-2</v>
      </c>
      <c r="T46" s="12">
        <f t="shared" si="15"/>
        <v>0.76190476190476186</v>
      </c>
      <c r="U46" s="13">
        <f t="shared" si="16"/>
        <v>2.1673557605731419E-2</v>
      </c>
      <c r="V46" s="24">
        <v>12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spans="1:36" thickBot="1" x14ac:dyDescent="0.25">
      <c r="A47" s="1">
        <v>45</v>
      </c>
      <c r="B47" s="33">
        <v>45352</v>
      </c>
      <c r="C47" s="18" t="s">
        <v>23</v>
      </c>
      <c r="D47" s="19">
        <v>30</v>
      </c>
      <c r="E47" s="19" t="s">
        <v>24</v>
      </c>
      <c r="F47" s="19" t="s">
        <v>24</v>
      </c>
      <c r="G47" s="19" t="s">
        <v>24</v>
      </c>
      <c r="H47" s="18" t="s">
        <v>24</v>
      </c>
      <c r="I47" s="20">
        <v>3.1399999999999997E-2</v>
      </c>
      <c r="J47" s="19">
        <v>3.3519999999999999</v>
      </c>
      <c r="K47" s="19">
        <v>3.2069999999999999</v>
      </c>
      <c r="L47" s="10">
        <f t="shared" si="0"/>
        <v>1.0452135952603681</v>
      </c>
      <c r="M47" s="14">
        <f t="shared" si="7"/>
        <v>0.9858592068859513</v>
      </c>
      <c r="N47" s="11">
        <f t="shared" si="1"/>
        <v>2</v>
      </c>
      <c r="O47" s="8">
        <f t="shared" si="10"/>
        <v>2</v>
      </c>
      <c r="P47" s="8">
        <f t="shared" si="11"/>
        <v>2</v>
      </c>
      <c r="Q47" s="8">
        <f t="shared" si="12"/>
        <v>2</v>
      </c>
      <c r="R47" s="8">
        <f t="shared" si="13"/>
        <v>2</v>
      </c>
      <c r="S47" s="11">
        <f t="shared" si="14"/>
        <v>2</v>
      </c>
      <c r="T47" s="12">
        <f t="shared" si="15"/>
        <v>1.875</v>
      </c>
      <c r="U47" s="13">
        <f t="shared" si="16"/>
        <v>3.9254193388821617</v>
      </c>
      <c r="V47" s="24">
        <v>18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1:36" thickBot="1" x14ac:dyDescent="0.25">
      <c r="A48" s="1">
        <v>46</v>
      </c>
      <c r="B48" s="33">
        <v>45355</v>
      </c>
      <c r="C48" s="18" t="s">
        <v>27</v>
      </c>
      <c r="D48" s="19">
        <v>8</v>
      </c>
      <c r="E48" s="19" t="s">
        <v>21</v>
      </c>
      <c r="F48" s="19" t="s">
        <v>21</v>
      </c>
      <c r="G48" s="19" t="s">
        <v>24</v>
      </c>
      <c r="H48" s="18" t="s">
        <v>21</v>
      </c>
      <c r="I48" s="20">
        <v>-5.0000000000000001E-4</v>
      </c>
      <c r="J48" s="19">
        <v>1.992</v>
      </c>
      <c r="K48" s="19">
        <v>3.0609999999999999</v>
      </c>
      <c r="L48" s="10">
        <f t="shared" si="0"/>
        <v>0.65076772296635088</v>
      </c>
      <c r="M48" s="14">
        <f t="shared" si="7"/>
        <v>0.95447458684128472</v>
      </c>
      <c r="N48" s="11">
        <f t="shared" si="1"/>
        <v>1</v>
      </c>
      <c r="O48" s="8">
        <f t="shared" si="10"/>
        <v>0</v>
      </c>
      <c r="P48" s="8">
        <f t="shared" si="11"/>
        <v>0</v>
      </c>
      <c r="Q48" s="8">
        <f t="shared" si="12"/>
        <v>2</v>
      </c>
      <c r="R48" s="8">
        <f t="shared" si="13"/>
        <v>0</v>
      </c>
      <c r="S48" s="11">
        <f t="shared" si="14"/>
        <v>0.7</v>
      </c>
      <c r="T48" s="12">
        <f t="shared" si="15"/>
        <v>0.26666666666666666</v>
      </c>
      <c r="U48" s="13">
        <f t="shared" si="16"/>
        <v>6.8740373932486346E-2</v>
      </c>
      <c r="V48" s="24">
        <v>0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1:36" thickBot="1" x14ac:dyDescent="0.25">
      <c r="A49" s="1">
        <v>47</v>
      </c>
      <c r="B49" s="33">
        <v>45356</v>
      </c>
      <c r="C49" s="18" t="s">
        <v>27</v>
      </c>
      <c r="D49" s="19">
        <v>17</v>
      </c>
      <c r="E49" s="19" t="s">
        <v>24</v>
      </c>
      <c r="F49" s="19" t="s">
        <v>24</v>
      </c>
      <c r="G49" s="19" t="s">
        <v>21</v>
      </c>
      <c r="H49" s="18" t="s">
        <v>24</v>
      </c>
      <c r="I49" s="20">
        <v>4.1000000000000003E-3</v>
      </c>
      <c r="J49" s="19">
        <v>2.266</v>
      </c>
      <c r="K49" s="19">
        <v>3.0430000000000001</v>
      </c>
      <c r="L49" s="10">
        <f t="shared" si="0"/>
        <v>0.74465987512323362</v>
      </c>
      <c r="M49" s="14">
        <f t="shared" si="7"/>
        <v>0.99411956876837637</v>
      </c>
      <c r="N49" s="11">
        <f t="shared" si="1"/>
        <v>1</v>
      </c>
      <c r="O49" s="8">
        <f t="shared" si="10"/>
        <v>2</v>
      </c>
      <c r="P49" s="8">
        <f t="shared" si="11"/>
        <v>2</v>
      </c>
      <c r="Q49" s="8">
        <f t="shared" si="12"/>
        <v>0</v>
      </c>
      <c r="R49" s="8">
        <f t="shared" si="13"/>
        <v>2</v>
      </c>
      <c r="S49" s="11">
        <f t="shared" si="14"/>
        <v>1.3</v>
      </c>
      <c r="T49" s="12">
        <f t="shared" si="15"/>
        <v>2.125</v>
      </c>
      <c r="U49" s="13">
        <f t="shared" si="16"/>
        <v>1.5049915492676278</v>
      </c>
      <c r="V49" s="24">
        <v>1</v>
      </c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spans="1:36" thickBot="1" x14ac:dyDescent="0.25">
      <c r="A50" s="1">
        <v>48</v>
      </c>
      <c r="B50" s="33">
        <v>45357</v>
      </c>
      <c r="C50" s="18" t="s">
        <v>23</v>
      </c>
      <c r="D50" s="19">
        <v>9</v>
      </c>
      <c r="E50" s="19" t="s">
        <v>21</v>
      </c>
      <c r="F50" s="19" t="s">
        <v>21</v>
      </c>
      <c r="G50" s="19" t="s">
        <v>24</v>
      </c>
      <c r="H50" s="18" t="s">
        <v>21</v>
      </c>
      <c r="I50" s="20">
        <v>3.7000000000000002E-3</v>
      </c>
      <c r="J50" s="19">
        <v>3.7130000000000001</v>
      </c>
      <c r="K50" s="19">
        <v>2.8650000000000002</v>
      </c>
      <c r="L50" s="10">
        <f t="shared" si="0"/>
        <v>1.2959860383944153</v>
      </c>
      <c r="M50" s="14">
        <f t="shared" si="7"/>
        <v>0.94150509365757473</v>
      </c>
      <c r="N50" s="11">
        <f t="shared" si="1"/>
        <v>2</v>
      </c>
      <c r="O50" s="8">
        <f t="shared" si="10"/>
        <v>0</v>
      </c>
      <c r="P50" s="8">
        <f t="shared" si="11"/>
        <v>0</v>
      </c>
      <c r="Q50" s="8">
        <f t="shared" si="12"/>
        <v>2</v>
      </c>
      <c r="R50" s="8">
        <f t="shared" si="13"/>
        <v>0</v>
      </c>
      <c r="S50" s="11">
        <f t="shared" si="14"/>
        <v>0.9</v>
      </c>
      <c r="T50" s="12">
        <f t="shared" si="15"/>
        <v>0.52941176470588236</v>
      </c>
      <c r="U50" s="13">
        <f t="shared" si="16"/>
        <v>0.66788972957015091</v>
      </c>
      <c r="V50" s="24">
        <v>8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spans="1:36" thickBot="1" x14ac:dyDescent="0.25">
      <c r="A51" s="1">
        <v>49</v>
      </c>
      <c r="B51" s="33">
        <v>45358</v>
      </c>
      <c r="C51" s="18" t="s">
        <v>25</v>
      </c>
      <c r="D51" s="19">
        <v>6</v>
      </c>
      <c r="E51" s="19" t="s">
        <v>21</v>
      </c>
      <c r="F51" s="19" t="s">
        <v>21</v>
      </c>
      <c r="G51" s="19" t="s">
        <v>28</v>
      </c>
      <c r="H51" s="18" t="s">
        <v>21</v>
      </c>
      <c r="I51" s="20">
        <v>-3.2000000000000002E-3</v>
      </c>
      <c r="J51" s="19">
        <v>2.0960000000000001</v>
      </c>
      <c r="K51" s="19">
        <v>2.9780000000000002</v>
      </c>
      <c r="L51" s="10">
        <f t="shared" si="0"/>
        <v>0.70382807253190061</v>
      </c>
      <c r="M51" s="14">
        <f t="shared" si="7"/>
        <v>1.0394415357766142</v>
      </c>
      <c r="N51" s="11">
        <f t="shared" ref="N51:N93" si="17">IF(C51="L", -2, IF(C51="OL", -1, IF(C51="H", 2, IF(C51="OH", 1, IF(C51="O", 0, "")))))</f>
        <v>-1</v>
      </c>
      <c r="O51" s="8">
        <f t="shared" si="10"/>
        <v>0</v>
      </c>
      <c r="P51" s="8">
        <f t="shared" si="11"/>
        <v>0</v>
      </c>
      <c r="Q51" s="8">
        <f t="shared" si="12"/>
        <v>-2</v>
      </c>
      <c r="R51" s="8">
        <f t="shared" si="13"/>
        <v>0</v>
      </c>
      <c r="S51" s="11">
        <f t="shared" si="14"/>
        <v>-0.7</v>
      </c>
      <c r="T51" s="12">
        <f t="shared" si="15"/>
        <v>0.66666666666666663</v>
      </c>
      <c r="U51" s="13">
        <f t="shared" si="16"/>
        <v>-0.25962119948603385</v>
      </c>
      <c r="V51" s="24">
        <v>-6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spans="1:36" thickBot="1" x14ac:dyDescent="0.25">
      <c r="A52" s="1">
        <v>50</v>
      </c>
      <c r="B52" s="33">
        <v>45362</v>
      </c>
      <c r="C52" s="18" t="s">
        <v>20</v>
      </c>
      <c r="D52" s="19">
        <v>14</v>
      </c>
      <c r="E52" s="19" t="s">
        <v>28</v>
      </c>
      <c r="F52" s="19" t="s">
        <v>28</v>
      </c>
      <c r="G52" s="19" t="s">
        <v>28</v>
      </c>
      <c r="H52" s="18" t="s">
        <v>28</v>
      </c>
      <c r="I52" s="20">
        <v>-1.0500000000000001E-2</v>
      </c>
      <c r="J52" s="19">
        <v>2.3180000000000001</v>
      </c>
      <c r="K52" s="19">
        <v>2.927</v>
      </c>
      <c r="L52" s="10">
        <f t="shared" si="0"/>
        <v>0.79193713700034163</v>
      </c>
      <c r="M52" s="14">
        <f t="shared" si="7"/>
        <v>0.98287441235728668</v>
      </c>
      <c r="N52" s="11">
        <f t="shared" si="17"/>
        <v>-2</v>
      </c>
      <c r="O52" s="8">
        <f t="shared" si="10"/>
        <v>-2</v>
      </c>
      <c r="P52" s="8">
        <f t="shared" si="11"/>
        <v>-2</v>
      </c>
      <c r="Q52" s="8">
        <f t="shared" si="12"/>
        <v>-2</v>
      </c>
      <c r="R52" s="8">
        <f t="shared" si="13"/>
        <v>-2</v>
      </c>
      <c r="S52" s="11">
        <f t="shared" si="14"/>
        <v>-2</v>
      </c>
      <c r="T52" s="12">
        <f t="shared" si="15"/>
        <v>2.3333333333333335</v>
      </c>
      <c r="U52" s="13">
        <f t="shared" si="16"/>
        <v>-2.7789599408542154</v>
      </c>
      <c r="V52" s="24">
        <v>-14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 spans="1:36" ht="15" x14ac:dyDescent="0.2">
      <c r="A53" s="1">
        <v>51</v>
      </c>
      <c r="B53" s="34">
        <v>45363</v>
      </c>
      <c r="C53" s="7" t="s">
        <v>25</v>
      </c>
      <c r="D53" s="8">
        <v>14</v>
      </c>
      <c r="E53" s="8" t="s">
        <v>21</v>
      </c>
      <c r="F53" s="8" t="s">
        <v>21</v>
      </c>
      <c r="G53" s="8" t="s">
        <v>22</v>
      </c>
      <c r="H53" s="8" t="s">
        <v>21</v>
      </c>
      <c r="I53" s="9">
        <v>6.9999999999999999E-4</v>
      </c>
      <c r="J53" s="8">
        <v>3.8580000000000001</v>
      </c>
      <c r="K53" s="8">
        <v>2.8959999999999999</v>
      </c>
      <c r="L53" s="10">
        <f t="shared" si="0"/>
        <v>1.3321823204419889</v>
      </c>
      <c r="M53" s="14">
        <f t="shared" si="7"/>
        <v>0.98940895114451655</v>
      </c>
      <c r="N53" s="11">
        <f t="shared" si="17"/>
        <v>-1</v>
      </c>
      <c r="O53" s="8">
        <f t="shared" si="10"/>
        <v>0</v>
      </c>
      <c r="P53" s="8">
        <f t="shared" si="11"/>
        <v>0</v>
      </c>
      <c r="Q53" s="8">
        <f t="shared" si="12"/>
        <v>1</v>
      </c>
      <c r="R53" s="8">
        <f t="shared" si="13"/>
        <v>0</v>
      </c>
      <c r="S53" s="11">
        <f t="shared" si="14"/>
        <v>4.9999999999999989E-2</v>
      </c>
      <c r="T53" s="12">
        <f t="shared" si="15"/>
        <v>1</v>
      </c>
      <c r="U53" s="13">
        <f t="shared" si="16"/>
        <v>8.5945836163773826E-2</v>
      </c>
      <c r="V53" s="24">
        <v>0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 spans="1:36" ht="15" x14ac:dyDescent="0.2">
      <c r="A54" s="1">
        <v>52</v>
      </c>
      <c r="B54" s="34">
        <v>45364</v>
      </c>
      <c r="C54" s="7" t="s">
        <v>25</v>
      </c>
      <c r="D54" s="8">
        <v>19</v>
      </c>
      <c r="E54" s="8" t="s">
        <v>21</v>
      </c>
      <c r="F54" s="8" t="s">
        <v>28</v>
      </c>
      <c r="G54" s="8" t="s">
        <v>21</v>
      </c>
      <c r="H54" s="8" t="s">
        <v>28</v>
      </c>
      <c r="I54" s="9">
        <v>-1.06E-2</v>
      </c>
      <c r="J54" s="8">
        <v>3.01</v>
      </c>
      <c r="K54" s="8">
        <v>2.5939999999999999</v>
      </c>
      <c r="L54" s="10">
        <f t="shared" si="0"/>
        <v>1.1603700848111025</v>
      </c>
      <c r="M54" s="14">
        <f t="shared" si="7"/>
        <v>0.89571823204419887</v>
      </c>
      <c r="N54" s="11">
        <f t="shared" si="17"/>
        <v>-1</v>
      </c>
      <c r="O54" s="8">
        <f t="shared" si="10"/>
        <v>0</v>
      </c>
      <c r="P54" s="8">
        <f t="shared" si="11"/>
        <v>-2</v>
      </c>
      <c r="Q54" s="8">
        <f t="shared" si="12"/>
        <v>0</v>
      </c>
      <c r="R54" s="8">
        <f t="shared" si="13"/>
        <v>-2</v>
      </c>
      <c r="S54" s="11">
        <f t="shared" si="14"/>
        <v>-0.70000000000000007</v>
      </c>
      <c r="T54" s="12">
        <f t="shared" si="15"/>
        <v>1.3571428571428572</v>
      </c>
      <c r="U54" s="13">
        <f t="shared" si="16"/>
        <v>-0.91924419427306658</v>
      </c>
      <c r="V54" s="24">
        <v>-8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spans="1:36" ht="15" x14ac:dyDescent="0.2">
      <c r="A55" s="1">
        <v>53</v>
      </c>
      <c r="B55" s="34">
        <v>45365</v>
      </c>
      <c r="C55" s="7" t="s">
        <v>25</v>
      </c>
      <c r="D55" s="8">
        <v>15</v>
      </c>
      <c r="E55" s="8" t="s">
        <v>21</v>
      </c>
      <c r="F55" s="8" t="s">
        <v>24</v>
      </c>
      <c r="G55" s="8" t="s">
        <v>22</v>
      </c>
      <c r="H55" s="8" t="s">
        <v>21</v>
      </c>
      <c r="I55" s="9">
        <v>-2.3999999999999998E-3</v>
      </c>
      <c r="J55" s="8">
        <v>2.5840000000000001</v>
      </c>
      <c r="K55" s="8">
        <v>2.7280000000000002</v>
      </c>
      <c r="L55" s="10">
        <f t="shared" si="0"/>
        <v>0.94721407624633425</v>
      </c>
      <c r="M55" s="14">
        <f t="shared" si="7"/>
        <v>1.0516576715497303</v>
      </c>
      <c r="N55" s="11">
        <f t="shared" si="17"/>
        <v>-1</v>
      </c>
      <c r="O55" s="8">
        <f t="shared" si="10"/>
        <v>0</v>
      </c>
      <c r="P55" s="8">
        <f t="shared" si="11"/>
        <v>2</v>
      </c>
      <c r="Q55" s="8">
        <f t="shared" si="12"/>
        <v>1</v>
      </c>
      <c r="R55" s="8">
        <f t="shared" si="13"/>
        <v>0</v>
      </c>
      <c r="S55" s="11">
        <f t="shared" si="14"/>
        <v>0.45</v>
      </c>
      <c r="T55" s="12">
        <f t="shared" si="15"/>
        <v>0.78947368421052633</v>
      </c>
      <c r="U55" s="13">
        <f t="shared" si="16"/>
        <v>0.37074016703263002</v>
      </c>
      <c r="V55" s="24">
        <v>-2</v>
      </c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spans="1:36" ht="15" x14ac:dyDescent="0.2">
      <c r="A56" s="1">
        <v>54</v>
      </c>
      <c r="B56" s="34">
        <v>45366</v>
      </c>
      <c r="C56" s="7" t="s">
        <v>20</v>
      </c>
      <c r="D56" s="8">
        <v>10</v>
      </c>
      <c r="E56" s="8" t="s">
        <v>21</v>
      </c>
      <c r="F56" s="8" t="s">
        <v>21</v>
      </c>
      <c r="G56" s="8" t="s">
        <v>21</v>
      </c>
      <c r="H56" s="8" t="s">
        <v>28</v>
      </c>
      <c r="I56" s="9">
        <v>-6.0000000000000001E-3</v>
      </c>
      <c r="J56" s="8">
        <v>2.6309999999999998</v>
      </c>
      <c r="K56" s="8">
        <v>2.7330000000000001</v>
      </c>
      <c r="L56" s="10">
        <f t="shared" si="0"/>
        <v>0.96267837541163548</v>
      </c>
      <c r="M56" s="14">
        <f t="shared" si="7"/>
        <v>1.0018328445747799</v>
      </c>
      <c r="N56" s="11">
        <f t="shared" si="17"/>
        <v>-2</v>
      </c>
      <c r="O56" s="8">
        <f t="shared" si="10"/>
        <v>0</v>
      </c>
      <c r="P56" s="8">
        <f t="shared" si="11"/>
        <v>0</v>
      </c>
      <c r="Q56" s="8">
        <f t="shared" si="12"/>
        <v>0</v>
      </c>
      <c r="R56" s="8">
        <f t="shared" si="13"/>
        <v>-2</v>
      </c>
      <c r="S56" s="11">
        <f t="shared" si="14"/>
        <v>-0.5</v>
      </c>
      <c r="T56" s="12">
        <f t="shared" si="15"/>
        <v>0.66666666666666663</v>
      </c>
      <c r="U56" s="13">
        <f t="shared" si="16"/>
        <v>-0.31061825472143817</v>
      </c>
      <c r="V56" s="24">
        <v>2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 spans="1:36" ht="15" x14ac:dyDescent="0.2">
      <c r="A57" s="1">
        <v>55</v>
      </c>
      <c r="B57" s="34">
        <v>45369</v>
      </c>
      <c r="C57" s="7" t="s">
        <v>27</v>
      </c>
      <c r="D57" s="8">
        <v>13</v>
      </c>
      <c r="E57" s="8" t="s">
        <v>21</v>
      </c>
      <c r="F57" s="8" t="s">
        <v>21</v>
      </c>
      <c r="G57" s="8" t="s">
        <v>22</v>
      </c>
      <c r="H57" s="8" t="s">
        <v>21</v>
      </c>
      <c r="I57" s="9">
        <v>1.2999999999999999E-3</v>
      </c>
      <c r="J57" s="8">
        <v>2.319</v>
      </c>
      <c r="K57" s="8">
        <v>2.7410000000000001</v>
      </c>
      <c r="L57" s="10">
        <f t="shared" si="0"/>
        <v>0.8460415906603429</v>
      </c>
      <c r="M57" s="14">
        <f t="shared" si="7"/>
        <v>1.0029271862422247</v>
      </c>
      <c r="N57" s="11">
        <f t="shared" si="17"/>
        <v>1</v>
      </c>
      <c r="O57" s="8">
        <f t="shared" si="10"/>
        <v>0</v>
      </c>
      <c r="P57" s="8">
        <f t="shared" si="11"/>
        <v>0</v>
      </c>
      <c r="Q57" s="8">
        <f t="shared" si="12"/>
        <v>1</v>
      </c>
      <c r="R57" s="8">
        <f t="shared" si="13"/>
        <v>0</v>
      </c>
      <c r="S57" s="11">
        <f t="shared" si="14"/>
        <v>0.45</v>
      </c>
      <c r="T57" s="12">
        <f t="shared" si="15"/>
        <v>1.3</v>
      </c>
      <c r="U57" s="13">
        <f t="shared" si="16"/>
        <v>0.4224229487154274</v>
      </c>
      <c r="V57" s="24">
        <v>-4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spans="1:36" ht="15" x14ac:dyDescent="0.2">
      <c r="A58" s="1">
        <v>56</v>
      </c>
      <c r="B58" s="34">
        <v>45370</v>
      </c>
      <c r="C58" s="7" t="s">
        <v>25</v>
      </c>
      <c r="D58" s="8">
        <v>9</v>
      </c>
      <c r="E58" s="8" t="s">
        <v>21</v>
      </c>
      <c r="F58" s="8" t="s">
        <v>21</v>
      </c>
      <c r="G58" s="8" t="s">
        <v>21</v>
      </c>
      <c r="H58" s="8" t="s">
        <v>28</v>
      </c>
      <c r="I58" s="9">
        <v>-6.6E-3</v>
      </c>
      <c r="J58" s="8">
        <v>1.7909999999999999</v>
      </c>
      <c r="K58" s="8">
        <v>2.6890000000000001</v>
      </c>
      <c r="L58" s="10">
        <f t="shared" si="0"/>
        <v>0.66604685756786908</v>
      </c>
      <c r="M58" s="14">
        <f t="shared" si="7"/>
        <v>0.9810288215979569</v>
      </c>
      <c r="N58" s="11">
        <f t="shared" si="17"/>
        <v>-1</v>
      </c>
      <c r="O58" s="8">
        <f t="shared" si="10"/>
        <v>0</v>
      </c>
      <c r="P58" s="8">
        <f t="shared" si="11"/>
        <v>0</v>
      </c>
      <c r="Q58" s="8">
        <f t="shared" si="12"/>
        <v>0</v>
      </c>
      <c r="R58" s="8">
        <f t="shared" si="13"/>
        <v>-2</v>
      </c>
      <c r="S58" s="11">
        <f t="shared" si="14"/>
        <v>-0.30000000000000004</v>
      </c>
      <c r="T58" s="12">
        <f t="shared" si="15"/>
        <v>0.69230769230769229</v>
      </c>
      <c r="U58" s="13">
        <f t="shared" si="16"/>
        <v>-8.6991191466117265E-2</v>
      </c>
      <c r="V58" s="24">
        <v>-4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spans="1:36" ht="15" x14ac:dyDescent="0.2">
      <c r="A59" s="1">
        <v>57</v>
      </c>
      <c r="B59" s="34">
        <v>45371</v>
      </c>
      <c r="C59" s="7" t="s">
        <v>25</v>
      </c>
      <c r="D59" s="8">
        <v>18</v>
      </c>
      <c r="E59" s="8" t="s">
        <v>21</v>
      </c>
      <c r="F59" s="8" t="s">
        <v>21</v>
      </c>
      <c r="G59" s="8" t="s">
        <v>22</v>
      </c>
      <c r="H59" s="8" t="s">
        <v>21</v>
      </c>
      <c r="I59" s="9">
        <v>-1E-4</v>
      </c>
      <c r="J59" s="8">
        <v>3.3</v>
      </c>
      <c r="K59" s="8">
        <v>2.6909999999999998</v>
      </c>
      <c r="L59" s="10">
        <f t="shared" si="0"/>
        <v>1.2263099219620959</v>
      </c>
      <c r="M59" s="14">
        <f t="shared" si="7"/>
        <v>1.0007437709185569</v>
      </c>
      <c r="N59" s="11">
        <f t="shared" si="17"/>
        <v>-1</v>
      </c>
      <c r="O59" s="8">
        <f t="shared" si="10"/>
        <v>0</v>
      </c>
      <c r="P59" s="8">
        <f t="shared" si="11"/>
        <v>0</v>
      </c>
      <c r="Q59" s="8">
        <f t="shared" si="12"/>
        <v>1</v>
      </c>
      <c r="R59" s="8">
        <f t="shared" si="13"/>
        <v>0</v>
      </c>
      <c r="S59" s="11">
        <f t="shared" si="14"/>
        <v>4.9999999999999989E-2</v>
      </c>
      <c r="T59" s="12">
        <f t="shared" si="15"/>
        <v>2</v>
      </c>
      <c r="U59" s="13">
        <f t="shared" si="16"/>
        <v>0.15071940495703096</v>
      </c>
      <c r="V59" s="24">
        <v>4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spans="1:36" ht="15" x14ac:dyDescent="0.2">
      <c r="A60" s="1">
        <v>58</v>
      </c>
      <c r="B60" s="34">
        <v>45372</v>
      </c>
      <c r="C60" s="7" t="s">
        <v>23</v>
      </c>
      <c r="D60" s="8">
        <v>10</v>
      </c>
      <c r="E60" s="8" t="s">
        <v>21</v>
      </c>
      <c r="F60" s="8" t="s">
        <v>21</v>
      </c>
      <c r="G60" s="8" t="s">
        <v>21</v>
      </c>
      <c r="H60" s="8" t="s">
        <v>24</v>
      </c>
      <c r="I60" s="9">
        <v>7.4000000000000003E-3</v>
      </c>
      <c r="J60" s="8">
        <v>2.3679999999999999</v>
      </c>
      <c r="K60" s="8">
        <v>2.6560000000000001</v>
      </c>
      <c r="L60" s="10">
        <f t="shared" si="0"/>
        <v>0.89156626506024084</v>
      </c>
      <c r="M60" s="14">
        <f t="shared" si="7"/>
        <v>0.98699368264585663</v>
      </c>
      <c r="N60" s="11">
        <f t="shared" si="17"/>
        <v>2</v>
      </c>
      <c r="O60" s="8">
        <f t="shared" si="10"/>
        <v>0</v>
      </c>
      <c r="P60" s="8">
        <f t="shared" si="11"/>
        <v>0</v>
      </c>
      <c r="Q60" s="8">
        <f t="shared" si="12"/>
        <v>0</v>
      </c>
      <c r="R60" s="8">
        <f t="shared" si="13"/>
        <v>2</v>
      </c>
      <c r="S60" s="11">
        <f t="shared" si="14"/>
        <v>0.5</v>
      </c>
      <c r="T60" s="12">
        <f t="shared" si="15"/>
        <v>0.55555555555555558</v>
      </c>
      <c r="U60" s="13">
        <f t="shared" si="16"/>
        <v>0.21229896296676667</v>
      </c>
      <c r="V60" s="24">
        <v>-2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36" ht="15" x14ac:dyDescent="0.2">
      <c r="A61" s="1">
        <v>59</v>
      </c>
      <c r="B61" s="34">
        <v>45373</v>
      </c>
      <c r="C61" s="7" t="s">
        <v>27</v>
      </c>
      <c r="D61" s="8">
        <v>7</v>
      </c>
      <c r="E61" s="8" t="s">
        <v>21</v>
      </c>
      <c r="F61" s="8" t="s">
        <v>21</v>
      </c>
      <c r="G61" s="8" t="s">
        <v>22</v>
      </c>
      <c r="H61" s="8" t="s">
        <v>21</v>
      </c>
      <c r="I61" s="9">
        <v>2.8999999999999998E-3</v>
      </c>
      <c r="J61" s="8">
        <v>2.0150000000000001</v>
      </c>
      <c r="K61" s="8">
        <v>2.609</v>
      </c>
      <c r="L61" s="10">
        <f t="shared" si="0"/>
        <v>0.7723265619011116</v>
      </c>
      <c r="M61" s="14">
        <f t="shared" si="7"/>
        <v>0.98230421686746983</v>
      </c>
      <c r="N61" s="11">
        <f t="shared" si="17"/>
        <v>1</v>
      </c>
      <c r="O61" s="8">
        <f t="shared" si="10"/>
        <v>0</v>
      </c>
      <c r="P61" s="8">
        <f t="shared" si="11"/>
        <v>0</v>
      </c>
      <c r="Q61" s="8">
        <f t="shared" si="12"/>
        <v>1</v>
      </c>
      <c r="R61" s="8">
        <f t="shared" si="13"/>
        <v>0</v>
      </c>
      <c r="S61" s="11">
        <f t="shared" si="14"/>
        <v>0.45</v>
      </c>
      <c r="T61" s="12">
        <f t="shared" si="15"/>
        <v>0.7</v>
      </c>
      <c r="U61" s="13">
        <f t="shared" si="16"/>
        <v>0.17809450581361277</v>
      </c>
      <c r="V61" s="24">
        <v>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1:36" ht="15" x14ac:dyDescent="0.2">
      <c r="A62" s="1">
        <v>60</v>
      </c>
      <c r="B62" s="34">
        <v>45377</v>
      </c>
      <c r="C62" s="7" t="s">
        <v>20</v>
      </c>
      <c r="D62" s="8">
        <v>5</v>
      </c>
      <c r="E62" s="8" t="s">
        <v>21</v>
      </c>
      <c r="F62" s="8" t="s">
        <v>21</v>
      </c>
      <c r="G62" s="8" t="s">
        <v>21</v>
      </c>
      <c r="H62" s="8" t="s">
        <v>28</v>
      </c>
      <c r="I62" s="9">
        <v>-4.7000000000000002E-3</v>
      </c>
      <c r="J62" s="8">
        <v>1.6259999999999999</v>
      </c>
      <c r="K62" s="8">
        <v>2.5710000000000002</v>
      </c>
      <c r="L62" s="10">
        <f t="shared" si="0"/>
        <v>0.6324387397899649</v>
      </c>
      <c r="M62" s="14">
        <f t="shared" si="7"/>
        <v>0.98543503257953247</v>
      </c>
      <c r="N62" s="11">
        <f t="shared" si="17"/>
        <v>-2</v>
      </c>
      <c r="O62" s="8">
        <f t="shared" si="10"/>
        <v>0</v>
      </c>
      <c r="P62" s="8">
        <f t="shared" si="11"/>
        <v>0</v>
      </c>
      <c r="Q62" s="8">
        <f t="shared" si="12"/>
        <v>0</v>
      </c>
      <c r="R62" s="8">
        <f t="shared" si="13"/>
        <v>-2</v>
      </c>
      <c r="S62" s="11">
        <f t="shared" si="14"/>
        <v>-0.5</v>
      </c>
      <c r="T62" s="12">
        <f t="shared" si="15"/>
        <v>0.7142857142857143</v>
      </c>
      <c r="U62" s="13">
        <f t="shared" si="16"/>
        <v>-0.13669822976591331</v>
      </c>
      <c r="V62" s="24">
        <v>-2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spans="1:36" ht="15" x14ac:dyDescent="0.2">
      <c r="A63" s="1">
        <v>61</v>
      </c>
      <c r="B63" s="34">
        <v>45378</v>
      </c>
      <c r="C63" s="7" t="s">
        <v>27</v>
      </c>
      <c r="D63" s="8">
        <v>6</v>
      </c>
      <c r="E63" s="8" t="s">
        <v>21</v>
      </c>
      <c r="F63" s="8" t="s">
        <v>21</v>
      </c>
      <c r="G63" s="8" t="s">
        <v>22</v>
      </c>
      <c r="H63" s="8" t="s">
        <v>21</v>
      </c>
      <c r="I63" s="9">
        <v>1.6000000000000001E-3</v>
      </c>
      <c r="J63" s="8">
        <v>1.9379999999999999</v>
      </c>
      <c r="K63" s="8">
        <v>2.3809999999999998</v>
      </c>
      <c r="L63" s="10">
        <f t="shared" si="0"/>
        <v>0.81394372112557756</v>
      </c>
      <c r="M63" s="14">
        <f t="shared" si="7"/>
        <v>0.92609879424348485</v>
      </c>
      <c r="N63" s="11">
        <f t="shared" si="17"/>
        <v>1</v>
      </c>
      <c r="O63" s="8">
        <f t="shared" si="10"/>
        <v>0</v>
      </c>
      <c r="P63" s="8">
        <f t="shared" si="11"/>
        <v>0</v>
      </c>
      <c r="Q63" s="8">
        <f t="shared" si="12"/>
        <v>1</v>
      </c>
      <c r="R63" s="8">
        <f t="shared" si="13"/>
        <v>0</v>
      </c>
      <c r="S63" s="11">
        <f t="shared" si="14"/>
        <v>0.45</v>
      </c>
      <c r="T63" s="12">
        <f t="shared" si="15"/>
        <v>1.2</v>
      </c>
      <c r="U63" s="13">
        <f t="shared" si="16"/>
        <v>0.28415445590639726</v>
      </c>
      <c r="V63" s="24">
        <v>0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spans="1:36" ht="15" x14ac:dyDescent="0.2">
      <c r="A64" s="1">
        <v>62</v>
      </c>
      <c r="B64" s="34">
        <v>45379</v>
      </c>
      <c r="C64" s="7" t="s">
        <v>23</v>
      </c>
      <c r="D64" s="8">
        <v>10</v>
      </c>
      <c r="E64" s="8" t="s">
        <v>21</v>
      </c>
      <c r="F64" s="8" t="s">
        <v>21</v>
      </c>
      <c r="G64" s="8" t="s">
        <v>24</v>
      </c>
      <c r="H64" s="8" t="s">
        <v>24</v>
      </c>
      <c r="I64" s="9">
        <v>1.5699999999999999E-2</v>
      </c>
      <c r="J64" s="8">
        <v>2.8759999999999999</v>
      </c>
      <c r="K64" s="8">
        <v>2.5329999999999999</v>
      </c>
      <c r="L64" s="10">
        <f t="shared" si="0"/>
        <v>1.1354125542834583</v>
      </c>
      <c r="M64" s="14">
        <f t="shared" si="7"/>
        <v>1.0638387232255355</v>
      </c>
      <c r="N64" s="11">
        <f t="shared" si="17"/>
        <v>2</v>
      </c>
      <c r="O64" s="8">
        <f t="shared" si="10"/>
        <v>0</v>
      </c>
      <c r="P64" s="8">
        <f t="shared" si="11"/>
        <v>0</v>
      </c>
      <c r="Q64" s="8">
        <f t="shared" si="12"/>
        <v>2</v>
      </c>
      <c r="R64" s="8">
        <f t="shared" si="13"/>
        <v>2</v>
      </c>
      <c r="S64" s="11">
        <f t="shared" si="14"/>
        <v>1</v>
      </c>
      <c r="T64" s="12">
        <f t="shared" si="15"/>
        <v>1.6666666666666667</v>
      </c>
      <c r="U64" s="13">
        <f t="shared" si="16"/>
        <v>2.586923086490323</v>
      </c>
      <c r="V64" s="24">
        <v>8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ht="15" x14ac:dyDescent="0.2">
      <c r="A65" s="1">
        <v>63</v>
      </c>
      <c r="B65" s="34">
        <v>45383</v>
      </c>
      <c r="C65" s="7" t="s">
        <v>23</v>
      </c>
      <c r="D65" s="8">
        <v>4</v>
      </c>
      <c r="E65" s="8" t="s">
        <v>21</v>
      </c>
      <c r="F65" s="8" t="s">
        <v>21</v>
      </c>
      <c r="G65" s="8" t="s">
        <v>24</v>
      </c>
      <c r="H65" s="8" t="s">
        <v>24</v>
      </c>
      <c r="I65" s="9">
        <v>7.9000000000000008E-3</v>
      </c>
      <c r="J65" s="8">
        <v>2.8879999999999999</v>
      </c>
      <c r="K65" s="8">
        <v>2.5529999999999999</v>
      </c>
      <c r="L65" s="10">
        <f t="shared" si="0"/>
        <v>1.1312181746964356</v>
      </c>
      <c r="M65" s="14">
        <f t="shared" si="7"/>
        <v>1.0078957757599685</v>
      </c>
      <c r="N65" s="11">
        <f t="shared" si="17"/>
        <v>2</v>
      </c>
      <c r="O65" s="8">
        <f t="shared" si="10"/>
        <v>0</v>
      </c>
      <c r="P65" s="8">
        <f t="shared" si="11"/>
        <v>0</v>
      </c>
      <c r="Q65" s="8">
        <f t="shared" si="12"/>
        <v>2</v>
      </c>
      <c r="R65" s="8">
        <f t="shared" si="13"/>
        <v>2</v>
      </c>
      <c r="S65" s="11">
        <f t="shared" si="14"/>
        <v>1</v>
      </c>
      <c r="T65" s="12">
        <f t="shared" si="15"/>
        <v>0.4</v>
      </c>
      <c r="U65" s="13">
        <f t="shared" si="16"/>
        <v>0.52408244743114696</v>
      </c>
      <c r="V65" s="24">
        <v>2</v>
      </c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ht="15" x14ac:dyDescent="0.2">
      <c r="A66" s="1">
        <v>64</v>
      </c>
      <c r="B66" s="34">
        <v>45384</v>
      </c>
      <c r="C66" s="7" t="s">
        <v>27</v>
      </c>
      <c r="D66" s="8">
        <v>6</v>
      </c>
      <c r="E66" s="8" t="s">
        <v>21</v>
      </c>
      <c r="F66" s="8" t="s">
        <v>21</v>
      </c>
      <c r="G66" s="8" t="s">
        <v>22</v>
      </c>
      <c r="H66" s="8" t="s">
        <v>21</v>
      </c>
      <c r="I66" s="9">
        <v>-2.9999999999999997E-4</v>
      </c>
      <c r="J66" s="8">
        <v>1.542</v>
      </c>
      <c r="K66" s="8">
        <v>2.4580000000000002</v>
      </c>
      <c r="L66" s="10">
        <f t="shared" si="0"/>
        <v>0.62733930024410089</v>
      </c>
      <c r="M66" s="14">
        <f t="shared" si="7"/>
        <v>0.96278887583235417</v>
      </c>
      <c r="N66" s="11">
        <f t="shared" si="17"/>
        <v>1</v>
      </c>
      <c r="O66" s="8">
        <f t="shared" si="10"/>
        <v>0</v>
      </c>
      <c r="P66" s="8">
        <f t="shared" si="11"/>
        <v>0</v>
      </c>
      <c r="Q66" s="8">
        <f t="shared" si="12"/>
        <v>1</v>
      </c>
      <c r="R66" s="8">
        <f t="shared" si="13"/>
        <v>0</v>
      </c>
      <c r="S66" s="11">
        <f t="shared" si="14"/>
        <v>0.45</v>
      </c>
      <c r="T66" s="12">
        <f t="shared" si="15"/>
        <v>1.5</v>
      </c>
      <c r="U66" s="13">
        <f t="shared" si="16"/>
        <v>0.23708384086959033</v>
      </c>
      <c r="V66" s="24">
        <v>-2</v>
      </c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spans="1:36" ht="15" x14ac:dyDescent="0.2">
      <c r="A67" s="1">
        <v>65</v>
      </c>
      <c r="B67" s="34">
        <v>45385</v>
      </c>
      <c r="C67" s="7" t="s">
        <v>25</v>
      </c>
      <c r="D67" s="8">
        <v>8</v>
      </c>
      <c r="E67" s="8" t="s">
        <v>21</v>
      </c>
      <c r="F67" s="8" t="s">
        <v>21</v>
      </c>
      <c r="G67" s="8" t="s">
        <v>21</v>
      </c>
      <c r="H67" s="8" t="s">
        <v>21</v>
      </c>
      <c r="I67" s="9">
        <v>5.0000000000000001E-4</v>
      </c>
      <c r="J67" s="8">
        <v>1.7310000000000001</v>
      </c>
      <c r="K67" s="8">
        <v>2.528</v>
      </c>
      <c r="L67" s="10">
        <f t="shared" ref="L67:L130" si="18">J67/K67</f>
        <v>0.68473101265822789</v>
      </c>
      <c r="M67" s="14">
        <f t="shared" si="7"/>
        <v>1.0284784377542717</v>
      </c>
      <c r="N67" s="11">
        <f t="shared" si="17"/>
        <v>-1</v>
      </c>
      <c r="O67" s="8">
        <f t="shared" si="10"/>
        <v>0</v>
      </c>
      <c r="P67" s="8">
        <f t="shared" si="11"/>
        <v>0</v>
      </c>
      <c r="Q67" s="8">
        <f t="shared" si="12"/>
        <v>0</v>
      </c>
      <c r="R67" s="8">
        <f t="shared" si="13"/>
        <v>0</v>
      </c>
      <c r="S67" s="11">
        <f t="shared" si="14"/>
        <v>-0.2</v>
      </c>
      <c r="T67" s="12">
        <f t="shared" si="15"/>
        <v>1.3333333333333333</v>
      </c>
      <c r="U67" s="13">
        <f t="shared" si="16"/>
        <v>-0.13601734770299215</v>
      </c>
      <c r="V67" s="24">
        <v>12</v>
      </c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spans="1:36" ht="15" x14ac:dyDescent="0.2">
      <c r="A68" s="1">
        <v>66</v>
      </c>
      <c r="B68" s="34">
        <v>45386</v>
      </c>
      <c r="C68" s="7" t="s">
        <v>23</v>
      </c>
      <c r="D68" s="8">
        <v>8</v>
      </c>
      <c r="E68" s="8" t="s">
        <v>21</v>
      </c>
      <c r="F68" s="8" t="s">
        <v>21</v>
      </c>
      <c r="G68" s="8" t="s">
        <v>21</v>
      </c>
      <c r="H68" s="8" t="s">
        <v>24</v>
      </c>
      <c r="I68" s="9">
        <v>6.4000000000000003E-3</v>
      </c>
      <c r="J68" s="8">
        <v>2.4049999999999998</v>
      </c>
      <c r="K68" s="8">
        <v>2.5510000000000002</v>
      </c>
      <c r="L68" s="10">
        <f t="shared" si="18"/>
        <v>0.94276754214033698</v>
      </c>
      <c r="M68" s="14">
        <f t="shared" ref="M68:M131" si="19">K68/K67</f>
        <v>1.0090981012658229</v>
      </c>
      <c r="N68" s="11">
        <f t="shared" si="17"/>
        <v>2</v>
      </c>
      <c r="O68" s="8">
        <f t="shared" si="10"/>
        <v>0</v>
      </c>
      <c r="P68" s="8">
        <f t="shared" si="11"/>
        <v>0</v>
      </c>
      <c r="Q68" s="8">
        <f t="shared" si="12"/>
        <v>0</v>
      </c>
      <c r="R68" s="8">
        <f t="shared" si="13"/>
        <v>2</v>
      </c>
      <c r="S68" s="11">
        <f t="shared" si="14"/>
        <v>0.5</v>
      </c>
      <c r="T68" s="12">
        <f t="shared" si="15"/>
        <v>1</v>
      </c>
      <c r="U68" s="13">
        <f t="shared" si="16"/>
        <v>0.45664574527742219</v>
      </c>
      <c r="V68" s="24">
        <v>10</v>
      </c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ht="15" x14ac:dyDescent="0.2">
      <c r="A69" s="1">
        <v>67</v>
      </c>
      <c r="B69" s="34">
        <v>45387</v>
      </c>
      <c r="C69" s="7" t="s">
        <v>27</v>
      </c>
      <c r="D69" s="8">
        <v>14</v>
      </c>
      <c r="E69" s="8" t="s">
        <v>21</v>
      </c>
      <c r="F69" s="8" t="s">
        <v>24</v>
      </c>
      <c r="G69" s="8" t="s">
        <v>24</v>
      </c>
      <c r="H69" s="8" t="s">
        <v>21</v>
      </c>
      <c r="I69" s="9">
        <v>1.04E-2</v>
      </c>
      <c r="J69" s="8">
        <v>2.0960000000000001</v>
      </c>
      <c r="K69" s="8">
        <v>2.5449999999999999</v>
      </c>
      <c r="L69" s="10">
        <f t="shared" si="18"/>
        <v>0.82357563850687632</v>
      </c>
      <c r="M69" s="14">
        <f t="shared" si="19"/>
        <v>0.99764798118384934</v>
      </c>
      <c r="N69" s="11">
        <f t="shared" si="17"/>
        <v>1</v>
      </c>
      <c r="O69" s="8">
        <f t="shared" si="10"/>
        <v>0</v>
      </c>
      <c r="P69" s="8">
        <f t="shared" si="11"/>
        <v>2</v>
      </c>
      <c r="Q69" s="8">
        <f t="shared" si="12"/>
        <v>2</v>
      </c>
      <c r="R69" s="8">
        <f t="shared" si="13"/>
        <v>0</v>
      </c>
      <c r="S69" s="11">
        <f t="shared" si="14"/>
        <v>1.1000000000000001</v>
      </c>
      <c r="T69" s="12">
        <f t="shared" si="15"/>
        <v>1.75</v>
      </c>
      <c r="U69" s="13">
        <f t="shared" si="16"/>
        <v>1.2964915820916691</v>
      </c>
      <c r="V69" s="24">
        <v>14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 spans="1:36" thickBot="1" x14ac:dyDescent="0.25">
      <c r="A70" s="1">
        <v>68</v>
      </c>
      <c r="B70" s="34">
        <v>45390</v>
      </c>
      <c r="C70" s="7" t="s">
        <v>23</v>
      </c>
      <c r="D70" s="8">
        <v>6</v>
      </c>
      <c r="E70" s="8" t="s">
        <v>21</v>
      </c>
      <c r="F70" s="8" t="s">
        <v>21</v>
      </c>
      <c r="G70" s="8" t="s">
        <v>21</v>
      </c>
      <c r="H70" s="8" t="s">
        <v>21</v>
      </c>
      <c r="I70" s="9">
        <v>1E-3</v>
      </c>
      <c r="J70" s="8">
        <v>1.3420000000000001</v>
      </c>
      <c r="K70" s="8">
        <v>2.4279999999999999</v>
      </c>
      <c r="L70" s="10">
        <f t="shared" si="18"/>
        <v>0.55271828665568379</v>
      </c>
      <c r="M70" s="14">
        <f t="shared" si="19"/>
        <v>0.95402750491159138</v>
      </c>
      <c r="N70" s="11">
        <f t="shared" si="17"/>
        <v>2</v>
      </c>
      <c r="O70" s="8">
        <f t="shared" si="10"/>
        <v>0</v>
      </c>
      <c r="P70" s="8">
        <f t="shared" si="11"/>
        <v>0</v>
      </c>
      <c r="Q70" s="8">
        <f t="shared" si="12"/>
        <v>0</v>
      </c>
      <c r="R70" s="8">
        <f t="shared" si="13"/>
        <v>0</v>
      </c>
      <c r="S70" s="11">
        <f t="shared" si="14"/>
        <v>0.4</v>
      </c>
      <c r="T70" s="12">
        <f t="shared" si="15"/>
        <v>0.42857142857142855</v>
      </c>
      <c r="U70" s="13">
        <f t="shared" si="16"/>
        <v>4.5475089249566621E-2</v>
      </c>
      <c r="V70" s="24">
        <v>6</v>
      </c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thickBot="1" x14ac:dyDescent="0.25">
      <c r="A71" s="1">
        <v>69</v>
      </c>
      <c r="B71" s="33">
        <v>45391</v>
      </c>
      <c r="C71" s="18" t="s">
        <v>23</v>
      </c>
      <c r="D71" s="19">
        <v>11</v>
      </c>
      <c r="E71" s="19" t="s">
        <v>21</v>
      </c>
      <c r="F71" s="19" t="s">
        <v>21</v>
      </c>
      <c r="G71" s="19" t="s">
        <v>24</v>
      </c>
      <c r="H71" s="18" t="s">
        <v>24</v>
      </c>
      <c r="I71" s="20">
        <v>2.5999999999999999E-3</v>
      </c>
      <c r="J71" s="19">
        <v>1.8819999999999999</v>
      </c>
      <c r="K71" s="19">
        <v>2.42</v>
      </c>
      <c r="L71" s="10">
        <f t="shared" si="18"/>
        <v>0.77768595041322308</v>
      </c>
      <c r="M71" s="14">
        <f t="shared" si="19"/>
        <v>0.99670510708401971</v>
      </c>
      <c r="N71" s="11">
        <f t="shared" si="17"/>
        <v>2</v>
      </c>
      <c r="O71" s="8">
        <f t="shared" ref="O71:O93" si="20">IF(E71="IS", -2, IF(E71="--", 0, IF(E71="IB", 2, "")))</f>
        <v>0</v>
      </c>
      <c r="P71" s="8">
        <f t="shared" ref="P71:P92" si="21">IF(F71="IS", -2, IF(F71="RS", -1, IF(F71="--", 0, IF(F71="IB", 2, IF(F71="RB", 1, "")))))</f>
        <v>0</v>
      </c>
      <c r="Q71" s="8">
        <f t="shared" ref="Q71:Q92" si="22">IF(G71="IS", -2, IF(G71="RS", -1, IF(G71="--", 0, IF(G71="IB", 2, IF(G71="RB", 1, "")))))</f>
        <v>2</v>
      </c>
      <c r="R71" s="8">
        <f t="shared" ref="R71:R92" si="23">IF(H71="IS", -2, IF(H71="RS", -1, IF(H71="--", 0, IF(H71="IB", 2, IF(H71="RB", 1, "")))))</f>
        <v>2</v>
      </c>
      <c r="S71" s="11">
        <f t="shared" ref="S71:S92" si="24">O71*0.3 + P71*0.2 + Q71*0.25 + N71*0.2 + R71*0.05</f>
        <v>1</v>
      </c>
      <c r="T71" s="12">
        <f t="shared" ref="T71:T92" si="25">D71/D70</f>
        <v>1.8333333333333333</v>
      </c>
      <c r="U71" s="13">
        <f t="shared" ref="U71:U92" si="26">S71*L71*L71*T71*M71*M71*M71</f>
        <v>1.0978676587741805</v>
      </c>
      <c r="V71" s="24">
        <v>0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1:36" thickBot="1" x14ac:dyDescent="0.25">
      <c r="A72" s="1">
        <v>70</v>
      </c>
      <c r="B72" s="33">
        <v>45392</v>
      </c>
      <c r="C72" s="18" t="s">
        <v>29</v>
      </c>
      <c r="D72" s="19">
        <v>5</v>
      </c>
      <c r="E72" s="19" t="s">
        <v>21</v>
      </c>
      <c r="F72" s="19" t="s">
        <v>21</v>
      </c>
      <c r="G72" s="19" t="s">
        <v>24</v>
      </c>
      <c r="H72" s="18" t="s">
        <v>24</v>
      </c>
      <c r="I72" s="20">
        <v>3.8E-3</v>
      </c>
      <c r="J72" s="19">
        <v>1.7629999999999999</v>
      </c>
      <c r="K72" s="19">
        <v>2.395</v>
      </c>
      <c r="L72" s="10">
        <f t="shared" si="18"/>
        <v>0.73611691022964509</v>
      </c>
      <c r="M72" s="14">
        <f t="shared" si="19"/>
        <v>0.9896694214876034</v>
      </c>
      <c r="N72" s="11">
        <f t="shared" si="17"/>
        <v>0</v>
      </c>
      <c r="O72" s="8">
        <f t="shared" si="20"/>
        <v>0</v>
      </c>
      <c r="P72" s="8">
        <f t="shared" si="21"/>
        <v>0</v>
      </c>
      <c r="Q72" s="8">
        <f t="shared" si="22"/>
        <v>2</v>
      </c>
      <c r="R72" s="8">
        <f t="shared" si="23"/>
        <v>2</v>
      </c>
      <c r="S72" s="11">
        <f t="shared" si="24"/>
        <v>0.6</v>
      </c>
      <c r="T72" s="12">
        <f t="shared" si="25"/>
        <v>0.45454545454545453</v>
      </c>
      <c r="U72" s="13">
        <f t="shared" si="26"/>
        <v>0.14324933481237478</v>
      </c>
      <c r="V72" s="24">
        <v>6</v>
      </c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spans="1:36" thickBot="1" x14ac:dyDescent="0.25">
      <c r="A73" s="1">
        <v>71</v>
      </c>
      <c r="B73" s="33">
        <v>45394</v>
      </c>
      <c r="C73" s="18" t="s">
        <v>20</v>
      </c>
      <c r="D73" s="19">
        <v>5</v>
      </c>
      <c r="E73" s="19" t="s">
        <v>21</v>
      </c>
      <c r="F73" s="19" t="s">
        <v>21</v>
      </c>
      <c r="G73" s="19" t="s">
        <v>28</v>
      </c>
      <c r="H73" s="18" t="s">
        <v>28</v>
      </c>
      <c r="I73" s="20">
        <v>-6.4000000000000003E-3</v>
      </c>
      <c r="J73" s="19">
        <v>1.7290000000000001</v>
      </c>
      <c r="K73" s="19">
        <v>2.2949999999999999</v>
      </c>
      <c r="L73" s="10">
        <f t="shared" si="18"/>
        <v>0.75337690631808285</v>
      </c>
      <c r="M73" s="14">
        <f t="shared" si="19"/>
        <v>0.95824634655532359</v>
      </c>
      <c r="N73" s="11">
        <f t="shared" si="17"/>
        <v>-2</v>
      </c>
      <c r="O73" s="8">
        <f t="shared" si="20"/>
        <v>0</v>
      </c>
      <c r="P73" s="8">
        <f t="shared" si="21"/>
        <v>0</v>
      </c>
      <c r="Q73" s="8">
        <f t="shared" si="22"/>
        <v>-2</v>
      </c>
      <c r="R73" s="8">
        <f t="shared" si="23"/>
        <v>-2</v>
      </c>
      <c r="S73" s="11">
        <f t="shared" si="24"/>
        <v>-1</v>
      </c>
      <c r="T73" s="12">
        <f t="shared" si="25"/>
        <v>1</v>
      </c>
      <c r="U73" s="13">
        <f t="shared" si="26"/>
        <v>-0.49940872232821398</v>
      </c>
      <c r="V73" s="24">
        <v>-2</v>
      </c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spans="1:36" thickBot="1" x14ac:dyDescent="0.25">
      <c r="A74" s="1">
        <v>72</v>
      </c>
      <c r="B74" s="33">
        <v>45397</v>
      </c>
      <c r="C74" s="18" t="s">
        <v>20</v>
      </c>
      <c r="D74" s="19">
        <v>17</v>
      </c>
      <c r="E74" s="19" t="s">
        <v>21</v>
      </c>
      <c r="F74" s="19" t="s">
        <v>21</v>
      </c>
      <c r="G74" s="19" t="s">
        <v>22</v>
      </c>
      <c r="H74" s="18" t="s">
        <v>28</v>
      </c>
      <c r="I74" s="20">
        <v>-1.7299999999999999E-2</v>
      </c>
      <c r="J74" s="19">
        <v>2.2229999999999999</v>
      </c>
      <c r="K74" s="19">
        <v>2.254</v>
      </c>
      <c r="L74" s="10">
        <f t="shared" si="18"/>
        <v>0.98624667258207621</v>
      </c>
      <c r="M74" s="14">
        <f t="shared" si="19"/>
        <v>0.98213507625272334</v>
      </c>
      <c r="N74" s="11">
        <f t="shared" si="17"/>
        <v>-2</v>
      </c>
      <c r="O74" s="8">
        <f t="shared" si="20"/>
        <v>0</v>
      </c>
      <c r="P74" s="8">
        <f t="shared" si="21"/>
        <v>0</v>
      </c>
      <c r="Q74" s="8">
        <f t="shared" si="22"/>
        <v>1</v>
      </c>
      <c r="R74" s="8">
        <f t="shared" si="23"/>
        <v>-2</v>
      </c>
      <c r="S74" s="11">
        <f t="shared" si="24"/>
        <v>-0.25</v>
      </c>
      <c r="T74" s="12">
        <f t="shared" si="25"/>
        <v>3.4</v>
      </c>
      <c r="U74" s="13">
        <f t="shared" si="26"/>
        <v>-0.78325593290329909</v>
      </c>
      <c r="V74" s="24">
        <v>-4</v>
      </c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thickBot="1" x14ac:dyDescent="0.25">
      <c r="A75" s="1">
        <v>73</v>
      </c>
      <c r="B75" s="33">
        <v>45398</v>
      </c>
      <c r="C75" s="18" t="s">
        <v>20</v>
      </c>
      <c r="D75" s="19">
        <v>6</v>
      </c>
      <c r="E75" s="19" t="s">
        <v>21</v>
      </c>
      <c r="F75" s="19" t="s">
        <v>21</v>
      </c>
      <c r="G75" s="19" t="s">
        <v>22</v>
      </c>
      <c r="H75" s="18" t="s">
        <v>28</v>
      </c>
      <c r="I75" s="20">
        <v>-3.8999999999999998E-3</v>
      </c>
      <c r="J75" s="19">
        <v>1.6970000000000001</v>
      </c>
      <c r="K75" s="19">
        <v>2.2109999999999999</v>
      </c>
      <c r="L75" s="10">
        <f t="shared" si="18"/>
        <v>0.76752600633197654</v>
      </c>
      <c r="M75" s="14">
        <f t="shared" si="19"/>
        <v>0.9809228039041703</v>
      </c>
      <c r="N75" s="11">
        <f t="shared" si="17"/>
        <v>-2</v>
      </c>
      <c r="O75" s="8">
        <f t="shared" si="20"/>
        <v>0</v>
      </c>
      <c r="P75" s="8">
        <f t="shared" si="21"/>
        <v>0</v>
      </c>
      <c r="Q75" s="8">
        <f t="shared" si="22"/>
        <v>1</v>
      </c>
      <c r="R75" s="8">
        <f t="shared" si="23"/>
        <v>-2</v>
      </c>
      <c r="S75" s="11">
        <f t="shared" si="24"/>
        <v>-0.25</v>
      </c>
      <c r="T75" s="12">
        <f t="shared" si="25"/>
        <v>0.35294117647058826</v>
      </c>
      <c r="U75" s="13">
        <f t="shared" si="26"/>
        <v>-4.9060619716611208E-2</v>
      </c>
      <c r="V75" s="24">
        <v>0</v>
      </c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1:36" thickBot="1" x14ac:dyDescent="0.25">
      <c r="A76" s="1">
        <v>74</v>
      </c>
      <c r="B76" s="33">
        <v>45400</v>
      </c>
      <c r="C76" s="18" t="s">
        <v>25</v>
      </c>
      <c r="D76" s="19">
        <v>23</v>
      </c>
      <c r="E76" s="19" t="s">
        <v>21</v>
      </c>
      <c r="F76" s="19" t="s">
        <v>28</v>
      </c>
      <c r="G76" s="19" t="s">
        <v>26</v>
      </c>
      <c r="H76" s="18" t="s">
        <v>21</v>
      </c>
      <c r="I76" s="20">
        <v>-9.4000000000000004E-3</v>
      </c>
      <c r="J76" s="19">
        <v>2.641</v>
      </c>
      <c r="K76" s="19">
        <v>2.2120000000000002</v>
      </c>
      <c r="L76" s="10">
        <f t="shared" si="18"/>
        <v>1.1939421338155514</v>
      </c>
      <c r="M76" s="14">
        <f t="shared" si="19"/>
        <v>1.0004522840343737</v>
      </c>
      <c r="N76" s="11">
        <f t="shared" si="17"/>
        <v>-1</v>
      </c>
      <c r="O76" s="8">
        <f t="shared" si="20"/>
        <v>0</v>
      </c>
      <c r="P76" s="8">
        <f t="shared" si="21"/>
        <v>-2</v>
      </c>
      <c r="Q76" s="8">
        <f t="shared" si="22"/>
        <v>-1</v>
      </c>
      <c r="R76" s="8">
        <f t="shared" si="23"/>
        <v>0</v>
      </c>
      <c r="S76" s="11">
        <f t="shared" si="24"/>
        <v>-0.85000000000000009</v>
      </c>
      <c r="T76" s="12">
        <f t="shared" si="25"/>
        <v>3.8333333333333335</v>
      </c>
      <c r="U76" s="13">
        <f t="shared" si="26"/>
        <v>-4.65105214556257</v>
      </c>
      <c r="V76" s="24">
        <v>-6</v>
      </c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thickBot="1" x14ac:dyDescent="0.25">
      <c r="A77" s="1">
        <v>75</v>
      </c>
      <c r="B77" s="33">
        <v>45401</v>
      </c>
      <c r="C77" s="18" t="s">
        <v>25</v>
      </c>
      <c r="D77" s="19">
        <v>27</v>
      </c>
      <c r="E77" s="19" t="s">
        <v>24</v>
      </c>
      <c r="F77" s="19" t="s">
        <v>24</v>
      </c>
      <c r="G77" s="19" t="s">
        <v>22</v>
      </c>
      <c r="H77" s="18" t="s">
        <v>21</v>
      </c>
      <c r="I77" s="20">
        <v>9.7000000000000003E-3</v>
      </c>
      <c r="J77" s="19">
        <v>2.7570000000000001</v>
      </c>
      <c r="K77" s="19">
        <v>2.2360000000000002</v>
      </c>
      <c r="L77" s="10">
        <f t="shared" si="18"/>
        <v>1.2330053667262968</v>
      </c>
      <c r="M77" s="14">
        <f t="shared" si="19"/>
        <v>1.0108499095840868</v>
      </c>
      <c r="N77" s="11">
        <f t="shared" si="17"/>
        <v>-1</v>
      </c>
      <c r="O77" s="8">
        <f t="shared" si="20"/>
        <v>2</v>
      </c>
      <c r="P77" s="8">
        <f t="shared" si="21"/>
        <v>2</v>
      </c>
      <c r="Q77" s="8">
        <f t="shared" si="22"/>
        <v>1</v>
      </c>
      <c r="R77" s="8">
        <f t="shared" si="23"/>
        <v>0</v>
      </c>
      <c r="S77" s="11">
        <f t="shared" si="24"/>
        <v>1.05</v>
      </c>
      <c r="T77" s="12">
        <f t="shared" si="25"/>
        <v>1.173913043478261</v>
      </c>
      <c r="U77" s="13">
        <f t="shared" si="26"/>
        <v>1.9355981160881957</v>
      </c>
      <c r="V77" s="24">
        <v>6</v>
      </c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thickBot="1" x14ac:dyDescent="0.25">
      <c r="A78" s="1">
        <v>76</v>
      </c>
      <c r="B78" s="33">
        <v>45404</v>
      </c>
      <c r="C78" s="18" t="s">
        <v>23</v>
      </c>
      <c r="D78" s="19">
        <v>9</v>
      </c>
      <c r="E78" s="19" t="s">
        <v>21</v>
      </c>
      <c r="F78" s="19" t="s">
        <v>21</v>
      </c>
      <c r="G78" s="19" t="s">
        <v>24</v>
      </c>
      <c r="H78" s="18" t="s">
        <v>24</v>
      </c>
      <c r="I78" s="20">
        <v>8.8000000000000005E-3</v>
      </c>
      <c r="J78" s="19">
        <v>2.1920000000000002</v>
      </c>
      <c r="K78" s="19">
        <v>2.2519999999999998</v>
      </c>
      <c r="L78" s="10">
        <f t="shared" si="18"/>
        <v>0.97335701598579061</v>
      </c>
      <c r="M78" s="14">
        <f t="shared" si="19"/>
        <v>1.0071556350626116</v>
      </c>
      <c r="N78" s="11">
        <f t="shared" si="17"/>
        <v>2</v>
      </c>
      <c r="O78" s="8">
        <f t="shared" si="20"/>
        <v>0</v>
      </c>
      <c r="P78" s="8">
        <f t="shared" si="21"/>
        <v>0</v>
      </c>
      <c r="Q78" s="8">
        <f t="shared" si="22"/>
        <v>2</v>
      </c>
      <c r="R78" s="8">
        <f t="shared" si="23"/>
        <v>2</v>
      </c>
      <c r="S78" s="11">
        <f t="shared" si="24"/>
        <v>1</v>
      </c>
      <c r="T78" s="12">
        <f t="shared" si="25"/>
        <v>0.33333333333333331</v>
      </c>
      <c r="U78" s="13">
        <f t="shared" si="26"/>
        <v>0.3226360064898266</v>
      </c>
      <c r="V78" s="24">
        <v>4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1:36" thickBot="1" x14ac:dyDescent="0.25">
      <c r="A79" s="1">
        <v>77</v>
      </c>
      <c r="B79" s="33">
        <v>45405</v>
      </c>
      <c r="C79" s="18" t="s">
        <v>23</v>
      </c>
      <c r="D79" s="19">
        <v>5</v>
      </c>
      <c r="E79" s="19" t="s">
        <v>21</v>
      </c>
      <c r="F79" s="19" t="s">
        <v>21</v>
      </c>
      <c r="G79" s="19" t="s">
        <v>26</v>
      </c>
      <c r="H79" s="18" t="s">
        <v>21</v>
      </c>
      <c r="I79" s="20">
        <v>1E-4</v>
      </c>
      <c r="J79" s="19">
        <v>1.448</v>
      </c>
      <c r="K79" s="19">
        <v>2.1560000000000001</v>
      </c>
      <c r="L79" s="10">
        <f t="shared" si="18"/>
        <v>0.6716141001855287</v>
      </c>
      <c r="M79" s="14">
        <f t="shared" si="19"/>
        <v>0.95737122557726484</v>
      </c>
      <c r="N79" s="11">
        <f t="shared" si="17"/>
        <v>2</v>
      </c>
      <c r="O79" s="8">
        <f t="shared" si="20"/>
        <v>0</v>
      </c>
      <c r="P79" s="8">
        <f t="shared" si="21"/>
        <v>0</v>
      </c>
      <c r="Q79" s="8">
        <f t="shared" si="22"/>
        <v>-1</v>
      </c>
      <c r="R79" s="8">
        <f t="shared" si="23"/>
        <v>0</v>
      </c>
      <c r="S79" s="11">
        <f t="shared" si="24"/>
        <v>0.15000000000000002</v>
      </c>
      <c r="T79" s="12">
        <f t="shared" si="25"/>
        <v>0.55555555555555558</v>
      </c>
      <c r="U79" s="13">
        <f t="shared" si="26"/>
        <v>3.2983707892713786E-2</v>
      </c>
      <c r="V79" s="24">
        <v>-4</v>
      </c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 spans="1:36" thickBot="1" x14ac:dyDescent="0.25">
      <c r="A80" s="1">
        <v>78</v>
      </c>
      <c r="B80" s="33">
        <v>45406</v>
      </c>
      <c r="C80" s="18" t="s">
        <v>23</v>
      </c>
      <c r="D80" s="19">
        <v>5</v>
      </c>
      <c r="E80" s="19" t="s">
        <v>21</v>
      </c>
      <c r="F80" s="19" t="s">
        <v>21</v>
      </c>
      <c r="G80" s="19" t="s">
        <v>24</v>
      </c>
      <c r="H80" s="18" t="s">
        <v>24</v>
      </c>
      <c r="I80" s="20">
        <v>4.1000000000000003E-3</v>
      </c>
      <c r="J80" s="19">
        <v>1.4690000000000001</v>
      </c>
      <c r="K80" s="19">
        <v>2.11</v>
      </c>
      <c r="L80" s="10">
        <f t="shared" si="18"/>
        <v>0.69620853080568723</v>
      </c>
      <c r="M80" s="14">
        <f t="shared" si="19"/>
        <v>0.97866419294990714</v>
      </c>
      <c r="N80" s="11">
        <f t="shared" si="17"/>
        <v>2</v>
      </c>
      <c r="O80" s="8">
        <f t="shared" si="20"/>
        <v>0</v>
      </c>
      <c r="P80" s="8">
        <f t="shared" si="21"/>
        <v>0</v>
      </c>
      <c r="Q80" s="8">
        <f t="shared" si="22"/>
        <v>2</v>
      </c>
      <c r="R80" s="8">
        <f t="shared" si="23"/>
        <v>2</v>
      </c>
      <c r="S80" s="11">
        <f t="shared" si="24"/>
        <v>1</v>
      </c>
      <c r="T80" s="12">
        <f t="shared" si="25"/>
        <v>1</v>
      </c>
      <c r="U80" s="13">
        <f t="shared" si="26"/>
        <v>0.45433874842145106</v>
      </c>
      <c r="V80" s="24">
        <v>4</v>
      </c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spans="1:36" thickBot="1" x14ac:dyDescent="0.25">
      <c r="A81" s="1">
        <v>79</v>
      </c>
      <c r="B81" s="33">
        <v>45407</v>
      </c>
      <c r="C81" s="18" t="s">
        <v>23</v>
      </c>
      <c r="D81" s="19">
        <v>16</v>
      </c>
      <c r="E81" s="19" t="s">
        <v>21</v>
      </c>
      <c r="F81" s="19" t="s">
        <v>21</v>
      </c>
      <c r="G81" s="19" t="s">
        <v>24</v>
      </c>
      <c r="H81" s="18" t="s">
        <v>24</v>
      </c>
      <c r="I81" s="20">
        <v>9.1999999999999998E-3</v>
      </c>
      <c r="J81" s="19">
        <v>2.2040000000000002</v>
      </c>
      <c r="K81" s="19">
        <v>2.12</v>
      </c>
      <c r="L81" s="10">
        <f t="shared" si="18"/>
        <v>1.0396226415094341</v>
      </c>
      <c r="M81" s="14">
        <f t="shared" si="19"/>
        <v>1.0047393364928912</v>
      </c>
      <c r="N81" s="11">
        <f t="shared" si="17"/>
        <v>2</v>
      </c>
      <c r="O81" s="8">
        <f t="shared" si="20"/>
        <v>0</v>
      </c>
      <c r="P81" s="8">
        <f t="shared" si="21"/>
        <v>0</v>
      </c>
      <c r="Q81" s="8">
        <f t="shared" si="22"/>
        <v>2</v>
      </c>
      <c r="R81" s="8">
        <f t="shared" si="23"/>
        <v>2</v>
      </c>
      <c r="S81" s="11">
        <f t="shared" si="24"/>
        <v>1</v>
      </c>
      <c r="T81" s="12">
        <f t="shared" si="25"/>
        <v>3.2</v>
      </c>
      <c r="U81" s="13">
        <f t="shared" si="26"/>
        <v>3.5080167124923554</v>
      </c>
      <c r="V81" s="24">
        <v>6</v>
      </c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spans="1:36" thickBot="1" x14ac:dyDescent="0.25">
      <c r="A82" s="1">
        <v>80</v>
      </c>
      <c r="B82" s="33">
        <v>45408</v>
      </c>
      <c r="C82" s="18" t="s">
        <v>27</v>
      </c>
      <c r="D82" s="19">
        <v>10</v>
      </c>
      <c r="E82" s="19" t="s">
        <v>21</v>
      </c>
      <c r="F82" s="19" t="s">
        <v>28</v>
      </c>
      <c r="G82" s="19" t="s">
        <v>21</v>
      </c>
      <c r="H82" s="18" t="s">
        <v>21</v>
      </c>
      <c r="I82" s="20">
        <v>-5.7000000000000002E-3</v>
      </c>
      <c r="J82" s="19">
        <v>1.8240000000000001</v>
      </c>
      <c r="K82" s="19">
        <v>2.125</v>
      </c>
      <c r="L82" s="10">
        <f t="shared" si="18"/>
        <v>0.85835294117647065</v>
      </c>
      <c r="M82" s="14">
        <f t="shared" si="19"/>
        <v>1.0023584905660377</v>
      </c>
      <c r="N82" s="11">
        <f t="shared" si="17"/>
        <v>1</v>
      </c>
      <c r="O82" s="8">
        <f t="shared" si="20"/>
        <v>0</v>
      </c>
      <c r="P82" s="8">
        <f t="shared" si="21"/>
        <v>-2</v>
      </c>
      <c r="Q82" s="8">
        <f t="shared" si="22"/>
        <v>0</v>
      </c>
      <c r="R82" s="8">
        <f t="shared" si="23"/>
        <v>0</v>
      </c>
      <c r="S82" s="11">
        <f t="shared" si="24"/>
        <v>-0.2</v>
      </c>
      <c r="T82" s="12">
        <f t="shared" si="25"/>
        <v>0.625</v>
      </c>
      <c r="U82" s="13">
        <f t="shared" si="26"/>
        <v>-9.2749383719446257E-2</v>
      </c>
      <c r="V82" s="24">
        <v>-2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spans="1:36" thickBot="1" x14ac:dyDescent="0.25">
      <c r="A83" s="1">
        <v>81</v>
      </c>
      <c r="B83" s="33">
        <v>45411</v>
      </c>
      <c r="C83" s="18" t="s">
        <v>23</v>
      </c>
      <c r="D83" s="19">
        <v>31</v>
      </c>
      <c r="E83" s="19" t="s">
        <v>24</v>
      </c>
      <c r="F83" s="19" t="s">
        <v>24</v>
      </c>
      <c r="G83" s="19" t="s">
        <v>24</v>
      </c>
      <c r="H83" s="18" t="s">
        <v>24</v>
      </c>
      <c r="I83" s="20">
        <v>2.4299999999999999E-2</v>
      </c>
      <c r="J83" s="19">
        <v>3.1339999999999999</v>
      </c>
      <c r="K83" s="19">
        <v>2.177</v>
      </c>
      <c r="L83" s="10">
        <f t="shared" si="18"/>
        <v>1.4395957740009186</v>
      </c>
      <c r="M83" s="14">
        <f t="shared" si="19"/>
        <v>1.0244705882352942</v>
      </c>
      <c r="N83" s="11">
        <f t="shared" si="17"/>
        <v>2</v>
      </c>
      <c r="O83" s="8">
        <f t="shared" si="20"/>
        <v>2</v>
      </c>
      <c r="P83" s="8">
        <f t="shared" si="21"/>
        <v>2</v>
      </c>
      <c r="Q83" s="8">
        <f t="shared" si="22"/>
        <v>2</v>
      </c>
      <c r="R83" s="8">
        <f t="shared" si="23"/>
        <v>2</v>
      </c>
      <c r="S83" s="11">
        <f t="shared" si="24"/>
        <v>2</v>
      </c>
      <c r="T83" s="12">
        <f t="shared" si="25"/>
        <v>3.1</v>
      </c>
      <c r="U83" s="13">
        <f t="shared" si="26"/>
        <v>13.815649274205743</v>
      </c>
      <c r="V83" s="24">
        <v>14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spans="1:36" thickBot="1" x14ac:dyDescent="0.25">
      <c r="A84" s="1">
        <v>82</v>
      </c>
      <c r="B84" s="33">
        <v>45412</v>
      </c>
      <c r="C84" s="18" t="s">
        <v>27</v>
      </c>
      <c r="D84" s="19">
        <v>10</v>
      </c>
      <c r="E84" s="19" t="s">
        <v>21</v>
      </c>
      <c r="F84" s="19" t="s">
        <v>24</v>
      </c>
      <c r="G84" s="19" t="s">
        <v>21</v>
      </c>
      <c r="H84" s="18" t="s">
        <v>21</v>
      </c>
      <c r="I84" s="20">
        <v>-2.8E-3</v>
      </c>
      <c r="J84" s="19">
        <v>3.3860000000000001</v>
      </c>
      <c r="K84" s="19">
        <v>2.202</v>
      </c>
      <c r="L84" s="10">
        <f t="shared" si="18"/>
        <v>1.5376930063578567</v>
      </c>
      <c r="M84" s="14">
        <f t="shared" si="19"/>
        <v>1.0114836931557187</v>
      </c>
      <c r="N84" s="11">
        <f t="shared" si="17"/>
        <v>1</v>
      </c>
      <c r="O84" s="8">
        <f t="shared" si="20"/>
        <v>0</v>
      </c>
      <c r="P84" s="8">
        <f t="shared" si="21"/>
        <v>2</v>
      </c>
      <c r="Q84" s="8">
        <f t="shared" si="22"/>
        <v>0</v>
      </c>
      <c r="R84" s="8">
        <f t="shared" si="23"/>
        <v>0</v>
      </c>
      <c r="S84" s="11">
        <f t="shared" si="24"/>
        <v>0.60000000000000009</v>
      </c>
      <c r="T84" s="12">
        <f t="shared" si="25"/>
        <v>0.32258064516129031</v>
      </c>
      <c r="U84" s="13">
        <f t="shared" si="26"/>
        <v>0.47359323662371217</v>
      </c>
      <c r="V84" s="24">
        <v>-4</v>
      </c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1:36" thickBot="1" x14ac:dyDescent="0.25">
      <c r="A85" s="1">
        <v>83</v>
      </c>
      <c r="B85" s="33">
        <v>45414</v>
      </c>
      <c r="C85" s="18" t="s">
        <v>25</v>
      </c>
      <c r="D85" s="19">
        <v>7</v>
      </c>
      <c r="E85" s="19" t="s">
        <v>21</v>
      </c>
      <c r="F85" s="19" t="s">
        <v>21</v>
      </c>
      <c r="G85" s="19" t="s">
        <v>22</v>
      </c>
      <c r="H85" s="18" t="s">
        <v>21</v>
      </c>
      <c r="I85" s="20">
        <v>-1.9E-3</v>
      </c>
      <c r="J85" s="19">
        <v>1.583</v>
      </c>
      <c r="K85" s="19">
        <v>2.1360000000000001</v>
      </c>
      <c r="L85" s="10">
        <f t="shared" si="18"/>
        <v>0.74110486891385763</v>
      </c>
      <c r="M85" s="14">
        <f t="shared" si="19"/>
        <v>0.97002724795640338</v>
      </c>
      <c r="N85" s="11">
        <f t="shared" si="17"/>
        <v>-1</v>
      </c>
      <c r="O85" s="8">
        <f t="shared" si="20"/>
        <v>0</v>
      </c>
      <c r="P85" s="8">
        <f t="shared" si="21"/>
        <v>0</v>
      </c>
      <c r="Q85" s="8">
        <f t="shared" si="22"/>
        <v>1</v>
      </c>
      <c r="R85" s="8">
        <f t="shared" si="23"/>
        <v>0</v>
      </c>
      <c r="S85" s="11">
        <f t="shared" si="24"/>
        <v>4.9999999999999989E-2</v>
      </c>
      <c r="T85" s="12">
        <f t="shared" si="25"/>
        <v>0.7</v>
      </c>
      <c r="U85" s="13">
        <f t="shared" si="26"/>
        <v>1.7546042562742857E-2</v>
      </c>
      <c r="V85" s="24">
        <v>2</v>
      </c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1:36" thickBot="1" x14ac:dyDescent="0.25">
      <c r="A86" s="1">
        <v>84</v>
      </c>
      <c r="B86" s="33">
        <v>45415</v>
      </c>
      <c r="C86" s="18" t="s">
        <v>25</v>
      </c>
      <c r="D86" s="19">
        <v>15</v>
      </c>
      <c r="E86" s="19" t="s">
        <v>28</v>
      </c>
      <c r="F86" s="19" t="s">
        <v>28</v>
      </c>
      <c r="G86" s="19" t="s">
        <v>21</v>
      </c>
      <c r="H86" s="18" t="s">
        <v>21</v>
      </c>
      <c r="I86" s="20">
        <v>-6.7999999999999996E-3</v>
      </c>
      <c r="J86" s="19">
        <v>2.8330000000000002</v>
      </c>
      <c r="K86" s="19">
        <v>2.202</v>
      </c>
      <c r="L86" s="10">
        <f t="shared" si="18"/>
        <v>1.2865576748410537</v>
      </c>
      <c r="M86" s="14">
        <f t="shared" si="19"/>
        <v>1.0308988764044944</v>
      </c>
      <c r="N86" s="11">
        <f t="shared" si="17"/>
        <v>-1</v>
      </c>
      <c r="O86" s="8">
        <f t="shared" si="20"/>
        <v>-2</v>
      </c>
      <c r="P86" s="8">
        <f t="shared" si="21"/>
        <v>-2</v>
      </c>
      <c r="Q86" s="8">
        <f t="shared" si="22"/>
        <v>0</v>
      </c>
      <c r="R86" s="8">
        <f t="shared" si="23"/>
        <v>0</v>
      </c>
      <c r="S86" s="11">
        <f t="shared" si="24"/>
        <v>-1.2</v>
      </c>
      <c r="T86" s="12">
        <f t="shared" si="25"/>
        <v>2.1428571428571428</v>
      </c>
      <c r="U86" s="13">
        <f t="shared" si="26"/>
        <v>-4.6631693059628967</v>
      </c>
      <c r="V86" s="24">
        <v>-3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thickBot="1" x14ac:dyDescent="0.25">
      <c r="A87" s="1">
        <v>85</v>
      </c>
      <c r="B87" s="33">
        <v>45418</v>
      </c>
      <c r="C87" s="18" t="s">
        <v>29</v>
      </c>
      <c r="D87" s="19">
        <v>12</v>
      </c>
      <c r="E87" s="19" t="s">
        <v>21</v>
      </c>
      <c r="F87" s="19" t="s">
        <v>21</v>
      </c>
      <c r="G87" s="19" t="s">
        <v>22</v>
      </c>
      <c r="H87" s="18" t="s">
        <v>21</v>
      </c>
      <c r="I87" s="20">
        <v>-6.9999999999999999E-4</v>
      </c>
      <c r="J87" s="19">
        <v>2.194</v>
      </c>
      <c r="K87" s="19">
        <v>2.218</v>
      </c>
      <c r="L87" s="10">
        <f t="shared" si="18"/>
        <v>0.98917944093778176</v>
      </c>
      <c r="M87" s="14">
        <f t="shared" si="19"/>
        <v>1.0072661217075387</v>
      </c>
      <c r="N87" s="11">
        <f t="shared" si="17"/>
        <v>0</v>
      </c>
      <c r="O87" s="8">
        <f t="shared" si="20"/>
        <v>0</v>
      </c>
      <c r="P87" s="8">
        <f t="shared" si="21"/>
        <v>0</v>
      </c>
      <c r="Q87" s="8">
        <f t="shared" si="22"/>
        <v>1</v>
      </c>
      <c r="R87" s="8">
        <f t="shared" si="23"/>
        <v>0</v>
      </c>
      <c r="S87" s="11">
        <f t="shared" si="24"/>
        <v>0.25</v>
      </c>
      <c r="T87" s="12">
        <f t="shared" si="25"/>
        <v>0.8</v>
      </c>
      <c r="U87" s="13">
        <f t="shared" si="26"/>
        <v>0.19999209970259846</v>
      </c>
      <c r="V87" s="24">
        <v>-4</v>
      </c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spans="1:36" thickBot="1" x14ac:dyDescent="0.25">
      <c r="A88" s="1">
        <v>86</v>
      </c>
      <c r="B88" s="33">
        <v>45419</v>
      </c>
      <c r="C88" s="18" t="s">
        <v>20</v>
      </c>
      <c r="D88" s="19">
        <v>13</v>
      </c>
      <c r="E88" s="19" t="s">
        <v>28</v>
      </c>
      <c r="F88" s="19" t="s">
        <v>21</v>
      </c>
      <c r="G88" s="19" t="s">
        <v>28</v>
      </c>
      <c r="H88" s="18" t="s">
        <v>28</v>
      </c>
      <c r="I88" s="20">
        <v>-1.3899999999999999E-2</v>
      </c>
      <c r="J88" s="19">
        <v>2.5760000000000001</v>
      </c>
      <c r="K88" s="19">
        <v>2.2229999999999999</v>
      </c>
      <c r="L88" s="10">
        <f t="shared" si="18"/>
        <v>1.1587944219523167</v>
      </c>
      <c r="M88" s="14">
        <f t="shared" si="19"/>
        <v>1.0022542831379622</v>
      </c>
      <c r="N88" s="11">
        <f t="shared" si="17"/>
        <v>-2</v>
      </c>
      <c r="O88" s="8">
        <f t="shared" si="20"/>
        <v>-2</v>
      </c>
      <c r="P88" s="8">
        <f t="shared" si="21"/>
        <v>0</v>
      </c>
      <c r="Q88" s="8">
        <f t="shared" si="22"/>
        <v>-2</v>
      </c>
      <c r="R88" s="8">
        <f t="shared" si="23"/>
        <v>-2</v>
      </c>
      <c r="S88" s="11">
        <f t="shared" si="24"/>
        <v>-1.6</v>
      </c>
      <c r="T88" s="12">
        <f t="shared" si="25"/>
        <v>1.0833333333333333</v>
      </c>
      <c r="U88" s="13">
        <f t="shared" si="26"/>
        <v>-2.3433040522693722</v>
      </c>
      <c r="V88" s="24">
        <v>-10</v>
      </c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1:36" thickBot="1" x14ac:dyDescent="0.25">
      <c r="A89" s="1">
        <v>87</v>
      </c>
      <c r="B89" s="33">
        <v>45420</v>
      </c>
      <c r="C89" s="18" t="s">
        <v>25</v>
      </c>
      <c r="D89" s="19">
        <v>7</v>
      </c>
      <c r="E89" s="19" t="s">
        <v>21</v>
      </c>
      <c r="F89" s="19" t="s">
        <v>28</v>
      </c>
      <c r="G89" s="19" t="s">
        <v>22</v>
      </c>
      <c r="H89" s="18" t="s">
        <v>28</v>
      </c>
      <c r="I89" s="20">
        <v>-3.7000000000000002E-3</v>
      </c>
      <c r="J89" s="19">
        <v>2.2290000000000001</v>
      </c>
      <c r="K89" s="19">
        <v>2.222</v>
      </c>
      <c r="L89" s="10">
        <f t="shared" si="18"/>
        <v>1.0031503150315031</v>
      </c>
      <c r="M89" s="14">
        <f t="shared" si="19"/>
        <v>0.99955015744489428</v>
      </c>
      <c r="N89" s="11">
        <f t="shared" si="17"/>
        <v>-1</v>
      </c>
      <c r="O89" s="8">
        <f t="shared" si="20"/>
        <v>0</v>
      </c>
      <c r="P89" s="8">
        <f t="shared" si="21"/>
        <v>-2</v>
      </c>
      <c r="Q89" s="8">
        <f t="shared" si="22"/>
        <v>1</v>
      </c>
      <c r="R89" s="8">
        <f t="shared" si="23"/>
        <v>-2</v>
      </c>
      <c r="S89" s="11">
        <f t="shared" si="24"/>
        <v>-0.45000000000000007</v>
      </c>
      <c r="T89" s="12">
        <f t="shared" si="25"/>
        <v>0.53846153846153844</v>
      </c>
      <c r="U89" s="13">
        <f t="shared" si="26"/>
        <v>-0.24350787173084648</v>
      </c>
      <c r="V89" s="24">
        <v>2</v>
      </c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spans="1:36" thickBot="1" x14ac:dyDescent="0.25">
      <c r="A90" s="1">
        <v>88</v>
      </c>
      <c r="B90" s="33">
        <v>45421</v>
      </c>
      <c r="C90" s="18" t="s">
        <v>20</v>
      </c>
      <c r="D90" s="19">
        <v>14</v>
      </c>
      <c r="E90" s="19" t="s">
        <v>28</v>
      </c>
      <c r="F90" s="19" t="s">
        <v>28</v>
      </c>
      <c r="G90" s="19" t="s">
        <v>28</v>
      </c>
      <c r="H90" s="18" t="s">
        <v>21</v>
      </c>
      <c r="I90" s="20">
        <v>-1.0800000000000001E-2</v>
      </c>
      <c r="J90" s="19">
        <v>2.4020000000000001</v>
      </c>
      <c r="K90" s="19">
        <v>2.2799999999999998</v>
      </c>
      <c r="L90" s="10">
        <f t="shared" si="18"/>
        <v>1.0535087719298246</v>
      </c>
      <c r="M90" s="14">
        <f t="shared" si="19"/>
        <v>1.026102610261026</v>
      </c>
      <c r="N90" s="11">
        <f t="shared" si="17"/>
        <v>-2</v>
      </c>
      <c r="O90" s="8">
        <f t="shared" si="20"/>
        <v>-2</v>
      </c>
      <c r="P90" s="8">
        <f t="shared" si="21"/>
        <v>-2</v>
      </c>
      <c r="Q90" s="8">
        <f t="shared" si="22"/>
        <v>-2</v>
      </c>
      <c r="R90" s="8">
        <f t="shared" si="23"/>
        <v>0</v>
      </c>
      <c r="S90" s="11">
        <f t="shared" si="24"/>
        <v>-1.9</v>
      </c>
      <c r="T90" s="12">
        <f t="shared" si="25"/>
        <v>2</v>
      </c>
      <c r="U90" s="13">
        <f t="shared" si="26"/>
        <v>-4.5565095614056901</v>
      </c>
      <c r="V90" s="24">
        <v>-11</v>
      </c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thickBot="1" x14ac:dyDescent="0.25">
      <c r="A91" s="1">
        <v>89</v>
      </c>
      <c r="B91" s="33">
        <v>45422</v>
      </c>
      <c r="C91" s="18" t="s">
        <v>25</v>
      </c>
      <c r="D91" s="19">
        <v>14</v>
      </c>
      <c r="E91" s="19" t="s">
        <v>21</v>
      </c>
      <c r="F91" s="19" t="s">
        <v>21</v>
      </c>
      <c r="G91" s="19" t="s">
        <v>21</v>
      </c>
      <c r="H91" s="18" t="s">
        <v>21</v>
      </c>
      <c r="I91" s="20">
        <v>-1.1999999999999999E-3</v>
      </c>
      <c r="J91" s="19">
        <v>2.0259999999999998</v>
      </c>
      <c r="K91" s="19">
        <v>2.2879999999999998</v>
      </c>
      <c r="L91" s="10">
        <f t="shared" si="18"/>
        <v>0.88548951048951052</v>
      </c>
      <c r="M91" s="14">
        <f t="shared" si="19"/>
        <v>1.0035087719298246</v>
      </c>
      <c r="N91" s="11">
        <f t="shared" si="17"/>
        <v>-1</v>
      </c>
      <c r="O91" s="8">
        <f t="shared" si="20"/>
        <v>0</v>
      </c>
      <c r="P91" s="8">
        <f t="shared" si="21"/>
        <v>0</v>
      </c>
      <c r="Q91" s="8">
        <f t="shared" si="22"/>
        <v>0</v>
      </c>
      <c r="R91" s="8">
        <f t="shared" si="23"/>
        <v>0</v>
      </c>
      <c r="S91" s="11">
        <f t="shared" si="24"/>
        <v>-0.2</v>
      </c>
      <c r="T91" s="12">
        <f t="shared" si="25"/>
        <v>1</v>
      </c>
      <c r="U91" s="13">
        <f t="shared" si="26"/>
        <v>-0.1584748527212152</v>
      </c>
      <c r="V91" s="24">
        <v>-4</v>
      </c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spans="1:36" thickBot="1" x14ac:dyDescent="0.25">
      <c r="A92" s="1">
        <v>90</v>
      </c>
      <c r="B92" s="33">
        <v>45425</v>
      </c>
      <c r="C92" s="18" t="s">
        <v>25</v>
      </c>
      <c r="D92" s="19">
        <v>20</v>
      </c>
      <c r="E92" s="19" t="s">
        <v>24</v>
      </c>
      <c r="F92" s="19" t="s">
        <v>24</v>
      </c>
      <c r="G92" s="19" t="s">
        <v>22</v>
      </c>
      <c r="H92" s="18" t="s">
        <v>21</v>
      </c>
      <c r="I92" s="20">
        <v>7.7999999999999996E-3</v>
      </c>
      <c r="J92" s="22">
        <v>2.7869999999999999</v>
      </c>
      <c r="K92" s="19">
        <v>2.3319999999999999</v>
      </c>
      <c r="L92" s="10">
        <f t="shared" si="18"/>
        <v>1.1951114922813038</v>
      </c>
      <c r="M92" s="14">
        <f t="shared" si="19"/>
        <v>1.0192307692307692</v>
      </c>
      <c r="N92" s="11">
        <f t="shared" si="17"/>
        <v>-1</v>
      </c>
      <c r="O92" s="8">
        <f t="shared" si="20"/>
        <v>2</v>
      </c>
      <c r="P92" s="8">
        <f t="shared" si="21"/>
        <v>2</v>
      </c>
      <c r="Q92" s="8">
        <f t="shared" si="22"/>
        <v>1</v>
      </c>
      <c r="R92" s="8">
        <f t="shared" si="23"/>
        <v>0</v>
      </c>
      <c r="S92" s="11">
        <f t="shared" si="24"/>
        <v>1.05</v>
      </c>
      <c r="T92" s="12">
        <f t="shared" si="25"/>
        <v>1.4285714285714286</v>
      </c>
      <c r="U92" s="13">
        <f t="shared" si="26"/>
        <v>2.2684315670146322</v>
      </c>
      <c r="V92" s="24">
        <v>8</v>
      </c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spans="1:36" ht="15" x14ac:dyDescent="0.2">
      <c r="A93" s="1">
        <v>91</v>
      </c>
      <c r="B93" s="34">
        <v>45426</v>
      </c>
      <c r="C93" s="7" t="s">
        <v>23</v>
      </c>
      <c r="D93" s="8">
        <v>7</v>
      </c>
      <c r="E93" s="8" t="s">
        <v>21</v>
      </c>
      <c r="F93" s="8" t="s">
        <v>21</v>
      </c>
      <c r="G93" s="8" t="s">
        <v>26</v>
      </c>
      <c r="H93" s="8" t="s">
        <v>21</v>
      </c>
      <c r="I93" s="9">
        <v>1.9E-3</v>
      </c>
      <c r="J93" s="23">
        <v>1.6140000000000001</v>
      </c>
      <c r="K93" s="23">
        <v>2.3260000000000001</v>
      </c>
      <c r="L93" s="10">
        <f t="shared" si="18"/>
        <v>0.69389509888220124</v>
      </c>
      <c r="M93" s="14">
        <f t="shared" si="19"/>
        <v>0.99742710120068623</v>
      </c>
      <c r="N93" s="11">
        <f t="shared" si="17"/>
        <v>2</v>
      </c>
      <c r="O93" s="8">
        <f t="shared" si="20"/>
        <v>0</v>
      </c>
      <c r="P93" s="8">
        <f t="shared" ref="P93:P94" si="27">IF(F93="IS", -2, IF(F93="RS", -1, IF(F93="--", 0, IF(F93="IB", 2, IF(F93="RB", 1, "")))))</f>
        <v>0</v>
      </c>
      <c r="Q93" s="8">
        <f t="shared" ref="Q93:Q94" si="28">IF(G93="IS", -2, IF(G93="RS", -1, IF(G93="--", 0, IF(G93="IB", 2, IF(G93="RB", 1, "")))))</f>
        <v>-1</v>
      </c>
      <c r="R93" s="8">
        <f t="shared" ref="R93:R94" si="29">IF(H93="IS", -2, IF(H93="RS", -1, IF(H93="--", 0, IF(H93="IB", 2, IF(H93="RB", 1, "")))))</f>
        <v>0</v>
      </c>
      <c r="S93" s="11">
        <f t="shared" ref="S93:S94" si="30">O93*0.3 + P93*0.2 + Q93*0.25 + N93*0.2 + R93*0.05</f>
        <v>0.15000000000000002</v>
      </c>
      <c r="T93" s="12">
        <f t="shared" ref="T93:T94" si="31">D93/D92</f>
        <v>0.35</v>
      </c>
      <c r="U93" s="13">
        <f t="shared" ref="U93:U94" si="32">S93*L93*L93*T93*M93*M93*M93</f>
        <v>2.5083632904468016E-2</v>
      </c>
      <c r="V93" s="24">
        <v>6</v>
      </c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spans="1:36" ht="15" x14ac:dyDescent="0.2">
      <c r="A94" s="1">
        <v>92</v>
      </c>
      <c r="B94" s="34">
        <v>45427</v>
      </c>
      <c r="C94" s="7" t="s">
        <v>25</v>
      </c>
      <c r="D94" s="8">
        <v>9</v>
      </c>
      <c r="E94" s="8" t="s">
        <v>21</v>
      </c>
      <c r="F94" s="8" t="s">
        <v>21</v>
      </c>
      <c r="G94" s="8" t="s">
        <v>21</v>
      </c>
      <c r="H94" s="8" t="s">
        <v>28</v>
      </c>
      <c r="I94" s="9">
        <v>-3.8999999999999998E-3</v>
      </c>
      <c r="J94" s="23">
        <v>1.8580000000000001</v>
      </c>
      <c r="K94" s="23">
        <v>2.3090000000000002</v>
      </c>
      <c r="L94" s="10">
        <f t="shared" si="18"/>
        <v>0.80467734950194891</v>
      </c>
      <c r="M94" s="14">
        <f t="shared" si="19"/>
        <v>0.99269131556319867</v>
      </c>
      <c r="N94" s="11">
        <f t="shared" ref="N94:N105" si="33">IF(C94="L", -2, IF(C94="OL", -1, IF(C94="H", 2, IF(C94="OH", 1, IF(C94="O", 0, "")))))</f>
        <v>-1</v>
      </c>
      <c r="O94" s="8">
        <f t="shared" ref="O94:O105" si="34">IF(E94="IS", -2, IF(E94="--", 0, IF(E94="IB", 2, "")))</f>
        <v>0</v>
      </c>
      <c r="P94" s="8">
        <f t="shared" si="27"/>
        <v>0</v>
      </c>
      <c r="Q94" s="8">
        <f t="shared" si="28"/>
        <v>0</v>
      </c>
      <c r="R94" s="8">
        <f t="shared" si="29"/>
        <v>-2</v>
      </c>
      <c r="S94" s="11">
        <f t="shared" si="30"/>
        <v>-0.30000000000000004</v>
      </c>
      <c r="T94" s="12">
        <f t="shared" si="31"/>
        <v>1.2857142857142858</v>
      </c>
      <c r="U94" s="13">
        <f t="shared" si="32"/>
        <v>-0.24431602014097861</v>
      </c>
      <c r="V94" s="24">
        <v>-4</v>
      </c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ht="15" x14ac:dyDescent="0.2">
      <c r="A95" s="1">
        <v>93</v>
      </c>
      <c r="B95" s="34">
        <v>45428</v>
      </c>
      <c r="C95" s="7" t="s">
        <v>25</v>
      </c>
      <c r="D95" s="8">
        <v>20</v>
      </c>
      <c r="E95" s="8" t="s">
        <v>21</v>
      </c>
      <c r="F95" s="8" t="s">
        <v>28</v>
      </c>
      <c r="G95" s="8" t="s">
        <v>22</v>
      </c>
      <c r="H95" s="8" t="s">
        <v>21</v>
      </c>
      <c r="I95" s="9">
        <v>3.8999999999999998E-3</v>
      </c>
      <c r="J95" s="23">
        <v>3.306</v>
      </c>
      <c r="K95" s="23">
        <v>2.3879999999999999</v>
      </c>
      <c r="L95" s="10">
        <f t="shared" si="18"/>
        <v>1.3844221105527639</v>
      </c>
      <c r="M95" s="14">
        <f t="shared" si="19"/>
        <v>1.0342139454309223</v>
      </c>
      <c r="N95" s="11">
        <f t="shared" si="33"/>
        <v>-1</v>
      </c>
      <c r="O95" s="8">
        <f t="shared" si="34"/>
        <v>0</v>
      </c>
      <c r="P95" s="8">
        <f t="shared" ref="P95:P106" si="35">IF(F95="IS", -2, IF(F95="RS", -1, IF(F95="--", 0, IF(F95="IB", 2, IF(F95="RB", 1, "")))))</f>
        <v>-2</v>
      </c>
      <c r="Q95" s="8">
        <f t="shared" ref="Q95:Q106" si="36">IF(G95="IS", -2, IF(G95="RS", -1, IF(G95="--", 0, IF(G95="IB", 2, IF(G95="RB", 1, "")))))</f>
        <v>1</v>
      </c>
      <c r="R95" s="8">
        <f t="shared" ref="R95:R106" si="37">IF(H95="IS", -2, IF(H95="RS", -1, IF(H95="--", 0, IF(H95="IB", 2, IF(H95="RB", 1, "")))))</f>
        <v>0</v>
      </c>
      <c r="S95" s="11">
        <f t="shared" ref="S95:S106" si="38">O95*0.3 + P95*0.2 + Q95*0.25 + N95*0.2 + R95*0.05</f>
        <v>-0.35000000000000003</v>
      </c>
      <c r="T95" s="12">
        <f t="shared" ref="T95:T106" si="39">D95/D94</f>
        <v>2.2222222222222223</v>
      </c>
      <c r="U95" s="13">
        <f t="shared" ref="U95:U106" si="40">S95*L95*L95*T95*M95*M95*M95</f>
        <v>-1.649011759642331</v>
      </c>
      <c r="V95" s="24">
        <v>2</v>
      </c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spans="1:36" ht="15" x14ac:dyDescent="0.2">
      <c r="A96" s="1">
        <v>94</v>
      </c>
      <c r="B96" s="34">
        <v>45429</v>
      </c>
      <c r="C96" s="7" t="s">
        <v>23</v>
      </c>
      <c r="D96" s="8">
        <v>7</v>
      </c>
      <c r="E96" s="8" t="s">
        <v>21</v>
      </c>
      <c r="F96" s="8" t="s">
        <v>21</v>
      </c>
      <c r="G96" s="8" t="s">
        <v>26</v>
      </c>
      <c r="H96" s="8" t="s">
        <v>21</v>
      </c>
      <c r="I96" s="9">
        <v>2.8999999999999998E-3</v>
      </c>
      <c r="J96" s="23">
        <v>1.6459999999999999</v>
      </c>
      <c r="K96" s="23">
        <v>2.3330000000000002</v>
      </c>
      <c r="L96" s="10">
        <f t="shared" si="18"/>
        <v>0.70552936133733379</v>
      </c>
      <c r="M96" s="14">
        <f t="shared" si="19"/>
        <v>0.97696817420435522</v>
      </c>
      <c r="N96" s="11">
        <f t="shared" si="33"/>
        <v>2</v>
      </c>
      <c r="O96" s="8">
        <f t="shared" si="34"/>
        <v>0</v>
      </c>
      <c r="P96" s="8">
        <f t="shared" si="35"/>
        <v>0</v>
      </c>
      <c r="Q96" s="8">
        <f t="shared" si="36"/>
        <v>-1</v>
      </c>
      <c r="R96" s="8">
        <f t="shared" si="37"/>
        <v>0</v>
      </c>
      <c r="S96" s="11">
        <f t="shared" si="38"/>
        <v>0.15000000000000002</v>
      </c>
      <c r="T96" s="12">
        <f t="shared" si="39"/>
        <v>0.35</v>
      </c>
      <c r="U96" s="13">
        <f t="shared" si="40"/>
        <v>2.4368608827531876E-2</v>
      </c>
      <c r="V96" s="24">
        <v>4</v>
      </c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1:36" ht="15" x14ac:dyDescent="0.2">
      <c r="A97" s="1">
        <v>95</v>
      </c>
      <c r="B97" s="34">
        <v>45433</v>
      </c>
      <c r="C97" s="7" t="s">
        <v>27</v>
      </c>
      <c r="D97" s="8">
        <v>8</v>
      </c>
      <c r="E97" s="8" t="s">
        <v>21</v>
      </c>
      <c r="F97" s="8" t="s">
        <v>21</v>
      </c>
      <c r="G97" s="8" t="s">
        <v>26</v>
      </c>
      <c r="H97" s="8" t="s">
        <v>21</v>
      </c>
      <c r="I97" s="9">
        <v>-2.8E-3</v>
      </c>
      <c r="J97" s="23">
        <v>1.5</v>
      </c>
      <c r="K97" s="23">
        <v>2.169</v>
      </c>
      <c r="L97" s="10">
        <f t="shared" si="18"/>
        <v>0.69156293222683263</v>
      </c>
      <c r="M97" s="14">
        <f t="shared" si="19"/>
        <v>0.9297042434633519</v>
      </c>
      <c r="N97" s="11">
        <f t="shared" si="33"/>
        <v>1</v>
      </c>
      <c r="O97" s="8">
        <f t="shared" si="34"/>
        <v>0</v>
      </c>
      <c r="P97" s="8">
        <f t="shared" si="35"/>
        <v>0</v>
      </c>
      <c r="Q97" s="8">
        <f t="shared" si="36"/>
        <v>-1</v>
      </c>
      <c r="R97" s="8">
        <f t="shared" si="37"/>
        <v>0</v>
      </c>
      <c r="S97" s="11">
        <f t="shared" si="38"/>
        <v>-4.9999999999999989E-2</v>
      </c>
      <c r="T97" s="12">
        <f t="shared" si="39"/>
        <v>1.1428571428571428</v>
      </c>
      <c r="U97" s="13">
        <f t="shared" si="40"/>
        <v>-2.196138902171298E-2</v>
      </c>
      <c r="V97" s="24">
        <v>-4</v>
      </c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spans="1:36" ht="15" x14ac:dyDescent="0.2">
      <c r="A98" s="1">
        <v>96</v>
      </c>
      <c r="B98" s="34">
        <v>45434</v>
      </c>
      <c r="C98" s="7" t="s">
        <v>20</v>
      </c>
      <c r="D98" s="8">
        <v>8</v>
      </c>
      <c r="E98" s="8" t="s">
        <v>21</v>
      </c>
      <c r="F98" s="8" t="s">
        <v>21</v>
      </c>
      <c r="G98" s="8" t="s">
        <v>22</v>
      </c>
      <c r="H98" s="8" t="s">
        <v>28</v>
      </c>
      <c r="I98" s="9">
        <v>-1.6999999999999999E-3</v>
      </c>
      <c r="J98" s="23">
        <v>3.59</v>
      </c>
      <c r="K98" s="23">
        <v>2.29</v>
      </c>
      <c r="L98" s="10">
        <f t="shared" si="18"/>
        <v>1.5676855895196506</v>
      </c>
      <c r="M98" s="14">
        <f t="shared" si="19"/>
        <v>1.0557860765329645</v>
      </c>
      <c r="N98" s="11">
        <f t="shared" si="33"/>
        <v>-2</v>
      </c>
      <c r="O98" s="8">
        <f t="shared" si="34"/>
        <v>0</v>
      </c>
      <c r="P98" s="8">
        <f t="shared" si="35"/>
        <v>0</v>
      </c>
      <c r="Q98" s="8">
        <f t="shared" si="36"/>
        <v>1</v>
      </c>
      <c r="R98" s="8">
        <f t="shared" si="37"/>
        <v>-2</v>
      </c>
      <c r="S98" s="11">
        <f t="shared" si="38"/>
        <v>-0.25</v>
      </c>
      <c r="T98" s="12">
        <f t="shared" si="39"/>
        <v>1</v>
      </c>
      <c r="U98" s="13">
        <f t="shared" si="40"/>
        <v>-0.72307897235068797</v>
      </c>
      <c r="V98" s="24">
        <v>2</v>
      </c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spans="1:36" ht="15" x14ac:dyDescent="0.2">
      <c r="A99" s="1">
        <v>97</v>
      </c>
      <c r="B99" s="34">
        <v>45435</v>
      </c>
      <c r="C99" s="7" t="s">
        <v>23</v>
      </c>
      <c r="D99" s="8">
        <v>20</v>
      </c>
      <c r="E99" s="8" t="s">
        <v>21</v>
      </c>
      <c r="F99" s="8" t="s">
        <v>24</v>
      </c>
      <c r="G99" s="8" t="s">
        <v>24</v>
      </c>
      <c r="H99" s="8" t="s">
        <v>24</v>
      </c>
      <c r="I99" s="9">
        <v>1.8700000000000001E-2</v>
      </c>
      <c r="J99" s="23">
        <v>3.1850000000000001</v>
      </c>
      <c r="K99" s="23">
        <v>2.371</v>
      </c>
      <c r="L99" s="10">
        <f t="shared" si="18"/>
        <v>1.3433150569380008</v>
      </c>
      <c r="M99" s="14">
        <f t="shared" si="19"/>
        <v>1.0353711790393012</v>
      </c>
      <c r="N99" s="11">
        <f t="shared" si="33"/>
        <v>2</v>
      </c>
      <c r="O99" s="8">
        <f t="shared" si="34"/>
        <v>0</v>
      </c>
      <c r="P99" s="8">
        <f t="shared" si="35"/>
        <v>2</v>
      </c>
      <c r="Q99" s="8">
        <f t="shared" si="36"/>
        <v>2</v>
      </c>
      <c r="R99" s="8">
        <f t="shared" si="37"/>
        <v>2</v>
      </c>
      <c r="S99" s="11">
        <f t="shared" si="38"/>
        <v>1.4000000000000001</v>
      </c>
      <c r="T99" s="12">
        <f t="shared" si="39"/>
        <v>2.5</v>
      </c>
      <c r="U99" s="13">
        <f t="shared" si="40"/>
        <v>7.0099032618399413</v>
      </c>
      <c r="V99" s="24">
        <v>14</v>
      </c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spans="1:36" ht="15" x14ac:dyDescent="0.2">
      <c r="A100" s="1">
        <v>98</v>
      </c>
      <c r="B100" s="34">
        <v>45436</v>
      </c>
      <c r="C100" s="7" t="s">
        <v>27</v>
      </c>
      <c r="D100" s="8">
        <v>9</v>
      </c>
      <c r="E100" s="8" t="s">
        <v>21</v>
      </c>
      <c r="F100" s="8" t="s">
        <v>21</v>
      </c>
      <c r="G100" s="8" t="s">
        <v>24</v>
      </c>
      <c r="H100" s="8" t="s">
        <v>21</v>
      </c>
      <c r="I100" s="9">
        <v>4.4999999999999997E-3</v>
      </c>
      <c r="J100" s="23">
        <v>2.129</v>
      </c>
      <c r="K100" s="23">
        <v>2.375</v>
      </c>
      <c r="L100" s="10">
        <f t="shared" si="18"/>
        <v>0.8964210526315789</v>
      </c>
      <c r="M100" s="14">
        <f t="shared" si="19"/>
        <v>1.0016870518768453</v>
      </c>
      <c r="N100" s="11">
        <f t="shared" si="33"/>
        <v>1</v>
      </c>
      <c r="O100" s="8">
        <f t="shared" si="34"/>
        <v>0</v>
      </c>
      <c r="P100" s="8">
        <f t="shared" si="35"/>
        <v>0</v>
      </c>
      <c r="Q100" s="8">
        <f t="shared" si="36"/>
        <v>2</v>
      </c>
      <c r="R100" s="8">
        <f t="shared" si="37"/>
        <v>0</v>
      </c>
      <c r="S100" s="11">
        <f t="shared" si="38"/>
        <v>0.7</v>
      </c>
      <c r="T100" s="12">
        <f t="shared" si="39"/>
        <v>0.45</v>
      </c>
      <c r="U100" s="13">
        <f t="shared" si="40"/>
        <v>0.25440803800161316</v>
      </c>
      <c r="V100" s="24">
        <v>0</v>
      </c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spans="1:36" ht="15" x14ac:dyDescent="0.2">
      <c r="A101" s="1">
        <v>99</v>
      </c>
      <c r="B101" s="34">
        <v>45439</v>
      </c>
      <c r="C101" s="7" t="s">
        <v>23</v>
      </c>
      <c r="D101" s="8">
        <v>21</v>
      </c>
      <c r="E101" s="8" t="s">
        <v>21</v>
      </c>
      <c r="F101" s="8" t="s">
        <v>24</v>
      </c>
      <c r="G101" s="8" t="s">
        <v>24</v>
      </c>
      <c r="H101" s="8" t="s">
        <v>24</v>
      </c>
      <c r="I101" s="9">
        <v>4.7999999999999996E-3</v>
      </c>
      <c r="J101" s="23">
        <v>2.3839999999999999</v>
      </c>
      <c r="K101" s="23">
        <v>2.4060000000000001</v>
      </c>
      <c r="L101" s="10">
        <f t="shared" si="18"/>
        <v>0.99085619285120519</v>
      </c>
      <c r="M101" s="14">
        <f t="shared" si="19"/>
        <v>1.0130526315789474</v>
      </c>
      <c r="N101" s="11">
        <f t="shared" si="33"/>
        <v>2</v>
      </c>
      <c r="O101" s="8">
        <f t="shared" si="34"/>
        <v>0</v>
      </c>
      <c r="P101" s="8">
        <f t="shared" si="35"/>
        <v>2</v>
      </c>
      <c r="Q101" s="8">
        <f t="shared" si="36"/>
        <v>2</v>
      </c>
      <c r="R101" s="8">
        <f t="shared" si="37"/>
        <v>2</v>
      </c>
      <c r="S101" s="11">
        <f t="shared" si="38"/>
        <v>1.4000000000000001</v>
      </c>
      <c r="T101" s="12">
        <f t="shared" si="39"/>
        <v>2.3333333333333335</v>
      </c>
      <c r="U101" s="13">
        <f t="shared" si="40"/>
        <v>3.3344338355636678</v>
      </c>
      <c r="V101" s="24">
        <v>10</v>
      </c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1:36" ht="15" x14ac:dyDescent="0.2">
      <c r="A102" s="1">
        <v>100</v>
      </c>
      <c r="B102" s="34">
        <v>45440</v>
      </c>
      <c r="C102" s="7" t="s">
        <v>25</v>
      </c>
      <c r="D102" s="8">
        <v>7</v>
      </c>
      <c r="E102" s="8" t="s">
        <v>21</v>
      </c>
      <c r="F102" s="8" t="s">
        <v>21</v>
      </c>
      <c r="G102" s="8" t="s">
        <v>28</v>
      </c>
      <c r="H102" s="8" t="s">
        <v>21</v>
      </c>
      <c r="I102" s="9">
        <v>-1.9E-3</v>
      </c>
      <c r="J102" s="23">
        <v>1.766</v>
      </c>
      <c r="K102" s="23">
        <v>2.33</v>
      </c>
      <c r="L102" s="10">
        <f t="shared" si="18"/>
        <v>0.75793991416309014</v>
      </c>
      <c r="M102" s="14">
        <f t="shared" si="19"/>
        <v>0.96841230257689104</v>
      </c>
      <c r="N102" s="11">
        <f t="shared" si="33"/>
        <v>-1</v>
      </c>
      <c r="O102" s="8">
        <f t="shared" si="34"/>
        <v>0</v>
      </c>
      <c r="P102" s="8">
        <f t="shared" si="35"/>
        <v>0</v>
      </c>
      <c r="Q102" s="8">
        <f t="shared" si="36"/>
        <v>-2</v>
      </c>
      <c r="R102" s="8">
        <f t="shared" si="37"/>
        <v>0</v>
      </c>
      <c r="S102" s="11">
        <f t="shared" si="38"/>
        <v>-0.7</v>
      </c>
      <c r="T102" s="12">
        <f t="shared" si="39"/>
        <v>0.33333333333333331</v>
      </c>
      <c r="U102" s="13">
        <f t="shared" si="40"/>
        <v>-0.12173830083715421</v>
      </c>
      <c r="V102" s="24">
        <v>-8</v>
      </c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ht="15" x14ac:dyDescent="0.2">
      <c r="A103" s="1">
        <v>101</v>
      </c>
      <c r="B103" s="34">
        <v>45441</v>
      </c>
      <c r="C103" s="7" t="s">
        <v>20</v>
      </c>
      <c r="D103" s="8">
        <v>8</v>
      </c>
      <c r="E103" s="8" t="s">
        <v>21</v>
      </c>
      <c r="F103" s="8" t="s">
        <v>21</v>
      </c>
      <c r="G103" s="8" t="s">
        <v>28</v>
      </c>
      <c r="H103" s="8" t="s">
        <v>28</v>
      </c>
      <c r="I103" s="9">
        <v>-1.4E-2</v>
      </c>
      <c r="J103" s="23">
        <v>2.5470000000000002</v>
      </c>
      <c r="K103" s="23">
        <v>2.294</v>
      </c>
      <c r="L103" s="10">
        <f t="shared" si="18"/>
        <v>1.1102877070619006</v>
      </c>
      <c r="M103" s="14">
        <f t="shared" si="19"/>
        <v>0.98454935622317596</v>
      </c>
      <c r="N103" s="11">
        <f t="shared" si="33"/>
        <v>-2</v>
      </c>
      <c r="O103" s="8">
        <f t="shared" si="34"/>
        <v>0</v>
      </c>
      <c r="P103" s="8">
        <f t="shared" si="35"/>
        <v>0</v>
      </c>
      <c r="Q103" s="8">
        <f t="shared" si="36"/>
        <v>-2</v>
      </c>
      <c r="R103" s="8">
        <f t="shared" si="37"/>
        <v>-2</v>
      </c>
      <c r="S103" s="11">
        <f t="shared" si="38"/>
        <v>-1</v>
      </c>
      <c r="T103" s="12">
        <f t="shared" si="39"/>
        <v>1.1428571428571428</v>
      </c>
      <c r="U103" s="13">
        <f t="shared" si="40"/>
        <v>-1.3445454500670102</v>
      </c>
      <c r="V103" s="24">
        <v>-10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 spans="1:36" ht="15" x14ac:dyDescent="0.2">
      <c r="A104" s="1">
        <v>102</v>
      </c>
      <c r="B104" s="34">
        <v>45442</v>
      </c>
      <c r="C104" s="7" t="s">
        <v>23</v>
      </c>
      <c r="D104" s="8">
        <v>12</v>
      </c>
      <c r="E104" s="8" t="s">
        <v>21</v>
      </c>
      <c r="F104" s="8" t="s">
        <v>21</v>
      </c>
      <c r="G104" s="8" t="s">
        <v>26</v>
      </c>
      <c r="H104" s="8" t="s">
        <v>24</v>
      </c>
      <c r="I104" s="9">
        <v>1.2699999999999999E-2</v>
      </c>
      <c r="J104" s="23">
        <v>3.3820000000000001</v>
      </c>
      <c r="K104" s="23">
        <v>2.3879999999999999</v>
      </c>
      <c r="L104" s="10">
        <f t="shared" si="18"/>
        <v>1.4162479061976549</v>
      </c>
      <c r="M104" s="14">
        <f t="shared" si="19"/>
        <v>1.040976460331299</v>
      </c>
      <c r="N104" s="11">
        <f t="shared" si="33"/>
        <v>2</v>
      </c>
      <c r="O104" s="8">
        <f t="shared" si="34"/>
        <v>0</v>
      </c>
      <c r="P104" s="8">
        <f t="shared" si="35"/>
        <v>0</v>
      </c>
      <c r="Q104" s="8">
        <f t="shared" si="36"/>
        <v>-1</v>
      </c>
      <c r="R104" s="8">
        <f t="shared" si="37"/>
        <v>2</v>
      </c>
      <c r="S104" s="11">
        <f t="shared" si="38"/>
        <v>0.25</v>
      </c>
      <c r="T104" s="12">
        <f t="shared" si="39"/>
        <v>1.5</v>
      </c>
      <c r="U104" s="13">
        <f t="shared" si="40"/>
        <v>0.84846231187360832</v>
      </c>
      <c r="V104" s="24">
        <v>2</v>
      </c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spans="1:36" ht="15" x14ac:dyDescent="0.2">
      <c r="A105" s="1">
        <v>103</v>
      </c>
      <c r="B105" s="34">
        <v>45443</v>
      </c>
      <c r="C105" s="7" t="s">
        <v>25</v>
      </c>
      <c r="D105" s="8">
        <v>14</v>
      </c>
      <c r="E105" s="8" t="s">
        <v>21</v>
      </c>
      <c r="F105" s="8" t="s">
        <v>21</v>
      </c>
      <c r="G105" s="8" t="s">
        <v>21</v>
      </c>
      <c r="H105" s="8" t="s">
        <v>21</v>
      </c>
      <c r="I105" s="9">
        <v>6.7000000000000002E-3</v>
      </c>
      <c r="J105" s="23">
        <v>3.0369999999999999</v>
      </c>
      <c r="K105" s="23">
        <v>2.4049999999999998</v>
      </c>
      <c r="L105" s="10">
        <f t="shared" si="18"/>
        <v>1.2627858627858628</v>
      </c>
      <c r="M105" s="14">
        <f t="shared" si="19"/>
        <v>1.0071189279731994</v>
      </c>
      <c r="N105" s="11">
        <f t="shared" si="33"/>
        <v>-1</v>
      </c>
      <c r="O105" s="8">
        <f t="shared" si="34"/>
        <v>0</v>
      </c>
      <c r="P105" s="8">
        <f t="shared" si="35"/>
        <v>0</v>
      </c>
      <c r="Q105" s="8">
        <f t="shared" si="36"/>
        <v>0</v>
      </c>
      <c r="R105" s="8">
        <f t="shared" si="37"/>
        <v>0</v>
      </c>
      <c r="S105" s="11">
        <f t="shared" si="38"/>
        <v>-0.2</v>
      </c>
      <c r="T105" s="12">
        <f t="shared" si="39"/>
        <v>1.1666666666666667</v>
      </c>
      <c r="U105" s="13">
        <f t="shared" si="40"/>
        <v>-0.38008303251477871</v>
      </c>
      <c r="V105" s="24">
        <v>4</v>
      </c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 spans="1:36" ht="15" x14ac:dyDescent="0.2">
      <c r="A106" s="1">
        <v>104</v>
      </c>
      <c r="B106" s="34">
        <v>45446</v>
      </c>
      <c r="C106" s="7" t="s">
        <v>23</v>
      </c>
      <c r="D106" s="8">
        <v>23</v>
      </c>
      <c r="E106" s="8" t="s">
        <v>21</v>
      </c>
      <c r="F106" s="8" t="s">
        <v>24</v>
      </c>
      <c r="G106" s="8" t="s">
        <v>21</v>
      </c>
      <c r="H106" s="8" t="s">
        <v>24</v>
      </c>
      <c r="I106" s="9">
        <v>0.04</v>
      </c>
      <c r="J106" s="23">
        <v>4.0780000000000003</v>
      </c>
      <c r="K106" s="23">
        <v>2.5110000000000001</v>
      </c>
      <c r="L106" s="10">
        <f t="shared" si="18"/>
        <v>1.6240541616885704</v>
      </c>
      <c r="M106" s="14">
        <f t="shared" si="19"/>
        <v>1.0440748440748442</v>
      </c>
      <c r="N106" s="11">
        <f t="shared" ref="N106:N169" si="41">IF(C106="L", -2, IF(C106="OL", -1, IF(C106="H", 2, IF(C106="OH", 1, IF(C106="O", 0, "")))))</f>
        <v>2</v>
      </c>
      <c r="O106" s="8">
        <f t="shared" ref="O106:O169" si="42">IF(E106="IS", -2, IF(E106="--", 0, IF(E106="IB", 2, "")))</f>
        <v>0</v>
      </c>
      <c r="P106" s="8">
        <f t="shared" si="35"/>
        <v>2</v>
      </c>
      <c r="Q106" s="8">
        <f t="shared" si="36"/>
        <v>0</v>
      </c>
      <c r="R106" s="8">
        <f t="shared" si="37"/>
        <v>2</v>
      </c>
      <c r="S106" s="11">
        <f t="shared" si="38"/>
        <v>0.9</v>
      </c>
      <c r="T106" s="12">
        <f t="shared" si="39"/>
        <v>1.6428571428571428</v>
      </c>
      <c r="U106" s="13">
        <f t="shared" si="40"/>
        <v>4.4385204301812502</v>
      </c>
      <c r="V106" s="24">
        <v>8</v>
      </c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spans="1:36" ht="15" x14ac:dyDescent="0.2">
      <c r="A107" s="1">
        <v>105</v>
      </c>
      <c r="B107" s="34">
        <v>45447</v>
      </c>
      <c r="C107" s="7" t="s">
        <v>20</v>
      </c>
      <c r="D107" s="8">
        <v>111</v>
      </c>
      <c r="E107" s="8" t="s">
        <v>28</v>
      </c>
      <c r="F107" s="8" t="s">
        <v>28</v>
      </c>
      <c r="G107" s="8" t="s">
        <v>28</v>
      </c>
      <c r="H107" s="8" t="s">
        <v>28</v>
      </c>
      <c r="I107" s="9">
        <v>-8.1699999999999995E-2</v>
      </c>
      <c r="J107" s="23">
        <v>10.096</v>
      </c>
      <c r="K107" s="23">
        <v>2.899</v>
      </c>
      <c r="L107" s="10">
        <f t="shared" si="18"/>
        <v>3.4825802000689894</v>
      </c>
      <c r="M107" s="14">
        <f t="shared" si="19"/>
        <v>1.1545201115093588</v>
      </c>
      <c r="N107" s="11">
        <f t="shared" si="41"/>
        <v>-2</v>
      </c>
      <c r="O107" s="8">
        <f t="shared" si="42"/>
        <v>-2</v>
      </c>
      <c r="P107" s="8">
        <f t="shared" ref="P107:P170" si="43">IF(F107="IS", -2, IF(F107="RS", -1, IF(F107="--", 0, IF(F107="IB", 2, IF(F107="RB", 1, "")))))</f>
        <v>-2</v>
      </c>
      <c r="Q107" s="8">
        <f t="shared" ref="Q107:Q170" si="44">IF(G107="IS", -2, IF(G107="RS", -1, IF(G107="--", 0, IF(G107="IB", 2, IF(G107="RB", 1, "")))))</f>
        <v>-2</v>
      </c>
      <c r="R107" s="8">
        <f t="shared" ref="R107:R170" si="45">IF(H107="IS", -2, IF(H107="RS", -1, IF(H107="--", 0, IF(H107="IB", 2, IF(H107="RB", 1, "")))))</f>
        <v>-2</v>
      </c>
      <c r="S107" s="11">
        <f t="shared" ref="S107:S170" si="46">O107*0.3 + P107*0.2 + Q107*0.25 + N107*0.2 + R107*0.05</f>
        <v>-2</v>
      </c>
      <c r="T107" s="12">
        <f t="shared" ref="T107:T170" si="47">D107/D106</f>
        <v>4.8260869565217392</v>
      </c>
      <c r="U107" s="13">
        <f t="shared" ref="U107:U170" si="48">S107*L107*L107*T107*M107*M107*M107</f>
        <v>-180.14901814192473</v>
      </c>
      <c r="V107" s="24">
        <v>-6</v>
      </c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1:36" ht="15" x14ac:dyDescent="0.2">
      <c r="A108" s="1">
        <v>106</v>
      </c>
      <c r="B108" s="34">
        <v>45448</v>
      </c>
      <c r="C108" s="7" t="s">
        <v>27</v>
      </c>
      <c r="D108" s="8">
        <v>87</v>
      </c>
      <c r="E108" s="8" t="s">
        <v>24</v>
      </c>
      <c r="F108" s="8" t="s">
        <v>24</v>
      </c>
      <c r="G108" s="8" t="s">
        <v>21</v>
      </c>
      <c r="H108" s="8" t="s">
        <v>24</v>
      </c>
      <c r="I108" s="9">
        <v>4.4200000000000003E-2</v>
      </c>
      <c r="J108" s="23">
        <v>7.8650000000000002</v>
      </c>
      <c r="K108" s="23">
        <v>3.181</v>
      </c>
      <c r="L108" s="10">
        <f t="shared" si="18"/>
        <v>2.4724929267525937</v>
      </c>
      <c r="M108" s="14">
        <f t="shared" si="19"/>
        <v>1.0972749223870299</v>
      </c>
      <c r="N108" s="11">
        <f t="shared" si="41"/>
        <v>1</v>
      </c>
      <c r="O108" s="8">
        <f t="shared" si="42"/>
        <v>2</v>
      </c>
      <c r="P108" s="8">
        <f t="shared" si="43"/>
        <v>2</v>
      </c>
      <c r="Q108" s="8">
        <f t="shared" si="44"/>
        <v>0</v>
      </c>
      <c r="R108" s="8">
        <f t="shared" si="45"/>
        <v>2</v>
      </c>
      <c r="S108" s="11">
        <f t="shared" si="46"/>
        <v>1.3</v>
      </c>
      <c r="T108" s="12">
        <f t="shared" si="47"/>
        <v>0.78378378378378377</v>
      </c>
      <c r="U108" s="13">
        <f t="shared" si="48"/>
        <v>8.2291713061523541</v>
      </c>
      <c r="V108" s="24">
        <v>12</v>
      </c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spans="1:36" ht="15" x14ac:dyDescent="0.2">
      <c r="A109" s="1">
        <v>107</v>
      </c>
      <c r="B109" s="34">
        <v>45449</v>
      </c>
      <c r="C109" s="7" t="s">
        <v>27</v>
      </c>
      <c r="D109" s="8">
        <v>14</v>
      </c>
      <c r="E109" s="8" t="s">
        <v>21</v>
      </c>
      <c r="F109" s="8" t="s">
        <v>21</v>
      </c>
      <c r="G109" s="8" t="s">
        <v>24</v>
      </c>
      <c r="H109" s="8" t="s">
        <v>24</v>
      </c>
      <c r="I109" s="9">
        <v>7.1000000000000004E-3</v>
      </c>
      <c r="J109" s="23">
        <v>3.3180000000000001</v>
      </c>
      <c r="K109" s="23">
        <v>3.2410000000000001</v>
      </c>
      <c r="L109" s="10">
        <f t="shared" si="18"/>
        <v>1.0237580993520519</v>
      </c>
      <c r="M109" s="14">
        <f t="shared" si="19"/>
        <v>1.018861993083936</v>
      </c>
      <c r="N109" s="11">
        <f t="shared" si="41"/>
        <v>1</v>
      </c>
      <c r="O109" s="8">
        <f t="shared" si="42"/>
        <v>0</v>
      </c>
      <c r="P109" s="8">
        <f t="shared" si="43"/>
        <v>0</v>
      </c>
      <c r="Q109" s="8">
        <f t="shared" si="44"/>
        <v>2</v>
      </c>
      <c r="R109" s="8">
        <f t="shared" si="45"/>
        <v>2</v>
      </c>
      <c r="S109" s="11">
        <f t="shared" si="46"/>
        <v>0.79999999999999993</v>
      </c>
      <c r="T109" s="12">
        <f t="shared" si="47"/>
        <v>0.16091954022988506</v>
      </c>
      <c r="U109" s="13">
        <f t="shared" si="48"/>
        <v>0.14270512067313218</v>
      </c>
      <c r="V109" s="24">
        <v>0</v>
      </c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 spans="1:36" ht="15" x14ac:dyDescent="0.2">
      <c r="A110" s="1">
        <v>108</v>
      </c>
      <c r="B110" s="34">
        <v>45450</v>
      </c>
      <c r="C110" s="7" t="s">
        <v>23</v>
      </c>
      <c r="D110" s="8">
        <v>19</v>
      </c>
      <c r="E110" s="8" t="s">
        <v>21</v>
      </c>
      <c r="F110" s="8" t="s">
        <v>24</v>
      </c>
      <c r="G110" s="8" t="s">
        <v>24</v>
      </c>
      <c r="H110" s="8" t="s">
        <v>21</v>
      </c>
      <c r="I110" s="9">
        <v>9.5999999999999992E-3</v>
      </c>
      <c r="J110" s="23">
        <v>3.2149999999999999</v>
      </c>
      <c r="K110" s="23">
        <v>3.3109999999999999</v>
      </c>
      <c r="L110" s="10">
        <f t="shared" si="18"/>
        <v>0.97100573844759885</v>
      </c>
      <c r="M110" s="14">
        <f t="shared" si="19"/>
        <v>1.0215982721382288</v>
      </c>
      <c r="N110" s="11">
        <f t="shared" si="41"/>
        <v>2</v>
      </c>
      <c r="O110" s="8">
        <f t="shared" si="42"/>
        <v>0</v>
      </c>
      <c r="P110" s="8">
        <f t="shared" si="43"/>
        <v>2</v>
      </c>
      <c r="Q110" s="8">
        <f t="shared" si="44"/>
        <v>2</v>
      </c>
      <c r="R110" s="8">
        <f t="shared" si="45"/>
        <v>0</v>
      </c>
      <c r="S110" s="11">
        <f t="shared" si="46"/>
        <v>1.3</v>
      </c>
      <c r="T110" s="12">
        <f t="shared" si="47"/>
        <v>1.3571428571428572</v>
      </c>
      <c r="U110" s="13">
        <f t="shared" si="48"/>
        <v>1.7735888904965977</v>
      </c>
      <c r="V110" s="24">
        <v>8</v>
      </c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spans="1:36" ht="15" x14ac:dyDescent="0.2">
      <c r="A111" s="1">
        <v>109</v>
      </c>
      <c r="B111" s="34">
        <v>45453</v>
      </c>
      <c r="C111" s="7" t="s">
        <v>27</v>
      </c>
      <c r="D111" s="8">
        <v>12</v>
      </c>
      <c r="E111" s="8" t="s">
        <v>21</v>
      </c>
      <c r="F111" s="8" t="s">
        <v>21</v>
      </c>
      <c r="G111" s="8" t="s">
        <v>26</v>
      </c>
      <c r="H111" s="8" t="s">
        <v>21</v>
      </c>
      <c r="I111" s="9">
        <v>-3.5000000000000001E-3</v>
      </c>
      <c r="J111" s="23">
        <v>2.6880000000000002</v>
      </c>
      <c r="K111" s="23">
        <v>3.3130000000000002</v>
      </c>
      <c r="L111" s="10">
        <f t="shared" si="18"/>
        <v>0.81134923030485961</v>
      </c>
      <c r="M111" s="14">
        <f t="shared" si="19"/>
        <v>1.0006040471156752</v>
      </c>
      <c r="N111" s="11">
        <f t="shared" si="41"/>
        <v>1</v>
      </c>
      <c r="O111" s="8">
        <f t="shared" si="42"/>
        <v>0</v>
      </c>
      <c r="P111" s="8">
        <f t="shared" si="43"/>
        <v>0</v>
      </c>
      <c r="Q111" s="8">
        <f t="shared" si="44"/>
        <v>-1</v>
      </c>
      <c r="R111" s="8">
        <f t="shared" si="45"/>
        <v>0</v>
      </c>
      <c r="S111" s="11">
        <f t="shared" si="46"/>
        <v>-4.9999999999999989E-2</v>
      </c>
      <c r="T111" s="12">
        <f t="shared" si="47"/>
        <v>0.63157894736842102</v>
      </c>
      <c r="U111" s="13">
        <f t="shared" si="48"/>
        <v>-2.0825722243121059E-2</v>
      </c>
      <c r="V111" s="24">
        <v>0</v>
      </c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 spans="1:36" ht="15" x14ac:dyDescent="0.2">
      <c r="A112" s="1">
        <v>110</v>
      </c>
      <c r="B112" s="34">
        <v>45454</v>
      </c>
      <c r="C112" s="7" t="s">
        <v>29</v>
      </c>
      <c r="D112" s="8">
        <v>9</v>
      </c>
      <c r="E112" s="8" t="s">
        <v>21</v>
      </c>
      <c r="F112" s="8" t="s">
        <v>21</v>
      </c>
      <c r="G112" s="8" t="s">
        <v>22</v>
      </c>
      <c r="H112" s="8" t="s">
        <v>22</v>
      </c>
      <c r="I112" s="9">
        <v>6.9999999999999999E-4</v>
      </c>
      <c r="J112" s="23">
        <v>2.2370000000000001</v>
      </c>
      <c r="K112" s="23">
        <v>3.339</v>
      </c>
      <c r="L112" s="10">
        <f t="shared" si="18"/>
        <v>0.6699610661874813</v>
      </c>
      <c r="M112" s="14">
        <f t="shared" si="19"/>
        <v>1.0078478720193178</v>
      </c>
      <c r="N112" s="11">
        <f t="shared" si="41"/>
        <v>0</v>
      </c>
      <c r="O112" s="8">
        <f t="shared" si="42"/>
        <v>0</v>
      </c>
      <c r="P112" s="8">
        <f t="shared" si="43"/>
        <v>0</v>
      </c>
      <c r="Q112" s="8">
        <f t="shared" si="44"/>
        <v>1</v>
      </c>
      <c r="R112" s="8">
        <f t="shared" si="45"/>
        <v>1</v>
      </c>
      <c r="S112" s="11">
        <f t="shared" si="46"/>
        <v>0.3</v>
      </c>
      <c r="T112" s="12">
        <f t="shared" si="47"/>
        <v>0.75</v>
      </c>
      <c r="U112" s="13">
        <f t="shared" si="48"/>
        <v>0.10338715811987838</v>
      </c>
      <c r="V112" s="24">
        <v>-4</v>
      </c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1:36" ht="15" x14ac:dyDescent="0.2">
      <c r="A113" s="1">
        <v>111</v>
      </c>
      <c r="B113" s="34">
        <v>45455</v>
      </c>
      <c r="C113" s="7" t="s">
        <v>27</v>
      </c>
      <c r="D113" s="8">
        <v>12</v>
      </c>
      <c r="E113" s="8" t="s">
        <v>21</v>
      </c>
      <c r="F113" s="8" t="s">
        <v>21</v>
      </c>
      <c r="G113" s="8" t="s">
        <v>22</v>
      </c>
      <c r="H113" s="8" t="s">
        <v>22</v>
      </c>
      <c r="I113" s="9">
        <v>2.8999999999999998E-3</v>
      </c>
      <c r="J113" s="23">
        <v>2.8849999999999998</v>
      </c>
      <c r="K113" s="23">
        <v>3.3839999999999999</v>
      </c>
      <c r="L113" s="10">
        <f t="shared" si="18"/>
        <v>0.85254137115839235</v>
      </c>
      <c r="M113" s="14">
        <f t="shared" si="19"/>
        <v>1.013477088948787</v>
      </c>
      <c r="N113" s="11">
        <f t="shared" si="41"/>
        <v>1</v>
      </c>
      <c r="O113" s="8">
        <f t="shared" si="42"/>
        <v>0</v>
      </c>
      <c r="P113" s="8">
        <f t="shared" si="43"/>
        <v>0</v>
      </c>
      <c r="Q113" s="8">
        <f t="shared" si="44"/>
        <v>1</v>
      </c>
      <c r="R113" s="8">
        <f t="shared" si="45"/>
        <v>1</v>
      </c>
      <c r="S113" s="11">
        <f t="shared" si="46"/>
        <v>0.5</v>
      </c>
      <c r="T113" s="12">
        <f t="shared" si="47"/>
        <v>1.3333333333333333</v>
      </c>
      <c r="U113" s="13">
        <f t="shared" si="48"/>
        <v>0.50440742762854296</v>
      </c>
      <c r="V113" s="24">
        <v>-4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 spans="1:36" ht="15" x14ac:dyDescent="0.2">
      <c r="A114" s="1">
        <v>112</v>
      </c>
      <c r="B114" s="34">
        <v>45456</v>
      </c>
      <c r="C114" s="7" t="s">
        <v>29</v>
      </c>
      <c r="D114" s="8">
        <v>6</v>
      </c>
      <c r="E114" s="8" t="s">
        <v>21</v>
      </c>
      <c r="F114" s="8" t="s">
        <v>21</v>
      </c>
      <c r="G114" s="8" t="s">
        <v>28</v>
      </c>
      <c r="H114" s="8" t="s">
        <v>24</v>
      </c>
      <c r="I114" s="9">
        <v>0</v>
      </c>
      <c r="J114" s="23">
        <v>1.423</v>
      </c>
      <c r="K114" s="23">
        <v>3.29</v>
      </c>
      <c r="L114" s="10">
        <f t="shared" si="18"/>
        <v>0.43252279635258362</v>
      </c>
      <c r="M114" s="14">
        <f t="shared" si="19"/>
        <v>0.97222222222222221</v>
      </c>
      <c r="N114" s="11">
        <f t="shared" si="41"/>
        <v>0</v>
      </c>
      <c r="O114" s="8">
        <f t="shared" si="42"/>
        <v>0</v>
      </c>
      <c r="P114" s="8">
        <f t="shared" si="43"/>
        <v>0</v>
      </c>
      <c r="Q114" s="8">
        <f t="shared" si="44"/>
        <v>-2</v>
      </c>
      <c r="R114" s="8">
        <f t="shared" si="45"/>
        <v>2</v>
      </c>
      <c r="S114" s="11">
        <f t="shared" si="46"/>
        <v>-0.4</v>
      </c>
      <c r="T114" s="12">
        <f t="shared" si="47"/>
        <v>0.5</v>
      </c>
      <c r="U114" s="13">
        <f t="shared" si="48"/>
        <v>-3.4383068357809216E-2</v>
      </c>
      <c r="V114" s="24">
        <v>-8</v>
      </c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1:36" thickBot="1" x14ac:dyDescent="0.25">
      <c r="A115" s="1">
        <v>113</v>
      </c>
      <c r="B115" s="34">
        <v>45457</v>
      </c>
      <c r="C115" s="7" t="s">
        <v>27</v>
      </c>
      <c r="D115" s="8">
        <v>8</v>
      </c>
      <c r="E115" s="8" t="s">
        <v>21</v>
      </c>
      <c r="F115" s="8" t="s">
        <v>21</v>
      </c>
      <c r="G115" s="8" t="s">
        <v>22</v>
      </c>
      <c r="H115" s="8" t="s">
        <v>21</v>
      </c>
      <c r="I115" s="9">
        <v>2.5999999999999999E-3</v>
      </c>
      <c r="J115" s="23">
        <v>1.7030000000000001</v>
      </c>
      <c r="K115" s="23">
        <v>3.2890000000000001</v>
      </c>
      <c r="L115" s="10">
        <f t="shared" si="18"/>
        <v>0.51778656126482214</v>
      </c>
      <c r="M115" s="14">
        <f t="shared" si="19"/>
        <v>0.99969604863221884</v>
      </c>
      <c r="N115" s="11">
        <f t="shared" si="41"/>
        <v>1</v>
      </c>
      <c r="O115" s="8">
        <f t="shared" si="42"/>
        <v>0</v>
      </c>
      <c r="P115" s="8">
        <f t="shared" si="43"/>
        <v>0</v>
      </c>
      <c r="Q115" s="8">
        <f t="shared" si="44"/>
        <v>1</v>
      </c>
      <c r="R115" s="8">
        <f t="shared" si="45"/>
        <v>0</v>
      </c>
      <c r="S115" s="11">
        <f t="shared" si="46"/>
        <v>0.45</v>
      </c>
      <c r="T115" s="12">
        <f t="shared" si="47"/>
        <v>1.3333333333333333</v>
      </c>
      <c r="U115" s="13">
        <f t="shared" si="48"/>
        <v>0.16071511594539584</v>
      </c>
      <c r="V115" s="24">
        <v>-3</v>
      </c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 spans="1:36" thickBot="1" x14ac:dyDescent="0.25">
      <c r="A116" s="1">
        <v>114</v>
      </c>
      <c r="B116" s="33">
        <v>45461</v>
      </c>
      <c r="C116" s="18" t="s">
        <v>23</v>
      </c>
      <c r="D116" s="19">
        <v>10</v>
      </c>
      <c r="E116" s="19" t="s">
        <v>21</v>
      </c>
      <c r="F116" s="19" t="s">
        <v>21</v>
      </c>
      <c r="G116" s="19" t="s">
        <v>24</v>
      </c>
      <c r="H116" s="18" t="s">
        <v>24</v>
      </c>
      <c r="I116" s="20">
        <v>7.9000000000000008E-3</v>
      </c>
      <c r="J116" s="19">
        <v>1.9059999999999999</v>
      </c>
      <c r="K116" s="19">
        <v>3.375</v>
      </c>
      <c r="L116" s="10">
        <f t="shared" si="18"/>
        <v>0.56474074074074077</v>
      </c>
      <c r="M116" s="14">
        <f t="shared" si="19"/>
        <v>1.0261477652782001</v>
      </c>
      <c r="N116" s="11">
        <f t="shared" si="41"/>
        <v>2</v>
      </c>
      <c r="O116" s="8">
        <f t="shared" si="42"/>
        <v>0</v>
      </c>
      <c r="P116" s="8">
        <f t="shared" si="43"/>
        <v>0</v>
      </c>
      <c r="Q116" s="8">
        <f t="shared" si="44"/>
        <v>2</v>
      </c>
      <c r="R116" s="8">
        <f t="shared" si="45"/>
        <v>2</v>
      </c>
      <c r="S116" s="11">
        <f t="shared" si="46"/>
        <v>1</v>
      </c>
      <c r="T116" s="12">
        <f t="shared" si="47"/>
        <v>1.25</v>
      </c>
      <c r="U116" s="13">
        <f t="shared" si="48"/>
        <v>0.43076257293863768</v>
      </c>
      <c r="V116" s="24">
        <v>12</v>
      </c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1:36" thickBot="1" x14ac:dyDescent="0.25">
      <c r="A117" s="1">
        <v>115</v>
      </c>
      <c r="B117" s="33">
        <v>45462</v>
      </c>
      <c r="C117" s="18" t="s">
        <v>23</v>
      </c>
      <c r="D117" s="19">
        <v>33</v>
      </c>
      <c r="E117" s="19" t="s">
        <v>24</v>
      </c>
      <c r="F117" s="19" t="s">
        <v>24</v>
      </c>
      <c r="G117" s="19" t="s">
        <v>24</v>
      </c>
      <c r="H117" s="18" t="s">
        <v>24</v>
      </c>
      <c r="I117" s="20">
        <v>1.8800000000000001E-2</v>
      </c>
      <c r="J117" s="19">
        <v>5.6</v>
      </c>
      <c r="K117" s="19">
        <v>3.5649999999999999</v>
      </c>
      <c r="L117" s="10">
        <f t="shared" si="18"/>
        <v>1.5708274894810659</v>
      </c>
      <c r="M117" s="14">
        <f t="shared" si="19"/>
        <v>1.0562962962962963</v>
      </c>
      <c r="N117" s="11">
        <f t="shared" si="41"/>
        <v>2</v>
      </c>
      <c r="O117" s="8">
        <f t="shared" si="42"/>
        <v>2</v>
      </c>
      <c r="P117" s="8">
        <f t="shared" si="43"/>
        <v>2</v>
      </c>
      <c r="Q117" s="8">
        <f t="shared" si="44"/>
        <v>2</v>
      </c>
      <c r="R117" s="8">
        <f t="shared" si="45"/>
        <v>2</v>
      </c>
      <c r="S117" s="11">
        <f t="shared" si="46"/>
        <v>2</v>
      </c>
      <c r="T117" s="12">
        <f t="shared" si="47"/>
        <v>3.3</v>
      </c>
      <c r="U117" s="13">
        <f t="shared" si="48"/>
        <v>19.193677451607982</v>
      </c>
      <c r="V117" s="24">
        <v>6</v>
      </c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 spans="1:36" thickBot="1" x14ac:dyDescent="0.25">
      <c r="A118" s="1">
        <v>116</v>
      </c>
      <c r="B118" s="33">
        <v>45463</v>
      </c>
      <c r="C118" s="18" t="s">
        <v>23</v>
      </c>
      <c r="D118" s="19">
        <v>14</v>
      </c>
      <c r="E118" s="19" t="s">
        <v>21</v>
      </c>
      <c r="F118" s="19" t="s">
        <v>21</v>
      </c>
      <c r="G118" s="19" t="s">
        <v>21</v>
      </c>
      <c r="H118" s="18" t="s">
        <v>21</v>
      </c>
      <c r="I118" s="20">
        <v>7.7000000000000002E-3</v>
      </c>
      <c r="J118" s="19">
        <v>2.2709999999999999</v>
      </c>
      <c r="K118" s="19">
        <v>3.512</v>
      </c>
      <c r="L118" s="10">
        <f t="shared" si="18"/>
        <v>0.64664009111617304</v>
      </c>
      <c r="M118" s="14">
        <f t="shared" si="19"/>
        <v>0.98513323983169709</v>
      </c>
      <c r="N118" s="11">
        <f t="shared" si="41"/>
        <v>2</v>
      </c>
      <c r="O118" s="8">
        <f t="shared" si="42"/>
        <v>0</v>
      </c>
      <c r="P118" s="8">
        <f t="shared" si="43"/>
        <v>0</v>
      </c>
      <c r="Q118" s="8">
        <f t="shared" si="44"/>
        <v>0</v>
      </c>
      <c r="R118" s="8">
        <f t="shared" si="45"/>
        <v>0</v>
      </c>
      <c r="S118" s="11">
        <f t="shared" si="46"/>
        <v>0.4</v>
      </c>
      <c r="T118" s="12">
        <f t="shared" si="47"/>
        <v>0.42424242424242425</v>
      </c>
      <c r="U118" s="13">
        <f t="shared" si="48"/>
        <v>6.7839753347372606E-2</v>
      </c>
      <c r="V118" s="24">
        <v>0</v>
      </c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spans="1:36" thickBot="1" x14ac:dyDescent="0.25">
      <c r="A119" s="1">
        <v>117</v>
      </c>
      <c r="B119" s="33">
        <v>45464</v>
      </c>
      <c r="C119" s="18" t="s">
        <v>25</v>
      </c>
      <c r="D119" s="19">
        <v>11</v>
      </c>
      <c r="E119" s="19" t="s">
        <v>21</v>
      </c>
      <c r="F119" s="19" t="s">
        <v>21</v>
      </c>
      <c r="G119" s="19" t="s">
        <v>21</v>
      </c>
      <c r="H119" s="18" t="s">
        <v>28</v>
      </c>
      <c r="I119" s="20">
        <v>-3.8E-3</v>
      </c>
      <c r="J119" s="19">
        <v>2.4940000000000002</v>
      </c>
      <c r="K119" s="19">
        <v>3.476</v>
      </c>
      <c r="L119" s="10">
        <f t="shared" si="18"/>
        <v>0.71749136939010361</v>
      </c>
      <c r="M119" s="14">
        <f t="shared" si="19"/>
        <v>0.98974943052391795</v>
      </c>
      <c r="N119" s="11">
        <f t="shared" si="41"/>
        <v>-1</v>
      </c>
      <c r="O119" s="8">
        <f t="shared" si="42"/>
        <v>0</v>
      </c>
      <c r="P119" s="8">
        <f t="shared" si="43"/>
        <v>0</v>
      </c>
      <c r="Q119" s="8">
        <f t="shared" si="44"/>
        <v>0</v>
      </c>
      <c r="R119" s="8">
        <f t="shared" si="45"/>
        <v>-2</v>
      </c>
      <c r="S119" s="11">
        <f t="shared" si="46"/>
        <v>-0.30000000000000004</v>
      </c>
      <c r="T119" s="12">
        <f t="shared" si="47"/>
        <v>0.7857142857142857</v>
      </c>
      <c r="U119" s="13">
        <f t="shared" si="48"/>
        <v>-0.11765084440839468</v>
      </c>
      <c r="V119" s="24">
        <v>-2</v>
      </c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 spans="1:36" thickBot="1" x14ac:dyDescent="0.25">
      <c r="A120" s="1">
        <v>118</v>
      </c>
      <c r="B120" s="33">
        <v>45467</v>
      </c>
      <c r="C120" s="18" t="s">
        <v>27</v>
      </c>
      <c r="D120" s="19">
        <v>16</v>
      </c>
      <c r="E120" s="19" t="s">
        <v>21</v>
      </c>
      <c r="F120" s="19" t="s">
        <v>24</v>
      </c>
      <c r="G120" s="19" t="s">
        <v>26</v>
      </c>
      <c r="H120" s="18" t="s">
        <v>21</v>
      </c>
      <c r="I120" s="20">
        <v>2.7000000000000001E-3</v>
      </c>
      <c r="J120" s="19">
        <v>2.238</v>
      </c>
      <c r="K120" s="19">
        <v>3.4830000000000001</v>
      </c>
      <c r="L120" s="10">
        <f t="shared" si="18"/>
        <v>0.64254952627045647</v>
      </c>
      <c r="M120" s="14">
        <f t="shared" si="19"/>
        <v>1.0020138089758344</v>
      </c>
      <c r="N120" s="11">
        <f t="shared" si="41"/>
        <v>1</v>
      </c>
      <c r="O120" s="8">
        <f t="shared" si="42"/>
        <v>0</v>
      </c>
      <c r="P120" s="8">
        <f t="shared" si="43"/>
        <v>2</v>
      </c>
      <c r="Q120" s="8">
        <f t="shared" si="44"/>
        <v>-1</v>
      </c>
      <c r="R120" s="8">
        <f t="shared" si="45"/>
        <v>0</v>
      </c>
      <c r="S120" s="11">
        <f t="shared" si="46"/>
        <v>0.35000000000000003</v>
      </c>
      <c r="T120" s="12">
        <f t="shared" si="47"/>
        <v>1.4545454545454546</v>
      </c>
      <c r="U120" s="13">
        <f t="shared" si="48"/>
        <v>0.21146070576465703</v>
      </c>
      <c r="V120" s="24">
        <v>6</v>
      </c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 spans="1:36" thickBot="1" x14ac:dyDescent="0.25">
      <c r="A121" s="1">
        <v>119</v>
      </c>
      <c r="B121" s="33">
        <v>45468</v>
      </c>
      <c r="C121" s="18" t="s">
        <v>23</v>
      </c>
      <c r="D121" s="19">
        <v>25</v>
      </c>
      <c r="E121" s="19" t="s">
        <v>24</v>
      </c>
      <c r="F121" s="19" t="s">
        <v>24</v>
      </c>
      <c r="G121" s="19" t="s">
        <v>24</v>
      </c>
      <c r="H121" s="18" t="s">
        <v>24</v>
      </c>
      <c r="I121" s="20">
        <v>1.6500000000000001E-2</v>
      </c>
      <c r="J121" s="19">
        <v>2.548</v>
      </c>
      <c r="K121" s="19">
        <v>3.4969999999999999</v>
      </c>
      <c r="L121" s="10">
        <f t="shared" si="18"/>
        <v>0.72862453531598514</v>
      </c>
      <c r="M121" s="14">
        <f t="shared" si="19"/>
        <v>1.0040195233993683</v>
      </c>
      <c r="N121" s="11">
        <f t="shared" si="41"/>
        <v>2</v>
      </c>
      <c r="O121" s="8">
        <f t="shared" si="42"/>
        <v>2</v>
      </c>
      <c r="P121" s="8">
        <f t="shared" si="43"/>
        <v>2</v>
      </c>
      <c r="Q121" s="8">
        <f t="shared" si="44"/>
        <v>2</v>
      </c>
      <c r="R121" s="8">
        <f t="shared" si="45"/>
        <v>2</v>
      </c>
      <c r="S121" s="11">
        <f t="shared" si="46"/>
        <v>2</v>
      </c>
      <c r="T121" s="12">
        <f t="shared" si="47"/>
        <v>1.5625</v>
      </c>
      <c r="U121" s="13">
        <f t="shared" si="48"/>
        <v>1.6791290603588711</v>
      </c>
      <c r="V121" s="24">
        <v>16</v>
      </c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 spans="1:36" thickBot="1" x14ac:dyDescent="0.25">
      <c r="A122" s="1">
        <v>120</v>
      </c>
      <c r="B122" s="33">
        <v>45469</v>
      </c>
      <c r="C122" s="18" t="s">
        <v>27</v>
      </c>
      <c r="D122" s="19">
        <v>19</v>
      </c>
      <c r="E122" s="19" t="s">
        <v>21</v>
      </c>
      <c r="F122" s="19" t="s">
        <v>21</v>
      </c>
      <c r="G122" s="19" t="s">
        <v>24</v>
      </c>
      <c r="H122" s="18" t="s">
        <v>21</v>
      </c>
      <c r="I122" s="20">
        <v>5.0000000000000001E-3</v>
      </c>
      <c r="J122" s="19">
        <v>2.0470000000000002</v>
      </c>
      <c r="K122" s="19">
        <v>3.5019999999999998</v>
      </c>
      <c r="L122" s="10">
        <f t="shared" si="18"/>
        <v>0.5845231296402057</v>
      </c>
      <c r="M122" s="14">
        <f t="shared" si="19"/>
        <v>1.0014297969688304</v>
      </c>
      <c r="N122" s="11">
        <f t="shared" si="41"/>
        <v>1</v>
      </c>
      <c r="O122" s="8">
        <f t="shared" si="42"/>
        <v>0</v>
      </c>
      <c r="P122" s="8">
        <f t="shared" si="43"/>
        <v>0</v>
      </c>
      <c r="Q122" s="8">
        <f t="shared" si="44"/>
        <v>2</v>
      </c>
      <c r="R122" s="8">
        <f t="shared" si="45"/>
        <v>0</v>
      </c>
      <c r="S122" s="11">
        <f t="shared" si="46"/>
        <v>0.7</v>
      </c>
      <c r="T122" s="12">
        <f t="shared" si="47"/>
        <v>0.76</v>
      </c>
      <c r="U122" s="13">
        <f t="shared" si="48"/>
        <v>0.18254778280100589</v>
      </c>
      <c r="V122" s="24">
        <v>8</v>
      </c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1:36" thickBot="1" x14ac:dyDescent="0.25">
      <c r="A123" s="1">
        <v>121</v>
      </c>
      <c r="B123" s="33">
        <v>45470</v>
      </c>
      <c r="C123" s="18" t="s">
        <v>27</v>
      </c>
      <c r="D123" s="19">
        <v>9</v>
      </c>
      <c r="E123" s="19" t="s">
        <v>21</v>
      </c>
      <c r="F123" s="19" t="s">
        <v>21</v>
      </c>
      <c r="G123" s="19" t="s">
        <v>26</v>
      </c>
      <c r="H123" s="18" t="s">
        <v>21</v>
      </c>
      <c r="I123" s="20">
        <v>5.0000000000000001E-4</v>
      </c>
      <c r="J123" s="19">
        <v>2.2269999999999999</v>
      </c>
      <c r="K123" s="19">
        <v>3.4870000000000001</v>
      </c>
      <c r="L123" s="10">
        <f t="shared" si="18"/>
        <v>0.63865787209635783</v>
      </c>
      <c r="M123" s="14">
        <f t="shared" si="19"/>
        <v>0.99571673329525989</v>
      </c>
      <c r="N123" s="11">
        <f t="shared" si="41"/>
        <v>1</v>
      </c>
      <c r="O123" s="8">
        <f t="shared" si="42"/>
        <v>0</v>
      </c>
      <c r="P123" s="8">
        <f t="shared" si="43"/>
        <v>0</v>
      </c>
      <c r="Q123" s="8">
        <f t="shared" si="44"/>
        <v>-1</v>
      </c>
      <c r="R123" s="8">
        <f t="shared" si="45"/>
        <v>0</v>
      </c>
      <c r="S123" s="11">
        <f t="shared" si="46"/>
        <v>-4.9999999999999989E-2</v>
      </c>
      <c r="T123" s="12">
        <f t="shared" si="47"/>
        <v>0.47368421052631576</v>
      </c>
      <c r="U123" s="13">
        <f t="shared" si="48"/>
        <v>-9.5368042613222844E-3</v>
      </c>
      <c r="V123" s="24">
        <v>-4</v>
      </c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 spans="1:36" thickBot="1" x14ac:dyDescent="0.25">
      <c r="A124" s="1">
        <v>122</v>
      </c>
      <c r="B124" s="33">
        <v>45474</v>
      </c>
      <c r="C124" s="18" t="s">
        <v>25</v>
      </c>
      <c r="D124" s="19">
        <v>9</v>
      </c>
      <c r="E124" s="19" t="s">
        <v>21</v>
      </c>
      <c r="F124" s="19" t="s">
        <v>21</v>
      </c>
      <c r="G124" s="19" t="s">
        <v>22</v>
      </c>
      <c r="H124" s="18" t="s">
        <v>21</v>
      </c>
      <c r="I124" s="20">
        <v>3.8E-3</v>
      </c>
      <c r="J124" s="19">
        <v>1.5660000000000001</v>
      </c>
      <c r="K124" s="19">
        <v>3.347</v>
      </c>
      <c r="L124" s="10">
        <f t="shared" si="18"/>
        <v>0.46788168509112638</v>
      </c>
      <c r="M124" s="14">
        <f t="shared" si="19"/>
        <v>0.95985087467737307</v>
      </c>
      <c r="N124" s="11">
        <f t="shared" si="41"/>
        <v>-1</v>
      </c>
      <c r="O124" s="8">
        <f t="shared" si="42"/>
        <v>0</v>
      </c>
      <c r="P124" s="8">
        <f t="shared" si="43"/>
        <v>0</v>
      </c>
      <c r="Q124" s="8">
        <f t="shared" si="44"/>
        <v>1</v>
      </c>
      <c r="R124" s="8">
        <f t="shared" si="45"/>
        <v>0</v>
      </c>
      <c r="S124" s="11">
        <f t="shared" si="46"/>
        <v>4.9999999999999989E-2</v>
      </c>
      <c r="T124" s="12">
        <f t="shared" si="47"/>
        <v>1</v>
      </c>
      <c r="U124" s="13">
        <f t="shared" si="48"/>
        <v>9.6795103827420383E-3</v>
      </c>
      <c r="V124" s="24">
        <v>4</v>
      </c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 spans="1:36" thickBot="1" x14ac:dyDescent="0.25">
      <c r="A125" s="1">
        <v>123</v>
      </c>
      <c r="B125" s="33">
        <v>45475</v>
      </c>
      <c r="C125" s="18" t="s">
        <v>20</v>
      </c>
      <c r="D125" s="19">
        <v>10</v>
      </c>
      <c r="E125" s="19" t="s">
        <v>21</v>
      </c>
      <c r="F125" s="19" t="s">
        <v>21</v>
      </c>
      <c r="G125" s="19" t="s">
        <v>28</v>
      </c>
      <c r="H125" s="18" t="s">
        <v>21</v>
      </c>
      <c r="I125" s="20">
        <v>-6.7000000000000002E-3</v>
      </c>
      <c r="J125" s="19">
        <v>2.391</v>
      </c>
      <c r="K125" s="19">
        <v>3.254</v>
      </c>
      <c r="L125" s="10">
        <f t="shared" si="18"/>
        <v>0.73478795328826063</v>
      </c>
      <c r="M125" s="14">
        <f t="shared" si="19"/>
        <v>0.97221392291604425</v>
      </c>
      <c r="N125" s="11">
        <f t="shared" si="41"/>
        <v>-2</v>
      </c>
      <c r="O125" s="8">
        <f t="shared" si="42"/>
        <v>0</v>
      </c>
      <c r="P125" s="8">
        <f t="shared" si="43"/>
        <v>0</v>
      </c>
      <c r="Q125" s="8">
        <f t="shared" si="44"/>
        <v>-2</v>
      </c>
      <c r="R125" s="8">
        <f t="shared" si="45"/>
        <v>0</v>
      </c>
      <c r="S125" s="11">
        <f t="shared" si="46"/>
        <v>-0.9</v>
      </c>
      <c r="T125" s="12">
        <f t="shared" si="47"/>
        <v>1.1111111111111112</v>
      </c>
      <c r="U125" s="13">
        <f t="shared" si="48"/>
        <v>-0.49614607928117954</v>
      </c>
      <c r="V125" s="24">
        <v>-4</v>
      </c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1:36" thickBot="1" x14ac:dyDescent="0.25">
      <c r="A126" s="1">
        <v>124</v>
      </c>
      <c r="B126" s="33">
        <v>45476</v>
      </c>
      <c r="C126" s="18" t="s">
        <v>23</v>
      </c>
      <c r="D126" s="19">
        <v>7</v>
      </c>
      <c r="E126" s="19" t="s">
        <v>21</v>
      </c>
      <c r="F126" s="19" t="s">
        <v>21</v>
      </c>
      <c r="G126" s="19" t="s">
        <v>24</v>
      </c>
      <c r="H126" s="18" t="s">
        <v>24</v>
      </c>
      <c r="I126" s="20">
        <v>1.3599999999999999E-2</v>
      </c>
      <c r="J126" s="19">
        <v>3.8140000000000001</v>
      </c>
      <c r="K126" s="19">
        <v>2.9359999999999999</v>
      </c>
      <c r="L126" s="10">
        <f t="shared" si="18"/>
        <v>1.2990463215258856</v>
      </c>
      <c r="M126" s="14">
        <f t="shared" si="19"/>
        <v>0.90227412415488628</v>
      </c>
      <c r="N126" s="11">
        <f t="shared" si="41"/>
        <v>2</v>
      </c>
      <c r="O126" s="8">
        <f t="shared" si="42"/>
        <v>0</v>
      </c>
      <c r="P126" s="8">
        <f t="shared" si="43"/>
        <v>0</v>
      </c>
      <c r="Q126" s="8">
        <f t="shared" si="44"/>
        <v>2</v>
      </c>
      <c r="R126" s="8">
        <f t="shared" si="45"/>
        <v>2</v>
      </c>
      <c r="S126" s="11">
        <f t="shared" si="46"/>
        <v>1</v>
      </c>
      <c r="T126" s="12">
        <f t="shared" si="47"/>
        <v>0.7</v>
      </c>
      <c r="U126" s="13">
        <f t="shared" si="48"/>
        <v>0.86768646482042244</v>
      </c>
      <c r="V126" s="24">
        <v>2</v>
      </c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 spans="1:36" thickBot="1" x14ac:dyDescent="0.25">
      <c r="A127" s="1">
        <v>125</v>
      </c>
      <c r="B127" s="33">
        <v>45477</v>
      </c>
      <c r="C127" s="18" t="s">
        <v>25</v>
      </c>
      <c r="D127" s="19">
        <v>11</v>
      </c>
      <c r="E127" s="19" t="s">
        <v>21</v>
      </c>
      <c r="F127" s="19" t="s">
        <v>28</v>
      </c>
      <c r="G127" s="19" t="s">
        <v>22</v>
      </c>
      <c r="H127" s="18" t="s">
        <v>21</v>
      </c>
      <c r="I127" s="20">
        <v>1.5E-3</v>
      </c>
      <c r="J127" s="19">
        <v>1.8240000000000001</v>
      </c>
      <c r="K127" s="19">
        <v>2.6269999999999998</v>
      </c>
      <c r="L127" s="10">
        <f t="shared" si="18"/>
        <v>0.69432813094784929</v>
      </c>
      <c r="M127" s="14">
        <f t="shared" si="19"/>
        <v>0.89475476839237056</v>
      </c>
      <c r="N127" s="11">
        <f t="shared" si="41"/>
        <v>-1</v>
      </c>
      <c r="O127" s="8">
        <f t="shared" si="42"/>
        <v>0</v>
      </c>
      <c r="P127" s="8">
        <f t="shared" si="43"/>
        <v>-2</v>
      </c>
      <c r="Q127" s="8">
        <f t="shared" si="44"/>
        <v>1</v>
      </c>
      <c r="R127" s="8">
        <f t="shared" si="45"/>
        <v>0</v>
      </c>
      <c r="S127" s="11">
        <f t="shared" si="46"/>
        <v>-0.35000000000000003</v>
      </c>
      <c r="T127" s="12">
        <f t="shared" si="47"/>
        <v>1.5714285714285714</v>
      </c>
      <c r="U127" s="13">
        <f t="shared" si="48"/>
        <v>-0.18993468311487907</v>
      </c>
      <c r="V127" s="24">
        <v>8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 spans="1:36" thickBot="1" x14ac:dyDescent="0.25">
      <c r="A128" s="1">
        <v>126</v>
      </c>
      <c r="B128" s="33">
        <v>45478</v>
      </c>
      <c r="C128" s="18" t="s">
        <v>20</v>
      </c>
      <c r="D128" s="19">
        <v>11</v>
      </c>
      <c r="E128" s="19" t="s">
        <v>21</v>
      </c>
      <c r="F128" s="19" t="s">
        <v>21</v>
      </c>
      <c r="G128" s="19" t="s">
        <v>28</v>
      </c>
      <c r="H128" s="18" t="s">
        <v>28</v>
      </c>
      <c r="I128" s="20">
        <v>-7.7999999999999996E-3</v>
      </c>
      <c r="J128" s="19">
        <v>2.5880000000000001</v>
      </c>
      <c r="K128" s="19">
        <v>2.5830000000000002</v>
      </c>
      <c r="L128" s="10">
        <f t="shared" si="18"/>
        <v>1.0019357336430508</v>
      </c>
      <c r="M128" s="14">
        <f t="shared" si="19"/>
        <v>0.98325085649029331</v>
      </c>
      <c r="N128" s="11">
        <f t="shared" si="41"/>
        <v>-2</v>
      </c>
      <c r="O128" s="8">
        <f t="shared" si="42"/>
        <v>0</v>
      </c>
      <c r="P128" s="8">
        <f t="shared" si="43"/>
        <v>0</v>
      </c>
      <c r="Q128" s="8">
        <f t="shared" si="44"/>
        <v>-2</v>
      </c>
      <c r="R128" s="8">
        <f t="shared" si="45"/>
        <v>-2</v>
      </c>
      <c r="S128" s="11">
        <f t="shared" si="46"/>
        <v>-1</v>
      </c>
      <c r="T128" s="12">
        <f t="shared" si="47"/>
        <v>1</v>
      </c>
      <c r="U128" s="13">
        <f t="shared" si="48"/>
        <v>-0.95427321015919664</v>
      </c>
      <c r="V128" s="24">
        <v>4</v>
      </c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 spans="1:36" thickBot="1" x14ac:dyDescent="0.25">
      <c r="A129" s="1">
        <v>127</v>
      </c>
      <c r="B129" s="33">
        <v>45481</v>
      </c>
      <c r="C129" s="18" t="s">
        <v>25</v>
      </c>
      <c r="D129" s="19">
        <v>9</v>
      </c>
      <c r="E129" s="19" t="s">
        <v>21</v>
      </c>
      <c r="F129" s="19" t="s">
        <v>21</v>
      </c>
      <c r="G129" s="19" t="s">
        <v>21</v>
      </c>
      <c r="H129" s="18" t="s">
        <v>28</v>
      </c>
      <c r="I129" s="20">
        <v>-3.3E-3</v>
      </c>
      <c r="J129" s="19">
        <v>1.8620000000000001</v>
      </c>
      <c r="K129" s="19">
        <v>2.5089999999999999</v>
      </c>
      <c r="L129" s="10">
        <f t="shared" si="18"/>
        <v>0.74212833798326028</v>
      </c>
      <c r="M129" s="14">
        <f t="shared" si="19"/>
        <v>0.97135114208284934</v>
      </c>
      <c r="N129" s="11">
        <f t="shared" si="41"/>
        <v>-1</v>
      </c>
      <c r="O129" s="8">
        <f t="shared" si="42"/>
        <v>0</v>
      </c>
      <c r="P129" s="8">
        <f t="shared" si="43"/>
        <v>0</v>
      </c>
      <c r="Q129" s="8">
        <f t="shared" si="44"/>
        <v>0</v>
      </c>
      <c r="R129" s="8">
        <f t="shared" si="45"/>
        <v>-2</v>
      </c>
      <c r="S129" s="11">
        <f t="shared" si="46"/>
        <v>-0.30000000000000004</v>
      </c>
      <c r="T129" s="12">
        <f t="shared" si="47"/>
        <v>0.81818181818181823</v>
      </c>
      <c r="U129" s="13">
        <f t="shared" si="48"/>
        <v>-0.12389616824259388</v>
      </c>
      <c r="V129" s="24">
        <v>-4</v>
      </c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 spans="1:36" thickBot="1" x14ac:dyDescent="0.25">
      <c r="A130" s="1">
        <v>128</v>
      </c>
      <c r="B130" s="33">
        <v>45482</v>
      </c>
      <c r="C130" s="18" t="s">
        <v>27</v>
      </c>
      <c r="D130" s="19">
        <v>4</v>
      </c>
      <c r="E130" s="19" t="s">
        <v>21</v>
      </c>
      <c r="F130" s="19" t="s">
        <v>21</v>
      </c>
      <c r="G130" s="19" t="s">
        <v>24</v>
      </c>
      <c r="H130" s="18" t="s">
        <v>21</v>
      </c>
      <c r="I130" s="20">
        <v>1.1000000000000001E-3</v>
      </c>
      <c r="J130" s="19">
        <v>1.1040000000000001</v>
      </c>
      <c r="K130" s="19">
        <v>2.4350000000000001</v>
      </c>
      <c r="L130" s="10">
        <f t="shared" si="18"/>
        <v>0.45338809034907601</v>
      </c>
      <c r="M130" s="14">
        <f t="shared" si="19"/>
        <v>0.97050617776006387</v>
      </c>
      <c r="N130" s="11">
        <f t="shared" si="41"/>
        <v>1</v>
      </c>
      <c r="O130" s="8">
        <f t="shared" si="42"/>
        <v>0</v>
      </c>
      <c r="P130" s="8">
        <f t="shared" si="43"/>
        <v>0</v>
      </c>
      <c r="Q130" s="8">
        <f t="shared" si="44"/>
        <v>2</v>
      </c>
      <c r="R130" s="8">
        <f t="shared" si="45"/>
        <v>0</v>
      </c>
      <c r="S130" s="11">
        <f t="shared" si="46"/>
        <v>0.7</v>
      </c>
      <c r="T130" s="12">
        <f t="shared" si="47"/>
        <v>0.44444444444444442</v>
      </c>
      <c r="U130" s="13">
        <f t="shared" si="48"/>
        <v>5.8458901502227052E-2</v>
      </c>
      <c r="V130" s="24">
        <v>7</v>
      </c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 spans="1:36" thickBot="1" x14ac:dyDescent="0.25">
      <c r="A131" s="1">
        <v>129</v>
      </c>
      <c r="B131" s="33">
        <v>45483</v>
      </c>
      <c r="C131" s="18" t="s">
        <v>20</v>
      </c>
      <c r="D131" s="19">
        <v>8</v>
      </c>
      <c r="E131" s="19" t="s">
        <v>21</v>
      </c>
      <c r="F131" s="19" t="s">
        <v>21</v>
      </c>
      <c r="G131" s="19" t="s">
        <v>28</v>
      </c>
      <c r="H131" s="18" t="s">
        <v>28</v>
      </c>
      <c r="I131" s="20">
        <v>-5.4000000000000003E-3</v>
      </c>
      <c r="J131" s="19">
        <v>2.2370000000000001</v>
      </c>
      <c r="K131" s="19">
        <v>2.4390000000000001</v>
      </c>
      <c r="L131" s="10">
        <f t="shared" ref="L131:L194" si="49">J131/K131</f>
        <v>0.91717917179171793</v>
      </c>
      <c r="M131" s="14">
        <f t="shared" si="19"/>
        <v>1.0016427104722792</v>
      </c>
      <c r="N131" s="11">
        <f t="shared" si="41"/>
        <v>-2</v>
      </c>
      <c r="O131" s="8">
        <f t="shared" si="42"/>
        <v>0</v>
      </c>
      <c r="P131" s="8">
        <f t="shared" si="43"/>
        <v>0</v>
      </c>
      <c r="Q131" s="8">
        <f t="shared" si="44"/>
        <v>-2</v>
      </c>
      <c r="R131" s="8">
        <f t="shared" si="45"/>
        <v>-2</v>
      </c>
      <c r="S131" s="11">
        <f t="shared" si="46"/>
        <v>-1</v>
      </c>
      <c r="T131" s="12">
        <f t="shared" si="47"/>
        <v>2</v>
      </c>
      <c r="U131" s="13">
        <f t="shared" si="48"/>
        <v>-1.6907401560309665</v>
      </c>
      <c r="V131" s="24">
        <v>-5</v>
      </c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 spans="1:36" thickBot="1" x14ac:dyDescent="0.25">
      <c r="A132" s="1">
        <v>130</v>
      </c>
      <c r="B132" s="33">
        <v>45484</v>
      </c>
      <c r="C132" s="18" t="s">
        <v>25</v>
      </c>
      <c r="D132" s="19">
        <v>16</v>
      </c>
      <c r="E132" s="19" t="s">
        <v>21</v>
      </c>
      <c r="F132" s="19" t="s">
        <v>28</v>
      </c>
      <c r="G132" s="19" t="s">
        <v>21</v>
      </c>
      <c r="H132" s="18" t="s">
        <v>21</v>
      </c>
      <c r="I132" s="20">
        <v>2.5999999999999999E-3</v>
      </c>
      <c r="J132" s="19">
        <v>2.5750000000000002</v>
      </c>
      <c r="K132" s="19">
        <v>2.4300000000000002</v>
      </c>
      <c r="L132" s="10">
        <f t="shared" si="49"/>
        <v>1.059670781893004</v>
      </c>
      <c r="M132" s="14">
        <f t="shared" ref="M132:M195" si="50">K132/K131</f>
        <v>0.99630996309963105</v>
      </c>
      <c r="N132" s="11">
        <f t="shared" si="41"/>
        <v>-1</v>
      </c>
      <c r="O132" s="8">
        <f t="shared" si="42"/>
        <v>0</v>
      </c>
      <c r="P132" s="8">
        <f t="shared" si="43"/>
        <v>-2</v>
      </c>
      <c r="Q132" s="8">
        <f t="shared" si="44"/>
        <v>0</v>
      </c>
      <c r="R132" s="8">
        <f t="shared" si="45"/>
        <v>0</v>
      </c>
      <c r="S132" s="11">
        <f t="shared" si="46"/>
        <v>-0.60000000000000009</v>
      </c>
      <c r="T132" s="12">
        <f t="shared" si="47"/>
        <v>2</v>
      </c>
      <c r="U132" s="13">
        <f t="shared" si="48"/>
        <v>-1.332620793426518</v>
      </c>
      <c r="V132" s="24">
        <v>2</v>
      </c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 spans="1:36" thickBot="1" x14ac:dyDescent="0.25">
      <c r="A133" s="1">
        <v>131</v>
      </c>
      <c r="B133" s="33">
        <v>45485</v>
      </c>
      <c r="C133" s="18" t="s">
        <v>23</v>
      </c>
      <c r="D133" s="19">
        <v>11</v>
      </c>
      <c r="E133" s="19" t="s">
        <v>21</v>
      </c>
      <c r="F133" s="19" t="s">
        <v>21</v>
      </c>
      <c r="G133" s="19" t="s">
        <v>26</v>
      </c>
      <c r="H133" s="18" t="s">
        <v>21</v>
      </c>
      <c r="I133" s="20">
        <v>-1.6000000000000001E-3</v>
      </c>
      <c r="J133" s="19">
        <v>2.351</v>
      </c>
      <c r="K133" s="19">
        <v>2.4820000000000002</v>
      </c>
      <c r="L133" s="10">
        <f t="shared" si="49"/>
        <v>0.94721998388396444</v>
      </c>
      <c r="M133" s="14">
        <f t="shared" si="50"/>
        <v>1.0213991769547326</v>
      </c>
      <c r="N133" s="11">
        <f t="shared" si="41"/>
        <v>2</v>
      </c>
      <c r="O133" s="8">
        <f t="shared" si="42"/>
        <v>0</v>
      </c>
      <c r="P133" s="8">
        <f t="shared" si="43"/>
        <v>0</v>
      </c>
      <c r="Q133" s="8">
        <f t="shared" si="44"/>
        <v>-1</v>
      </c>
      <c r="R133" s="8">
        <f t="shared" si="45"/>
        <v>0</v>
      </c>
      <c r="S133" s="11">
        <f t="shared" si="46"/>
        <v>0.15000000000000002</v>
      </c>
      <c r="T133" s="12">
        <f t="shared" si="47"/>
        <v>0.6875</v>
      </c>
      <c r="U133" s="13">
        <f t="shared" si="48"/>
        <v>9.8594383597039856E-2</v>
      </c>
      <c r="V133" s="24">
        <v>-2</v>
      </c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 spans="1:36" thickBot="1" x14ac:dyDescent="0.25">
      <c r="A134" s="1">
        <v>132</v>
      </c>
      <c r="B134" s="33">
        <v>45488</v>
      </c>
      <c r="C134" s="18" t="s">
        <v>25</v>
      </c>
      <c r="D134" s="19">
        <v>12</v>
      </c>
      <c r="E134" s="19" t="s">
        <v>21</v>
      </c>
      <c r="F134" s="19" t="s">
        <v>21</v>
      </c>
      <c r="G134" s="19" t="s">
        <v>21</v>
      </c>
      <c r="H134" s="18" t="s">
        <v>21</v>
      </c>
      <c r="I134" s="20">
        <v>5.1999999999999998E-3</v>
      </c>
      <c r="J134" s="19">
        <v>1.9910000000000001</v>
      </c>
      <c r="K134" s="19">
        <v>2.5009999999999999</v>
      </c>
      <c r="L134" s="10">
        <f t="shared" si="49"/>
        <v>0.7960815673730508</v>
      </c>
      <c r="M134" s="14">
        <f t="shared" si="50"/>
        <v>1.0076551168412569</v>
      </c>
      <c r="N134" s="11">
        <f t="shared" si="41"/>
        <v>-1</v>
      </c>
      <c r="O134" s="8">
        <f t="shared" si="42"/>
        <v>0</v>
      </c>
      <c r="P134" s="8">
        <f t="shared" si="43"/>
        <v>0</v>
      </c>
      <c r="Q134" s="8">
        <f t="shared" si="44"/>
        <v>0</v>
      </c>
      <c r="R134" s="8">
        <f t="shared" si="45"/>
        <v>0</v>
      </c>
      <c r="S134" s="11">
        <f t="shared" si="46"/>
        <v>-0.2</v>
      </c>
      <c r="T134" s="12">
        <f t="shared" si="47"/>
        <v>1.0909090909090908</v>
      </c>
      <c r="U134" s="13">
        <f t="shared" si="48"/>
        <v>-0.14147165588480104</v>
      </c>
      <c r="V134" s="24">
        <v>4</v>
      </c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spans="1:36" thickBot="1" x14ac:dyDescent="0.25">
      <c r="A135" s="1">
        <v>133</v>
      </c>
      <c r="B135" s="33">
        <v>45489</v>
      </c>
      <c r="C135" s="18" t="s">
        <v>27</v>
      </c>
      <c r="D135" s="19">
        <v>4</v>
      </c>
      <c r="E135" s="19" t="s">
        <v>21</v>
      </c>
      <c r="F135" s="19" t="s">
        <v>21</v>
      </c>
      <c r="G135" s="19" t="s">
        <v>26</v>
      </c>
      <c r="H135" s="18" t="s">
        <v>21</v>
      </c>
      <c r="I135" s="20">
        <v>-2.0999999999999999E-3</v>
      </c>
      <c r="J135" s="19">
        <v>1.216</v>
      </c>
      <c r="K135" s="19">
        <v>2.468</v>
      </c>
      <c r="L135" s="10">
        <f t="shared" si="49"/>
        <v>0.49270664505672607</v>
      </c>
      <c r="M135" s="14">
        <f t="shared" si="50"/>
        <v>0.98680527788884453</v>
      </c>
      <c r="N135" s="11">
        <f t="shared" si="41"/>
        <v>1</v>
      </c>
      <c r="O135" s="8">
        <f t="shared" si="42"/>
        <v>0</v>
      </c>
      <c r="P135" s="8">
        <f t="shared" si="43"/>
        <v>0</v>
      </c>
      <c r="Q135" s="8">
        <f t="shared" si="44"/>
        <v>-1</v>
      </c>
      <c r="R135" s="8">
        <f t="shared" si="45"/>
        <v>0</v>
      </c>
      <c r="S135" s="11">
        <f t="shared" si="46"/>
        <v>-4.9999999999999989E-2</v>
      </c>
      <c r="T135" s="12">
        <f t="shared" si="47"/>
        <v>0.33333333333333331</v>
      </c>
      <c r="U135" s="13">
        <f t="shared" si="48"/>
        <v>-3.8879438095000755E-3</v>
      </c>
      <c r="V135" s="24">
        <v>-2</v>
      </c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1:36" thickBot="1" x14ac:dyDescent="0.25">
      <c r="A136" s="1">
        <v>134</v>
      </c>
      <c r="B136" s="33">
        <v>45491</v>
      </c>
      <c r="C136" s="18" t="s">
        <v>27</v>
      </c>
      <c r="D136" s="19">
        <v>13</v>
      </c>
      <c r="E136" s="19" t="s">
        <v>21</v>
      </c>
      <c r="F136" s="19" t="s">
        <v>21</v>
      </c>
      <c r="G136" s="19" t="s">
        <v>21</v>
      </c>
      <c r="H136" s="18" t="s">
        <v>21</v>
      </c>
      <c r="I136" s="20">
        <v>2.3999999999999998E-3</v>
      </c>
      <c r="J136" s="19">
        <v>2.6</v>
      </c>
      <c r="K136" s="19">
        <v>2.31</v>
      </c>
      <c r="L136" s="10">
        <f t="shared" si="49"/>
        <v>1.1255411255411256</v>
      </c>
      <c r="M136" s="14">
        <f t="shared" si="50"/>
        <v>0.93598055105348466</v>
      </c>
      <c r="N136" s="11">
        <f t="shared" si="41"/>
        <v>1</v>
      </c>
      <c r="O136" s="8">
        <f t="shared" si="42"/>
        <v>0</v>
      </c>
      <c r="P136" s="8">
        <f t="shared" si="43"/>
        <v>0</v>
      </c>
      <c r="Q136" s="8">
        <f t="shared" si="44"/>
        <v>0</v>
      </c>
      <c r="R136" s="8">
        <f t="shared" si="45"/>
        <v>0</v>
      </c>
      <c r="S136" s="11">
        <f t="shared" si="46"/>
        <v>0.2</v>
      </c>
      <c r="T136" s="12">
        <f t="shared" si="47"/>
        <v>3.25</v>
      </c>
      <c r="U136" s="13">
        <f t="shared" si="48"/>
        <v>0.6752064252790686</v>
      </c>
      <c r="V136" s="24">
        <v>4</v>
      </c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thickBot="1" x14ac:dyDescent="0.25">
      <c r="A137" s="1">
        <v>135</v>
      </c>
      <c r="B137" s="33">
        <v>45492</v>
      </c>
      <c r="C137" s="18" t="s">
        <v>20</v>
      </c>
      <c r="D137" s="19">
        <v>8</v>
      </c>
      <c r="E137" s="19" t="s">
        <v>21</v>
      </c>
      <c r="F137" s="19" t="s">
        <v>21</v>
      </c>
      <c r="G137" s="19" t="s">
        <v>21</v>
      </c>
      <c r="H137" s="18" t="s">
        <v>28</v>
      </c>
      <c r="I137" s="20">
        <v>-7.7999999999999996E-3</v>
      </c>
      <c r="J137" s="19">
        <v>2.0590000000000002</v>
      </c>
      <c r="K137" s="19">
        <v>2.2930000000000001</v>
      </c>
      <c r="L137" s="10">
        <f t="shared" si="49"/>
        <v>0.8979502834714348</v>
      </c>
      <c r="M137" s="14">
        <f t="shared" si="50"/>
        <v>0.99264069264069266</v>
      </c>
      <c r="N137" s="11">
        <f t="shared" si="41"/>
        <v>-2</v>
      </c>
      <c r="O137" s="8">
        <f t="shared" si="42"/>
        <v>0</v>
      </c>
      <c r="P137" s="8">
        <f t="shared" si="43"/>
        <v>0</v>
      </c>
      <c r="Q137" s="8">
        <f t="shared" si="44"/>
        <v>0</v>
      </c>
      <c r="R137" s="8">
        <f t="shared" si="45"/>
        <v>-2</v>
      </c>
      <c r="S137" s="11">
        <f t="shared" si="46"/>
        <v>-0.5</v>
      </c>
      <c r="T137" s="12">
        <f t="shared" si="47"/>
        <v>0.61538461538461542</v>
      </c>
      <c r="U137" s="13">
        <f t="shared" si="48"/>
        <v>-0.24265958320335113</v>
      </c>
      <c r="V137" s="24">
        <v>-6</v>
      </c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thickBot="1" x14ac:dyDescent="0.25">
      <c r="A138" s="1">
        <v>136</v>
      </c>
      <c r="B138" s="33">
        <v>45495</v>
      </c>
      <c r="C138" s="18" t="s">
        <v>25</v>
      </c>
      <c r="D138" s="19">
        <v>7</v>
      </c>
      <c r="E138" s="19" t="s">
        <v>21</v>
      </c>
      <c r="F138" s="19" t="s">
        <v>21</v>
      </c>
      <c r="G138" s="19" t="s">
        <v>22</v>
      </c>
      <c r="H138" s="18" t="s">
        <v>21</v>
      </c>
      <c r="I138" s="20">
        <v>1E-4</v>
      </c>
      <c r="J138" s="19">
        <v>1.552</v>
      </c>
      <c r="K138" s="19">
        <v>2.2480000000000002</v>
      </c>
      <c r="L138" s="10">
        <f t="shared" si="49"/>
        <v>0.69039145907473309</v>
      </c>
      <c r="M138" s="14">
        <f t="shared" si="50"/>
        <v>0.98037505451373752</v>
      </c>
      <c r="N138" s="11">
        <f t="shared" si="41"/>
        <v>-1</v>
      </c>
      <c r="O138" s="8">
        <f t="shared" si="42"/>
        <v>0</v>
      </c>
      <c r="P138" s="8">
        <f t="shared" si="43"/>
        <v>0</v>
      </c>
      <c r="Q138" s="8">
        <f t="shared" si="44"/>
        <v>1</v>
      </c>
      <c r="R138" s="8">
        <f t="shared" si="45"/>
        <v>0</v>
      </c>
      <c r="S138" s="11">
        <f t="shared" si="46"/>
        <v>4.9999999999999989E-2</v>
      </c>
      <c r="T138" s="12">
        <f t="shared" si="47"/>
        <v>0.875</v>
      </c>
      <c r="U138" s="13">
        <f t="shared" si="48"/>
        <v>1.9649234419760103E-2</v>
      </c>
      <c r="V138" s="24">
        <v>-2</v>
      </c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thickBot="1" x14ac:dyDescent="0.25">
      <c r="A139" s="1">
        <v>137</v>
      </c>
      <c r="B139" s="33">
        <v>45496</v>
      </c>
      <c r="C139" s="18" t="s">
        <v>25</v>
      </c>
      <c r="D139" s="19">
        <v>23</v>
      </c>
      <c r="E139" s="19" t="s">
        <v>21</v>
      </c>
      <c r="F139" s="19" t="s">
        <v>28</v>
      </c>
      <c r="G139" s="19" t="s">
        <v>21</v>
      </c>
      <c r="H139" s="18" t="s">
        <v>28</v>
      </c>
      <c r="I139" s="20">
        <v>-9.4000000000000004E-3</v>
      </c>
      <c r="J139" s="19">
        <v>3.8069999999999999</v>
      </c>
      <c r="K139" s="19">
        <v>2.3239999999999998</v>
      </c>
      <c r="L139" s="10">
        <f t="shared" si="49"/>
        <v>1.6381239242685026</v>
      </c>
      <c r="M139" s="14">
        <f t="shared" si="50"/>
        <v>1.0338078291814945</v>
      </c>
      <c r="N139" s="11">
        <f t="shared" si="41"/>
        <v>-1</v>
      </c>
      <c r="O139" s="8">
        <f t="shared" si="42"/>
        <v>0</v>
      </c>
      <c r="P139" s="8">
        <f t="shared" si="43"/>
        <v>-2</v>
      </c>
      <c r="Q139" s="8">
        <f t="shared" si="44"/>
        <v>0</v>
      </c>
      <c r="R139" s="8">
        <f t="shared" si="45"/>
        <v>-2</v>
      </c>
      <c r="S139" s="11">
        <f t="shared" si="46"/>
        <v>-0.70000000000000007</v>
      </c>
      <c r="T139" s="12">
        <f t="shared" si="47"/>
        <v>3.2857142857142856</v>
      </c>
      <c r="U139" s="13">
        <f t="shared" si="48"/>
        <v>-6.8193156389896563</v>
      </c>
      <c r="V139" s="24">
        <v>-2</v>
      </c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 spans="1:36" thickBot="1" x14ac:dyDescent="0.25">
      <c r="A140" s="1">
        <v>138</v>
      </c>
      <c r="B140" s="33">
        <v>45497</v>
      </c>
      <c r="C140" s="18" t="s">
        <v>20</v>
      </c>
      <c r="D140" s="19">
        <v>21</v>
      </c>
      <c r="E140" s="19" t="s">
        <v>21</v>
      </c>
      <c r="F140" s="19" t="s">
        <v>28</v>
      </c>
      <c r="G140" s="19" t="s">
        <v>22</v>
      </c>
      <c r="H140" s="18" t="s">
        <v>28</v>
      </c>
      <c r="I140" s="20">
        <v>-8.3999999999999995E-3</v>
      </c>
      <c r="J140" s="19">
        <v>3.5790000000000002</v>
      </c>
      <c r="K140" s="19">
        <v>2.38</v>
      </c>
      <c r="L140" s="10">
        <f t="shared" si="49"/>
        <v>1.5037815126050422</v>
      </c>
      <c r="M140" s="14">
        <f t="shared" si="50"/>
        <v>1.0240963855421688</v>
      </c>
      <c r="N140" s="11">
        <f t="shared" si="41"/>
        <v>-2</v>
      </c>
      <c r="O140" s="8">
        <f t="shared" si="42"/>
        <v>0</v>
      </c>
      <c r="P140" s="8">
        <f t="shared" si="43"/>
        <v>-2</v>
      </c>
      <c r="Q140" s="8">
        <f t="shared" si="44"/>
        <v>1</v>
      </c>
      <c r="R140" s="8">
        <f t="shared" si="45"/>
        <v>-2</v>
      </c>
      <c r="S140" s="11">
        <f t="shared" si="46"/>
        <v>-0.65</v>
      </c>
      <c r="T140" s="12">
        <f t="shared" si="47"/>
        <v>0.91304347826086951</v>
      </c>
      <c r="U140" s="13">
        <f t="shared" si="48"/>
        <v>-1.4414407582884403</v>
      </c>
      <c r="V140" s="24">
        <v>-4</v>
      </c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spans="1:36" thickBot="1" x14ac:dyDescent="0.25">
      <c r="A141" s="1">
        <v>139</v>
      </c>
      <c r="B141" s="33">
        <v>45498</v>
      </c>
      <c r="C141" s="18" t="s">
        <v>20</v>
      </c>
      <c r="D141" s="19">
        <v>8</v>
      </c>
      <c r="E141" s="19" t="s">
        <v>21</v>
      </c>
      <c r="F141" s="19" t="s">
        <v>21</v>
      </c>
      <c r="G141" s="19" t="s">
        <v>28</v>
      </c>
      <c r="H141" s="18" t="s">
        <v>28</v>
      </c>
      <c r="I141" s="20">
        <v>-8.8999999999999999E-3</v>
      </c>
      <c r="J141" s="19">
        <v>1.6220000000000001</v>
      </c>
      <c r="K141" s="19">
        <v>2.359</v>
      </c>
      <c r="L141" s="10">
        <f t="shared" si="49"/>
        <v>0.68757948283170844</v>
      </c>
      <c r="M141" s="14">
        <f t="shared" si="50"/>
        <v>0.99117647058823533</v>
      </c>
      <c r="N141" s="11">
        <f t="shared" si="41"/>
        <v>-2</v>
      </c>
      <c r="O141" s="8">
        <f t="shared" si="42"/>
        <v>0</v>
      </c>
      <c r="P141" s="8">
        <f t="shared" si="43"/>
        <v>0</v>
      </c>
      <c r="Q141" s="8">
        <f t="shared" si="44"/>
        <v>-2</v>
      </c>
      <c r="R141" s="8">
        <f t="shared" si="45"/>
        <v>-2</v>
      </c>
      <c r="S141" s="11">
        <f t="shared" si="46"/>
        <v>-1</v>
      </c>
      <c r="T141" s="12">
        <f t="shared" si="47"/>
        <v>0.38095238095238093</v>
      </c>
      <c r="U141" s="13">
        <f t="shared" si="48"/>
        <v>-0.17537571786005557</v>
      </c>
      <c r="V141" s="24">
        <v>0</v>
      </c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 spans="1:36" thickBot="1" x14ac:dyDescent="0.25">
      <c r="A142" s="1">
        <v>140</v>
      </c>
      <c r="B142" s="33">
        <v>45499</v>
      </c>
      <c r="C142" s="18" t="s">
        <v>27</v>
      </c>
      <c r="D142" s="19">
        <v>20</v>
      </c>
      <c r="E142" s="19" t="s">
        <v>21</v>
      </c>
      <c r="F142" s="19" t="s">
        <v>24</v>
      </c>
      <c r="G142" s="19" t="s">
        <v>22</v>
      </c>
      <c r="H142" s="18" t="s">
        <v>21</v>
      </c>
      <c r="I142" s="20">
        <v>6.8999999999999999E-3</v>
      </c>
      <c r="J142" s="19">
        <v>1.968</v>
      </c>
      <c r="K142" s="19">
        <v>2.3479999999999999</v>
      </c>
      <c r="L142" s="10">
        <f t="shared" si="49"/>
        <v>0.83816013628620101</v>
      </c>
      <c r="M142" s="14">
        <f t="shared" si="50"/>
        <v>0.99533700720644336</v>
      </c>
      <c r="N142" s="11">
        <f t="shared" si="41"/>
        <v>1</v>
      </c>
      <c r="O142" s="8">
        <f t="shared" si="42"/>
        <v>0</v>
      </c>
      <c r="P142" s="8">
        <f t="shared" si="43"/>
        <v>2</v>
      </c>
      <c r="Q142" s="8">
        <f t="shared" si="44"/>
        <v>1</v>
      </c>
      <c r="R142" s="8">
        <f t="shared" si="45"/>
        <v>0</v>
      </c>
      <c r="S142" s="11">
        <f t="shared" si="46"/>
        <v>0.85000000000000009</v>
      </c>
      <c r="T142" s="12">
        <f t="shared" si="47"/>
        <v>2.5</v>
      </c>
      <c r="U142" s="13">
        <f t="shared" si="48"/>
        <v>1.4720528163355691</v>
      </c>
      <c r="V142" s="24">
        <v>6</v>
      </c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spans="1:36" thickBot="1" x14ac:dyDescent="0.25">
      <c r="A143" s="1">
        <v>141</v>
      </c>
      <c r="B143" s="33">
        <v>45502</v>
      </c>
      <c r="C143" s="18" t="s">
        <v>27</v>
      </c>
      <c r="D143" s="19">
        <v>23</v>
      </c>
      <c r="E143" s="19" t="s">
        <v>21</v>
      </c>
      <c r="F143" s="19" t="s">
        <v>21</v>
      </c>
      <c r="G143" s="19" t="s">
        <v>26</v>
      </c>
      <c r="H143" s="18" t="s">
        <v>24</v>
      </c>
      <c r="I143" s="20">
        <v>1.4E-3</v>
      </c>
      <c r="J143" s="19">
        <v>2.8050000000000002</v>
      </c>
      <c r="K143" s="19">
        <v>2.3679999999999999</v>
      </c>
      <c r="L143" s="10">
        <f t="shared" si="49"/>
        <v>1.1845439189189191</v>
      </c>
      <c r="M143" s="14">
        <f t="shared" si="50"/>
        <v>1.0085178875638843</v>
      </c>
      <c r="N143" s="11">
        <f t="shared" si="41"/>
        <v>1</v>
      </c>
      <c r="O143" s="8">
        <f t="shared" si="42"/>
        <v>0</v>
      </c>
      <c r="P143" s="8">
        <f t="shared" si="43"/>
        <v>0</v>
      </c>
      <c r="Q143" s="8">
        <f t="shared" si="44"/>
        <v>-1</v>
      </c>
      <c r="R143" s="8">
        <f t="shared" si="45"/>
        <v>2</v>
      </c>
      <c r="S143" s="11">
        <f t="shared" si="46"/>
        <v>5.0000000000000017E-2</v>
      </c>
      <c r="T143" s="12">
        <f t="shared" si="47"/>
        <v>1.1499999999999999</v>
      </c>
      <c r="U143" s="13">
        <f t="shared" si="48"/>
        <v>8.2760097987855927E-2</v>
      </c>
      <c r="V143" s="24">
        <v>0</v>
      </c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 spans="1:36" thickBot="1" x14ac:dyDescent="0.25">
      <c r="A144" s="1">
        <v>142</v>
      </c>
      <c r="B144" s="33">
        <v>45503</v>
      </c>
      <c r="C144" s="18" t="s">
        <v>29</v>
      </c>
      <c r="D144" s="19">
        <v>13</v>
      </c>
      <c r="E144" s="19" t="s">
        <v>21</v>
      </c>
      <c r="F144" s="19" t="s">
        <v>24</v>
      </c>
      <c r="G144" s="19" t="s">
        <v>21</v>
      </c>
      <c r="H144" s="18" t="s">
        <v>24</v>
      </c>
      <c r="I144" s="20">
        <v>2.5000000000000001E-3</v>
      </c>
      <c r="J144" s="19">
        <v>1.7110000000000001</v>
      </c>
      <c r="K144" s="19">
        <v>2.3740000000000001</v>
      </c>
      <c r="L144" s="10">
        <f t="shared" si="49"/>
        <v>0.72072451558550965</v>
      </c>
      <c r="M144" s="14">
        <f t="shared" si="50"/>
        <v>1.0025337837837838</v>
      </c>
      <c r="N144" s="11">
        <f t="shared" si="41"/>
        <v>0</v>
      </c>
      <c r="O144" s="8">
        <f t="shared" si="42"/>
        <v>0</v>
      </c>
      <c r="P144" s="8">
        <f t="shared" si="43"/>
        <v>2</v>
      </c>
      <c r="Q144" s="8">
        <f t="shared" si="44"/>
        <v>0</v>
      </c>
      <c r="R144" s="8">
        <f t="shared" si="45"/>
        <v>2</v>
      </c>
      <c r="S144" s="11">
        <f t="shared" si="46"/>
        <v>0.5</v>
      </c>
      <c r="T144" s="12">
        <f t="shared" si="47"/>
        <v>0.56521739130434778</v>
      </c>
      <c r="U144" s="13">
        <f t="shared" si="48"/>
        <v>0.14791804566695213</v>
      </c>
      <c r="V144" s="24">
        <v>9</v>
      </c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spans="1:36" thickBot="1" x14ac:dyDescent="0.25">
      <c r="A145" s="1">
        <v>143</v>
      </c>
      <c r="B145" s="33">
        <v>45504</v>
      </c>
      <c r="C145" s="18" t="s">
        <v>25</v>
      </c>
      <c r="D145" s="19">
        <v>7</v>
      </c>
      <c r="E145" s="19" t="s">
        <v>21</v>
      </c>
      <c r="F145" s="19" t="s">
        <v>21</v>
      </c>
      <c r="G145" s="19" t="s">
        <v>21</v>
      </c>
      <c r="H145" s="18" t="s">
        <v>21</v>
      </c>
      <c r="I145" s="20">
        <v>4.0000000000000002E-4</v>
      </c>
      <c r="J145" s="19">
        <v>1.276</v>
      </c>
      <c r="K145" s="19">
        <v>2.3159999999999998</v>
      </c>
      <c r="L145" s="10">
        <f t="shared" si="49"/>
        <v>0.5509499136442142</v>
      </c>
      <c r="M145" s="14">
        <f t="shared" si="50"/>
        <v>0.97556866048862667</v>
      </c>
      <c r="N145" s="11">
        <f t="shared" si="41"/>
        <v>-1</v>
      </c>
      <c r="O145" s="8">
        <f t="shared" si="42"/>
        <v>0</v>
      </c>
      <c r="P145" s="8">
        <f t="shared" si="43"/>
        <v>0</v>
      </c>
      <c r="Q145" s="8">
        <f t="shared" si="44"/>
        <v>0</v>
      </c>
      <c r="R145" s="8">
        <f t="shared" si="45"/>
        <v>0</v>
      </c>
      <c r="S145" s="11">
        <f t="shared" si="46"/>
        <v>-0.2</v>
      </c>
      <c r="T145" s="12">
        <f t="shared" si="47"/>
        <v>0.53846153846153844</v>
      </c>
      <c r="U145" s="13">
        <f t="shared" si="48"/>
        <v>-3.0351659632840398E-2</v>
      </c>
      <c r="V145" s="24">
        <v>4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 spans="1:36" thickBot="1" x14ac:dyDescent="0.25">
      <c r="A146" s="1">
        <v>144</v>
      </c>
      <c r="B146" s="33">
        <v>45505</v>
      </c>
      <c r="C146" s="18" t="s">
        <v>23</v>
      </c>
      <c r="D146" s="19">
        <v>9</v>
      </c>
      <c r="E146" s="19" t="s">
        <v>21</v>
      </c>
      <c r="F146" s="19" t="s">
        <v>26</v>
      </c>
      <c r="G146" s="19" t="s">
        <v>21</v>
      </c>
      <c r="H146" s="18" t="s">
        <v>24</v>
      </c>
      <c r="I146" s="20">
        <v>4.5999999999999999E-3</v>
      </c>
      <c r="J146" s="19">
        <v>1.5720000000000001</v>
      </c>
      <c r="K146" s="19">
        <v>2.1989999999999998</v>
      </c>
      <c r="L146" s="10">
        <f t="shared" si="49"/>
        <v>0.71487039563437937</v>
      </c>
      <c r="M146" s="14">
        <f t="shared" si="50"/>
        <v>0.94948186528497414</v>
      </c>
      <c r="N146" s="11">
        <f t="shared" si="41"/>
        <v>2</v>
      </c>
      <c r="O146" s="8">
        <f t="shared" si="42"/>
        <v>0</v>
      </c>
      <c r="P146" s="8">
        <f t="shared" si="43"/>
        <v>-1</v>
      </c>
      <c r="Q146" s="8">
        <f t="shared" si="44"/>
        <v>0</v>
      </c>
      <c r="R146" s="8">
        <f t="shared" si="45"/>
        <v>2</v>
      </c>
      <c r="S146" s="11">
        <f t="shared" si="46"/>
        <v>0.30000000000000004</v>
      </c>
      <c r="T146" s="12">
        <f t="shared" si="47"/>
        <v>1.2857142857142858</v>
      </c>
      <c r="U146" s="13">
        <f t="shared" si="48"/>
        <v>0.16872536322516701</v>
      </c>
      <c r="V146" s="24">
        <v>-10</v>
      </c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1:36" thickBot="1" x14ac:dyDescent="0.25">
      <c r="A147" s="1">
        <v>145</v>
      </c>
      <c r="B147" s="33">
        <v>45506</v>
      </c>
      <c r="C147" s="18" t="s">
        <v>20</v>
      </c>
      <c r="D147" s="19">
        <v>9</v>
      </c>
      <c r="E147" s="19" t="s">
        <v>21</v>
      </c>
      <c r="F147" s="19" t="s">
        <v>21</v>
      </c>
      <c r="G147" s="19" t="s">
        <v>22</v>
      </c>
      <c r="H147" s="18" t="s">
        <v>28</v>
      </c>
      <c r="I147" s="20">
        <v>-6.3E-3</v>
      </c>
      <c r="J147" s="19">
        <v>2.2519999999999998</v>
      </c>
      <c r="K147" s="19">
        <v>2.2240000000000002</v>
      </c>
      <c r="L147" s="10">
        <f t="shared" si="49"/>
        <v>1.0125899280575537</v>
      </c>
      <c r="M147" s="14">
        <f t="shared" si="50"/>
        <v>1.0113688040018192</v>
      </c>
      <c r="N147" s="11">
        <f t="shared" si="41"/>
        <v>-2</v>
      </c>
      <c r="O147" s="8">
        <f t="shared" si="42"/>
        <v>0</v>
      </c>
      <c r="P147" s="8">
        <f t="shared" si="43"/>
        <v>0</v>
      </c>
      <c r="Q147" s="8">
        <f t="shared" si="44"/>
        <v>1</v>
      </c>
      <c r="R147" s="8">
        <f t="shared" si="45"/>
        <v>-2</v>
      </c>
      <c r="S147" s="11">
        <f t="shared" si="46"/>
        <v>-0.25</v>
      </c>
      <c r="T147" s="12">
        <f t="shared" si="47"/>
        <v>1</v>
      </c>
      <c r="U147" s="13">
        <f t="shared" si="48"/>
        <v>-0.26517701393117626</v>
      </c>
      <c r="V147" s="24">
        <v>-2</v>
      </c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spans="1:36" thickBot="1" x14ac:dyDescent="0.25">
      <c r="A148" s="1">
        <v>146</v>
      </c>
      <c r="B148" s="33">
        <v>45509</v>
      </c>
      <c r="C148" s="18" t="s">
        <v>20</v>
      </c>
      <c r="D148" s="19">
        <v>19</v>
      </c>
      <c r="E148" s="19" t="s">
        <v>28</v>
      </c>
      <c r="F148" s="19" t="s">
        <v>28</v>
      </c>
      <c r="G148" s="19" t="s">
        <v>28</v>
      </c>
      <c r="H148" s="18" t="s">
        <v>28</v>
      </c>
      <c r="I148" s="20">
        <v>-2.24E-2</v>
      </c>
      <c r="J148" s="19">
        <v>3.5169999999999999</v>
      </c>
      <c r="K148" s="19">
        <v>2.2709999999999999</v>
      </c>
      <c r="L148" s="10">
        <f t="shared" si="49"/>
        <v>1.5486569793042713</v>
      </c>
      <c r="M148" s="14">
        <f t="shared" si="50"/>
        <v>1.0211330935251797</v>
      </c>
      <c r="N148" s="11">
        <f t="shared" si="41"/>
        <v>-2</v>
      </c>
      <c r="O148" s="8">
        <f t="shared" si="42"/>
        <v>-2</v>
      </c>
      <c r="P148" s="8">
        <f t="shared" si="43"/>
        <v>-2</v>
      </c>
      <c r="Q148" s="8">
        <f t="shared" si="44"/>
        <v>-2</v>
      </c>
      <c r="R148" s="8">
        <f t="shared" si="45"/>
        <v>-2</v>
      </c>
      <c r="S148" s="11">
        <f t="shared" si="46"/>
        <v>-2</v>
      </c>
      <c r="T148" s="12">
        <f t="shared" si="47"/>
        <v>2.1111111111111112</v>
      </c>
      <c r="U148" s="13">
        <f t="shared" si="48"/>
        <v>-10.781982169851458</v>
      </c>
      <c r="V148" s="24">
        <v>-6</v>
      </c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spans="1:36" thickBot="1" x14ac:dyDescent="0.25">
      <c r="A149" s="1">
        <v>147</v>
      </c>
      <c r="B149" s="33">
        <v>45510</v>
      </c>
      <c r="C149" s="18" t="s">
        <v>27</v>
      </c>
      <c r="D149" s="19">
        <v>20</v>
      </c>
      <c r="E149" s="19" t="s">
        <v>21</v>
      </c>
      <c r="F149" s="19" t="s">
        <v>28</v>
      </c>
      <c r="G149" s="19" t="s">
        <v>26</v>
      </c>
      <c r="H149" s="18" t="s">
        <v>21</v>
      </c>
      <c r="I149" s="20">
        <v>-5.7000000000000002E-3</v>
      </c>
      <c r="J149" s="19">
        <v>2.4769999999999999</v>
      </c>
      <c r="K149" s="19">
        <v>2.3039999999999998</v>
      </c>
      <c r="L149" s="10">
        <f t="shared" si="49"/>
        <v>1.0750868055555556</v>
      </c>
      <c r="M149" s="14">
        <f t="shared" si="50"/>
        <v>1.0145310435931307</v>
      </c>
      <c r="N149" s="11">
        <f t="shared" si="41"/>
        <v>1</v>
      </c>
      <c r="O149" s="8">
        <f t="shared" si="42"/>
        <v>0</v>
      </c>
      <c r="P149" s="8">
        <f t="shared" si="43"/>
        <v>-2</v>
      </c>
      <c r="Q149" s="8">
        <f t="shared" si="44"/>
        <v>-1</v>
      </c>
      <c r="R149" s="8">
        <f t="shared" si="45"/>
        <v>0</v>
      </c>
      <c r="S149" s="11">
        <f t="shared" si="46"/>
        <v>-0.45</v>
      </c>
      <c r="T149" s="12">
        <f t="shared" si="47"/>
        <v>1.0526315789473684</v>
      </c>
      <c r="U149" s="13">
        <f t="shared" si="48"/>
        <v>-0.57170500431770899</v>
      </c>
      <c r="V149" s="24">
        <v>-12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 spans="1:36" thickBot="1" x14ac:dyDescent="0.25">
      <c r="A150" s="1">
        <v>148</v>
      </c>
      <c r="B150" s="33">
        <v>45511</v>
      </c>
      <c r="C150" s="18" t="s">
        <v>25</v>
      </c>
      <c r="D150" s="19">
        <v>9</v>
      </c>
      <c r="E150" s="19" t="s">
        <v>21</v>
      </c>
      <c r="F150" s="19" t="s">
        <v>21</v>
      </c>
      <c r="G150" s="19" t="s">
        <v>21</v>
      </c>
      <c r="H150" s="18" t="s">
        <v>22</v>
      </c>
      <c r="I150" s="20">
        <v>8.8000000000000005E-3</v>
      </c>
      <c r="J150" s="19">
        <v>2.6549999999999998</v>
      </c>
      <c r="K150" s="19">
        <v>2.3839999999999999</v>
      </c>
      <c r="L150" s="10">
        <f t="shared" si="49"/>
        <v>1.1136744966442953</v>
      </c>
      <c r="M150" s="14">
        <f t="shared" si="50"/>
        <v>1.0347222222222223</v>
      </c>
      <c r="N150" s="11">
        <f t="shared" si="41"/>
        <v>-1</v>
      </c>
      <c r="O150" s="8">
        <f t="shared" si="42"/>
        <v>0</v>
      </c>
      <c r="P150" s="8">
        <f t="shared" si="43"/>
        <v>0</v>
      </c>
      <c r="Q150" s="8">
        <f t="shared" si="44"/>
        <v>0</v>
      </c>
      <c r="R150" s="8">
        <f t="shared" si="45"/>
        <v>1</v>
      </c>
      <c r="S150" s="11">
        <f t="shared" si="46"/>
        <v>-0.15000000000000002</v>
      </c>
      <c r="T150" s="12">
        <f t="shared" si="47"/>
        <v>0.45</v>
      </c>
      <c r="U150" s="13">
        <f t="shared" si="48"/>
        <v>-9.2745244503021268E-2</v>
      </c>
      <c r="V150" s="24">
        <v>2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thickBot="1" x14ac:dyDescent="0.25">
      <c r="A151" s="1">
        <v>149</v>
      </c>
      <c r="B151" s="33">
        <v>45512</v>
      </c>
      <c r="C151" s="18" t="s">
        <v>27</v>
      </c>
      <c r="D151" s="19">
        <v>9</v>
      </c>
      <c r="E151" s="19" t="s">
        <v>21</v>
      </c>
      <c r="F151" s="19" t="s">
        <v>21</v>
      </c>
      <c r="G151" s="19" t="s">
        <v>21</v>
      </c>
      <c r="H151" s="18" t="s">
        <v>21</v>
      </c>
      <c r="I151" s="20">
        <v>-2.5000000000000001E-3</v>
      </c>
      <c r="J151" s="19">
        <v>2.0449999999999999</v>
      </c>
      <c r="K151" s="19">
        <v>2.3780000000000001</v>
      </c>
      <c r="L151" s="10">
        <f t="shared" si="49"/>
        <v>0.85996635828427248</v>
      </c>
      <c r="M151" s="14">
        <f t="shared" si="50"/>
        <v>0.99748322147651014</v>
      </c>
      <c r="N151" s="11">
        <f t="shared" si="41"/>
        <v>1</v>
      </c>
      <c r="O151" s="8">
        <f t="shared" si="42"/>
        <v>0</v>
      </c>
      <c r="P151" s="8">
        <f t="shared" si="43"/>
        <v>0</v>
      </c>
      <c r="Q151" s="8">
        <f t="shared" si="44"/>
        <v>0</v>
      </c>
      <c r="R151" s="8">
        <f t="shared" si="45"/>
        <v>0</v>
      </c>
      <c r="S151" s="11">
        <f t="shared" si="46"/>
        <v>0.2</v>
      </c>
      <c r="T151" s="12">
        <f t="shared" si="47"/>
        <v>1</v>
      </c>
      <c r="U151" s="13">
        <f t="shared" si="48"/>
        <v>0.14679447749029126</v>
      </c>
      <c r="V151" s="24">
        <v>2</v>
      </c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spans="1:36" thickBot="1" x14ac:dyDescent="0.25">
      <c r="A152" s="1">
        <v>150</v>
      </c>
      <c r="B152" s="33">
        <v>45513</v>
      </c>
      <c r="C152" s="18" t="s">
        <v>23</v>
      </c>
      <c r="D152" s="19">
        <v>5</v>
      </c>
      <c r="E152" s="19" t="s">
        <v>21</v>
      </c>
      <c r="F152" s="19" t="s">
        <v>21</v>
      </c>
      <c r="G152" s="19" t="s">
        <v>26</v>
      </c>
      <c r="H152" s="18" t="s">
        <v>24</v>
      </c>
      <c r="I152" s="20">
        <v>7.1000000000000004E-3</v>
      </c>
      <c r="J152" s="19">
        <v>1.64</v>
      </c>
      <c r="K152" s="19">
        <v>2.3330000000000002</v>
      </c>
      <c r="L152" s="10">
        <f t="shared" si="49"/>
        <v>0.7029575653664808</v>
      </c>
      <c r="M152" s="14">
        <f t="shared" si="50"/>
        <v>0.98107653490328006</v>
      </c>
      <c r="N152" s="11">
        <f t="shared" si="41"/>
        <v>2</v>
      </c>
      <c r="O152" s="8">
        <f t="shared" si="42"/>
        <v>0</v>
      </c>
      <c r="P152" s="8">
        <f t="shared" si="43"/>
        <v>0</v>
      </c>
      <c r="Q152" s="8">
        <f t="shared" si="44"/>
        <v>-1</v>
      </c>
      <c r="R152" s="8">
        <f t="shared" si="45"/>
        <v>2</v>
      </c>
      <c r="S152" s="11">
        <f t="shared" si="46"/>
        <v>0.25</v>
      </c>
      <c r="T152" s="12">
        <f t="shared" si="47"/>
        <v>0.55555555555555558</v>
      </c>
      <c r="U152" s="13">
        <f t="shared" si="48"/>
        <v>6.4808860807456722E-2</v>
      </c>
      <c r="V152" s="24">
        <v>-2</v>
      </c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spans="1:36" thickBot="1" x14ac:dyDescent="0.25">
      <c r="A153" s="1">
        <v>151</v>
      </c>
      <c r="B153" s="33">
        <v>45516</v>
      </c>
      <c r="C153" s="18" t="s">
        <v>27</v>
      </c>
      <c r="D153" s="19">
        <v>12</v>
      </c>
      <c r="E153" s="19" t="s">
        <v>24</v>
      </c>
      <c r="F153" s="19" t="s">
        <v>24</v>
      </c>
      <c r="G153" s="19" t="s">
        <v>21</v>
      </c>
      <c r="H153" s="18" t="s">
        <v>21</v>
      </c>
      <c r="I153" s="20">
        <v>3.2000000000000002E-3</v>
      </c>
      <c r="J153" s="19">
        <v>2.2629999999999999</v>
      </c>
      <c r="K153" s="19">
        <v>2.3290000000000002</v>
      </c>
      <c r="L153" s="10">
        <f t="shared" si="49"/>
        <v>0.97166165736367527</v>
      </c>
      <c r="M153" s="14">
        <f t="shared" si="50"/>
        <v>0.99828546935276463</v>
      </c>
      <c r="N153" s="11">
        <f t="shared" si="41"/>
        <v>1</v>
      </c>
      <c r="O153" s="8">
        <f t="shared" si="42"/>
        <v>2</v>
      </c>
      <c r="P153" s="8">
        <f t="shared" si="43"/>
        <v>2</v>
      </c>
      <c r="Q153" s="8">
        <f t="shared" si="44"/>
        <v>0</v>
      </c>
      <c r="R153" s="8">
        <f t="shared" si="45"/>
        <v>0</v>
      </c>
      <c r="S153" s="11">
        <f t="shared" si="46"/>
        <v>1.2</v>
      </c>
      <c r="T153" s="12">
        <f t="shared" si="47"/>
        <v>2.4</v>
      </c>
      <c r="U153" s="13">
        <f t="shared" si="48"/>
        <v>2.7051220711176547</v>
      </c>
      <c r="V153" s="24">
        <v>2</v>
      </c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thickBot="1" x14ac:dyDescent="0.25">
      <c r="A154" s="1">
        <v>152</v>
      </c>
      <c r="B154" s="33">
        <v>45517</v>
      </c>
      <c r="C154" s="18" t="s">
        <v>25</v>
      </c>
      <c r="D154" s="19">
        <v>20</v>
      </c>
      <c r="E154" s="19" t="s">
        <v>28</v>
      </c>
      <c r="F154" s="19" t="s">
        <v>28</v>
      </c>
      <c r="G154" s="19" t="s">
        <v>21</v>
      </c>
      <c r="H154" s="18" t="s">
        <v>28</v>
      </c>
      <c r="I154" s="20">
        <v>-1.3299999999999999E-2</v>
      </c>
      <c r="J154" s="19">
        <v>2.5609999999999999</v>
      </c>
      <c r="K154" s="19">
        <v>2.36</v>
      </c>
      <c r="L154" s="10">
        <f t="shared" si="49"/>
        <v>1.0851694915254237</v>
      </c>
      <c r="M154" s="14">
        <f t="shared" si="50"/>
        <v>1.0133104336625161</v>
      </c>
      <c r="N154" s="11">
        <f t="shared" si="41"/>
        <v>-1</v>
      </c>
      <c r="O154" s="8">
        <f t="shared" si="42"/>
        <v>-2</v>
      </c>
      <c r="P154" s="8">
        <f t="shared" si="43"/>
        <v>-2</v>
      </c>
      <c r="Q154" s="8">
        <f t="shared" si="44"/>
        <v>0</v>
      </c>
      <c r="R154" s="8">
        <f t="shared" si="45"/>
        <v>-2</v>
      </c>
      <c r="S154" s="11">
        <f t="shared" si="46"/>
        <v>-1.3</v>
      </c>
      <c r="T154" s="12">
        <f t="shared" si="47"/>
        <v>1.6666666666666667</v>
      </c>
      <c r="U154" s="13">
        <f t="shared" si="48"/>
        <v>-2.654696004785396</v>
      </c>
      <c r="V154" s="28">
        <v>-14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spans="1:36" thickBot="1" x14ac:dyDescent="0.25">
      <c r="A155" s="1">
        <v>153</v>
      </c>
      <c r="B155" s="33">
        <v>45518</v>
      </c>
      <c r="C155" s="18" t="s">
        <v>20</v>
      </c>
      <c r="D155" s="19">
        <v>4</v>
      </c>
      <c r="E155" s="19" t="s">
        <v>21</v>
      </c>
      <c r="F155" s="19" t="s">
        <v>21</v>
      </c>
      <c r="G155" s="19" t="s">
        <v>21</v>
      </c>
      <c r="H155" s="18" t="s">
        <v>21</v>
      </c>
      <c r="I155" s="20">
        <v>-2E-3</v>
      </c>
      <c r="J155" s="19">
        <v>1.4510000000000001</v>
      </c>
      <c r="K155" s="19">
        <v>2.3740000000000001</v>
      </c>
      <c r="L155" s="10">
        <f t="shared" si="49"/>
        <v>0.61120471777590568</v>
      </c>
      <c r="M155" s="14">
        <f t="shared" si="50"/>
        <v>1.0059322033898306</v>
      </c>
      <c r="N155" s="11">
        <f t="shared" si="41"/>
        <v>-2</v>
      </c>
      <c r="O155" s="8">
        <f t="shared" si="42"/>
        <v>0</v>
      </c>
      <c r="P155" s="8">
        <f t="shared" si="43"/>
        <v>0</v>
      </c>
      <c r="Q155" s="8">
        <f t="shared" si="44"/>
        <v>0</v>
      </c>
      <c r="R155" s="8">
        <f t="shared" si="45"/>
        <v>0</v>
      </c>
      <c r="S155" s="11">
        <f t="shared" si="46"/>
        <v>-0.4</v>
      </c>
      <c r="T155" s="12">
        <f t="shared" si="47"/>
        <v>0.2</v>
      </c>
      <c r="U155" s="13">
        <f t="shared" si="48"/>
        <v>-3.0420722018804275E-2</v>
      </c>
      <c r="V155" s="21">
        <v>-4</v>
      </c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 spans="1:36" thickBot="1" x14ac:dyDescent="0.25">
      <c r="A156" s="1">
        <v>154</v>
      </c>
      <c r="B156" s="33">
        <v>45520</v>
      </c>
      <c r="C156" s="18" t="s">
        <v>23</v>
      </c>
      <c r="D156" s="19">
        <v>20</v>
      </c>
      <c r="E156" s="19" t="s">
        <v>21</v>
      </c>
      <c r="F156" s="19" t="s">
        <v>21</v>
      </c>
      <c r="G156" s="19" t="s">
        <v>21</v>
      </c>
      <c r="H156" s="18" t="s">
        <v>24</v>
      </c>
      <c r="I156" s="20">
        <v>1.32E-2</v>
      </c>
      <c r="J156" s="19">
        <v>2.9729999999999999</v>
      </c>
      <c r="K156" s="19">
        <v>2.4</v>
      </c>
      <c r="L156" s="10">
        <f t="shared" si="49"/>
        <v>1.23875</v>
      </c>
      <c r="M156" s="14">
        <f t="shared" si="50"/>
        <v>1.0109519797809603</v>
      </c>
      <c r="N156" s="11">
        <f t="shared" si="41"/>
        <v>2</v>
      </c>
      <c r="O156" s="8">
        <f t="shared" si="42"/>
        <v>0</v>
      </c>
      <c r="P156" s="8">
        <f t="shared" si="43"/>
        <v>0</v>
      </c>
      <c r="Q156" s="8">
        <f t="shared" si="44"/>
        <v>0</v>
      </c>
      <c r="R156" s="8">
        <f t="shared" si="45"/>
        <v>2</v>
      </c>
      <c r="S156" s="11">
        <f t="shared" si="46"/>
        <v>0.5</v>
      </c>
      <c r="T156" s="12">
        <f t="shared" si="47"/>
        <v>5</v>
      </c>
      <c r="U156" s="13">
        <f t="shared" si="48"/>
        <v>3.9636830997068535</v>
      </c>
      <c r="V156" s="21">
        <v>4</v>
      </c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spans="1:36" thickBot="1" x14ac:dyDescent="0.25">
      <c r="A157" s="1">
        <v>155</v>
      </c>
      <c r="B157" s="33">
        <v>45523</v>
      </c>
      <c r="C157" s="18" t="s">
        <v>29</v>
      </c>
      <c r="D157" s="19">
        <v>7</v>
      </c>
      <c r="E157" s="19" t="s">
        <v>21</v>
      </c>
      <c r="F157" s="19" t="s">
        <v>21</v>
      </c>
      <c r="G157" s="19" t="s">
        <v>26</v>
      </c>
      <c r="H157" s="18" t="s">
        <v>21</v>
      </c>
      <c r="I157" s="20">
        <v>-3.3999999999999998E-3</v>
      </c>
      <c r="J157" s="19">
        <v>1.58</v>
      </c>
      <c r="K157" s="19">
        <v>2.375</v>
      </c>
      <c r="L157" s="10">
        <f t="shared" si="49"/>
        <v>0.66526315789473689</v>
      </c>
      <c r="M157" s="14">
        <f t="shared" si="50"/>
        <v>0.98958333333333337</v>
      </c>
      <c r="N157" s="11">
        <f t="shared" si="41"/>
        <v>0</v>
      </c>
      <c r="O157" s="8">
        <f t="shared" si="42"/>
        <v>0</v>
      </c>
      <c r="P157" s="8">
        <f t="shared" si="43"/>
        <v>0</v>
      </c>
      <c r="Q157" s="8">
        <f t="shared" si="44"/>
        <v>-1</v>
      </c>
      <c r="R157" s="8">
        <f t="shared" si="45"/>
        <v>0</v>
      </c>
      <c r="S157" s="11">
        <f t="shared" si="46"/>
        <v>-0.25</v>
      </c>
      <c r="T157" s="12">
        <f t="shared" si="47"/>
        <v>0.35</v>
      </c>
      <c r="U157" s="13">
        <f t="shared" si="48"/>
        <v>-3.7527714482060194E-2</v>
      </c>
      <c r="V157" s="21">
        <v>-4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 spans="1:36" thickBot="1" x14ac:dyDescent="0.25">
      <c r="A158" s="1">
        <v>156</v>
      </c>
      <c r="B158" s="33">
        <v>45524</v>
      </c>
      <c r="C158" s="18" t="s">
        <v>23</v>
      </c>
      <c r="D158" s="19">
        <v>10</v>
      </c>
      <c r="E158" s="19" t="s">
        <v>21</v>
      </c>
      <c r="F158" s="19" t="s">
        <v>21</v>
      </c>
      <c r="G158" s="19" t="s">
        <v>24</v>
      </c>
      <c r="H158" s="18" t="s">
        <v>24</v>
      </c>
      <c r="I158" s="20">
        <v>7.6E-3</v>
      </c>
      <c r="J158" s="19">
        <v>2.2559999999999998</v>
      </c>
      <c r="K158" s="19">
        <v>2.4119999999999999</v>
      </c>
      <c r="L158" s="10">
        <f t="shared" si="49"/>
        <v>0.93532338308457708</v>
      </c>
      <c r="M158" s="14">
        <f t="shared" si="50"/>
        <v>1.0155789473684209</v>
      </c>
      <c r="N158" s="11">
        <f t="shared" si="41"/>
        <v>2</v>
      </c>
      <c r="O158" s="8">
        <f t="shared" si="42"/>
        <v>0</v>
      </c>
      <c r="P158" s="8">
        <f t="shared" si="43"/>
        <v>0</v>
      </c>
      <c r="Q158" s="8">
        <f t="shared" si="44"/>
        <v>2</v>
      </c>
      <c r="R158" s="8">
        <f t="shared" si="45"/>
        <v>2</v>
      </c>
      <c r="S158" s="11">
        <f t="shared" si="46"/>
        <v>1</v>
      </c>
      <c r="T158" s="12">
        <f t="shared" si="47"/>
        <v>1.4285714285714286</v>
      </c>
      <c r="U158" s="13">
        <f t="shared" si="48"/>
        <v>1.3090812792335405</v>
      </c>
      <c r="V158" s="21">
        <v>4</v>
      </c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thickBot="1" x14ac:dyDescent="0.25">
      <c r="A159" s="1">
        <v>157</v>
      </c>
      <c r="B159" s="33">
        <v>45525</v>
      </c>
      <c r="C159" s="18" t="s">
        <v>20</v>
      </c>
      <c r="D159" s="19">
        <v>7</v>
      </c>
      <c r="E159" s="19" t="s">
        <v>21</v>
      </c>
      <c r="F159" s="19" t="s">
        <v>21</v>
      </c>
      <c r="G159" s="19" t="s">
        <v>28</v>
      </c>
      <c r="H159" s="18" t="s">
        <v>28</v>
      </c>
      <c r="I159" s="20">
        <v>-2E-3</v>
      </c>
      <c r="J159" s="19">
        <v>2.8330000000000002</v>
      </c>
      <c r="K159" s="19">
        <v>2.359</v>
      </c>
      <c r="L159" s="10">
        <f t="shared" si="49"/>
        <v>1.2009325985587114</v>
      </c>
      <c r="M159" s="14">
        <f t="shared" si="50"/>
        <v>0.97802653399668327</v>
      </c>
      <c r="N159" s="11">
        <f t="shared" si="41"/>
        <v>-2</v>
      </c>
      <c r="O159" s="8">
        <f t="shared" si="42"/>
        <v>0</v>
      </c>
      <c r="P159" s="8">
        <f t="shared" si="43"/>
        <v>0</v>
      </c>
      <c r="Q159" s="8">
        <f t="shared" si="44"/>
        <v>-2</v>
      </c>
      <c r="R159" s="8">
        <f t="shared" si="45"/>
        <v>-2</v>
      </c>
      <c r="S159" s="11">
        <f t="shared" si="46"/>
        <v>-1</v>
      </c>
      <c r="T159" s="12">
        <f t="shared" si="47"/>
        <v>0.7</v>
      </c>
      <c r="U159" s="13">
        <f t="shared" si="48"/>
        <v>-0.94446793819708719</v>
      </c>
      <c r="V159" s="21">
        <v>2</v>
      </c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 spans="1:36" thickBot="1" x14ac:dyDescent="0.25">
      <c r="A160" s="1">
        <v>158</v>
      </c>
      <c r="B160" s="33">
        <v>45526</v>
      </c>
      <c r="C160" s="18" t="s">
        <v>23</v>
      </c>
      <c r="D160" s="19">
        <v>5</v>
      </c>
      <c r="E160" s="19" t="s">
        <v>21</v>
      </c>
      <c r="F160" s="19" t="s">
        <v>21</v>
      </c>
      <c r="G160" s="19" t="s">
        <v>24</v>
      </c>
      <c r="H160" s="18" t="s">
        <v>24</v>
      </c>
      <c r="I160" s="20">
        <v>4.7000000000000002E-3</v>
      </c>
      <c r="J160" s="19">
        <v>1.643</v>
      </c>
      <c r="K160" s="19">
        <v>2.266</v>
      </c>
      <c r="L160" s="10">
        <f t="shared" si="49"/>
        <v>0.72506619593998234</v>
      </c>
      <c r="M160" s="14">
        <f t="shared" si="50"/>
        <v>0.96057651547265788</v>
      </c>
      <c r="N160" s="11">
        <f t="shared" si="41"/>
        <v>2</v>
      </c>
      <c r="O160" s="8">
        <f t="shared" si="42"/>
        <v>0</v>
      </c>
      <c r="P160" s="8">
        <f t="shared" si="43"/>
        <v>0</v>
      </c>
      <c r="Q160" s="8">
        <f t="shared" si="44"/>
        <v>2</v>
      </c>
      <c r="R160" s="8">
        <f t="shared" si="45"/>
        <v>2</v>
      </c>
      <c r="S160" s="11">
        <f t="shared" si="46"/>
        <v>1</v>
      </c>
      <c r="T160" s="12">
        <f t="shared" si="47"/>
        <v>0.7142857142857143</v>
      </c>
      <c r="U160" s="13">
        <f t="shared" si="48"/>
        <v>0.33283054340709561</v>
      </c>
      <c r="V160" s="21">
        <v>5</v>
      </c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spans="1:36" thickBot="1" x14ac:dyDescent="0.25">
      <c r="A161" s="1">
        <v>159</v>
      </c>
      <c r="B161" s="33">
        <v>45527</v>
      </c>
      <c r="C161" s="18" t="s">
        <v>29</v>
      </c>
      <c r="D161" s="19">
        <v>5</v>
      </c>
      <c r="E161" s="19" t="s">
        <v>21</v>
      </c>
      <c r="F161" s="19" t="s">
        <v>21</v>
      </c>
      <c r="G161" s="19" t="s">
        <v>26</v>
      </c>
      <c r="H161" s="18" t="s">
        <v>21</v>
      </c>
      <c r="I161" s="20">
        <v>-1.2999999999999999E-3</v>
      </c>
      <c r="J161" s="19">
        <v>1.262</v>
      </c>
      <c r="K161" s="19">
        <v>2.2480000000000002</v>
      </c>
      <c r="L161" s="10">
        <f t="shared" si="49"/>
        <v>0.56138790035587183</v>
      </c>
      <c r="M161" s="14">
        <f t="shared" si="50"/>
        <v>0.99205648720211836</v>
      </c>
      <c r="N161" s="11">
        <f t="shared" si="41"/>
        <v>0</v>
      </c>
      <c r="O161" s="8">
        <f t="shared" si="42"/>
        <v>0</v>
      </c>
      <c r="P161" s="8">
        <f t="shared" si="43"/>
        <v>0</v>
      </c>
      <c r="Q161" s="8">
        <f t="shared" si="44"/>
        <v>-1</v>
      </c>
      <c r="R161" s="8">
        <f t="shared" si="45"/>
        <v>0</v>
      </c>
      <c r="S161" s="11">
        <f t="shared" si="46"/>
        <v>-0.25</v>
      </c>
      <c r="T161" s="12">
        <f t="shared" si="47"/>
        <v>1</v>
      </c>
      <c r="U161" s="13">
        <f t="shared" si="48"/>
        <v>-7.6926382285912448E-2</v>
      </c>
      <c r="V161" s="21">
        <v>-2</v>
      </c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 spans="1:36" thickBot="1" x14ac:dyDescent="0.25">
      <c r="A162" s="1">
        <v>160</v>
      </c>
      <c r="B162" s="33">
        <v>45530</v>
      </c>
      <c r="C162" s="18" t="s">
        <v>23</v>
      </c>
      <c r="D162" s="19">
        <v>5</v>
      </c>
      <c r="E162" s="19" t="s">
        <v>21</v>
      </c>
      <c r="F162" s="19" t="s">
        <v>21</v>
      </c>
      <c r="G162" s="19" t="s">
        <v>24</v>
      </c>
      <c r="H162" s="18" t="s">
        <v>24</v>
      </c>
      <c r="I162" s="20">
        <v>5.1999999999999998E-3</v>
      </c>
      <c r="J162" s="19">
        <v>1.6890000000000001</v>
      </c>
      <c r="K162" s="19">
        <v>2.2349999999999999</v>
      </c>
      <c r="L162" s="10">
        <f t="shared" si="49"/>
        <v>0.75570469798657725</v>
      </c>
      <c r="M162" s="14">
        <f t="shared" si="50"/>
        <v>0.9942170818505337</v>
      </c>
      <c r="N162" s="11">
        <f t="shared" si="41"/>
        <v>2</v>
      </c>
      <c r="O162" s="8">
        <f t="shared" si="42"/>
        <v>0</v>
      </c>
      <c r="P162" s="8">
        <f t="shared" si="43"/>
        <v>0</v>
      </c>
      <c r="Q162" s="8">
        <f t="shared" si="44"/>
        <v>2</v>
      </c>
      <c r="R162" s="8">
        <f t="shared" si="45"/>
        <v>2</v>
      </c>
      <c r="S162" s="11">
        <f t="shared" si="46"/>
        <v>1</v>
      </c>
      <c r="T162" s="12">
        <f t="shared" si="47"/>
        <v>1</v>
      </c>
      <c r="U162" s="13">
        <f t="shared" si="48"/>
        <v>0.56123908241761289</v>
      </c>
      <c r="V162" s="21">
        <v>-10</v>
      </c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thickBot="1" x14ac:dyDescent="0.25">
      <c r="A163" s="1">
        <v>161</v>
      </c>
      <c r="B163" s="33">
        <v>45531</v>
      </c>
      <c r="C163" s="18" t="s">
        <v>29</v>
      </c>
      <c r="D163" s="19">
        <v>9</v>
      </c>
      <c r="E163" s="19" t="s">
        <v>21</v>
      </c>
      <c r="F163" s="19" t="s">
        <v>21</v>
      </c>
      <c r="G163" s="19" t="s">
        <v>22</v>
      </c>
      <c r="H163" s="18" t="s">
        <v>21</v>
      </c>
      <c r="I163" s="20">
        <v>1E-3</v>
      </c>
      <c r="J163" s="19">
        <v>2.129</v>
      </c>
      <c r="K163" s="19">
        <v>2.206</v>
      </c>
      <c r="L163" s="10">
        <f t="shared" si="49"/>
        <v>0.96509519492293749</v>
      </c>
      <c r="M163" s="14">
        <f t="shared" si="50"/>
        <v>0.98702460850111862</v>
      </c>
      <c r="N163" s="11">
        <f t="shared" si="41"/>
        <v>0</v>
      </c>
      <c r="O163" s="8">
        <f t="shared" si="42"/>
        <v>0</v>
      </c>
      <c r="P163" s="8">
        <f t="shared" si="43"/>
        <v>0</v>
      </c>
      <c r="Q163" s="8">
        <f t="shared" si="44"/>
        <v>1</v>
      </c>
      <c r="R163" s="8">
        <f t="shared" si="45"/>
        <v>0</v>
      </c>
      <c r="S163" s="11">
        <f t="shared" si="46"/>
        <v>0.25</v>
      </c>
      <c r="T163" s="12">
        <f t="shared" si="47"/>
        <v>1.8</v>
      </c>
      <c r="U163" s="13">
        <f t="shared" si="48"/>
        <v>0.40302943187253903</v>
      </c>
      <c r="V163" s="21">
        <v>4</v>
      </c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 spans="1:36" thickBot="1" x14ac:dyDescent="0.25">
      <c r="A164" s="1">
        <v>162</v>
      </c>
      <c r="B164" s="33">
        <v>45532</v>
      </c>
      <c r="C164" s="18" t="s">
        <v>29</v>
      </c>
      <c r="D164" s="19">
        <v>5</v>
      </c>
      <c r="E164" s="19" t="s">
        <v>21</v>
      </c>
      <c r="F164" s="19" t="s">
        <v>21</v>
      </c>
      <c r="G164" s="19" t="s">
        <v>28</v>
      </c>
      <c r="H164" s="18" t="s">
        <v>21</v>
      </c>
      <c r="I164" s="20">
        <v>-2.2000000000000001E-3</v>
      </c>
      <c r="J164" s="19">
        <v>1.778</v>
      </c>
      <c r="K164" s="19">
        <v>2.206</v>
      </c>
      <c r="L164" s="10">
        <f t="shared" si="49"/>
        <v>0.80598368087035366</v>
      </c>
      <c r="M164" s="14">
        <f t="shared" si="50"/>
        <v>1</v>
      </c>
      <c r="N164" s="11">
        <f t="shared" si="41"/>
        <v>0</v>
      </c>
      <c r="O164" s="8">
        <f t="shared" si="42"/>
        <v>0</v>
      </c>
      <c r="P164" s="8">
        <f t="shared" si="43"/>
        <v>0</v>
      </c>
      <c r="Q164" s="8">
        <f t="shared" si="44"/>
        <v>-2</v>
      </c>
      <c r="R164" s="8">
        <f t="shared" si="45"/>
        <v>0</v>
      </c>
      <c r="S164" s="11">
        <f t="shared" si="46"/>
        <v>-0.5</v>
      </c>
      <c r="T164" s="12">
        <f t="shared" si="47"/>
        <v>0.55555555555555558</v>
      </c>
      <c r="U164" s="13">
        <f t="shared" si="48"/>
        <v>-0.18044713717481226</v>
      </c>
      <c r="V164" s="21">
        <v>4</v>
      </c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spans="1:36" thickBot="1" x14ac:dyDescent="0.25">
      <c r="A165" s="1">
        <v>163</v>
      </c>
      <c r="B165" s="33">
        <v>45533</v>
      </c>
      <c r="C165" s="18" t="s">
        <v>23</v>
      </c>
      <c r="D165" s="19">
        <v>7</v>
      </c>
      <c r="E165" s="19" t="s">
        <v>21</v>
      </c>
      <c r="F165" s="19" t="s">
        <v>21</v>
      </c>
      <c r="G165" s="19" t="s">
        <v>21</v>
      </c>
      <c r="H165" s="18" t="s">
        <v>24</v>
      </c>
      <c r="I165" s="20">
        <v>6.7000000000000002E-3</v>
      </c>
      <c r="J165" s="19">
        <v>1.901</v>
      </c>
      <c r="K165" s="19">
        <v>2.2400000000000002</v>
      </c>
      <c r="L165" s="10">
        <f t="shared" si="49"/>
        <v>0.84866071428571421</v>
      </c>
      <c r="M165" s="14">
        <f t="shared" si="50"/>
        <v>1.015412511332729</v>
      </c>
      <c r="N165" s="11">
        <f t="shared" si="41"/>
        <v>2</v>
      </c>
      <c r="O165" s="8">
        <f t="shared" si="42"/>
        <v>0</v>
      </c>
      <c r="P165" s="8">
        <f t="shared" si="43"/>
        <v>0</v>
      </c>
      <c r="Q165" s="8">
        <f t="shared" si="44"/>
        <v>0</v>
      </c>
      <c r="R165" s="8">
        <f t="shared" si="45"/>
        <v>2</v>
      </c>
      <c r="S165" s="11">
        <f t="shared" si="46"/>
        <v>0.5</v>
      </c>
      <c r="T165" s="12">
        <f t="shared" si="47"/>
        <v>1.4</v>
      </c>
      <c r="U165" s="13">
        <f t="shared" si="48"/>
        <v>0.52782963224148205</v>
      </c>
      <c r="V165" s="21">
        <v>-2</v>
      </c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 spans="1:36" thickBot="1" x14ac:dyDescent="0.25">
      <c r="A166" s="1">
        <v>164</v>
      </c>
      <c r="B166" s="33">
        <v>45534</v>
      </c>
      <c r="C166" s="18" t="s">
        <v>23</v>
      </c>
      <c r="D166" s="19">
        <v>4</v>
      </c>
      <c r="E166" s="19" t="s">
        <v>21</v>
      </c>
      <c r="F166" s="19" t="s">
        <v>21</v>
      </c>
      <c r="G166" s="19" t="s">
        <v>24</v>
      </c>
      <c r="H166" s="18" t="s">
        <v>24</v>
      </c>
      <c r="I166" s="20">
        <v>2.8999999999999998E-3</v>
      </c>
      <c r="J166" s="19">
        <v>1.3029999999999999</v>
      </c>
      <c r="K166" s="19">
        <v>2.2250000000000001</v>
      </c>
      <c r="L166" s="10">
        <f t="shared" si="49"/>
        <v>0.58561797752808986</v>
      </c>
      <c r="M166" s="14">
        <f t="shared" si="50"/>
        <v>0.9933035714285714</v>
      </c>
      <c r="N166" s="11">
        <f t="shared" si="41"/>
        <v>2</v>
      </c>
      <c r="O166" s="8">
        <f t="shared" si="42"/>
        <v>0</v>
      </c>
      <c r="P166" s="8">
        <f t="shared" si="43"/>
        <v>0</v>
      </c>
      <c r="Q166" s="8">
        <f t="shared" si="44"/>
        <v>2</v>
      </c>
      <c r="R166" s="8">
        <f t="shared" si="45"/>
        <v>2</v>
      </c>
      <c r="S166" s="11">
        <f t="shared" si="46"/>
        <v>1</v>
      </c>
      <c r="T166" s="12">
        <f t="shared" si="47"/>
        <v>0.5714285714285714</v>
      </c>
      <c r="U166" s="13">
        <f t="shared" si="48"/>
        <v>0.19205991974576017</v>
      </c>
      <c r="V166" s="21">
        <v>2</v>
      </c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spans="1:36" thickBot="1" x14ac:dyDescent="0.25">
      <c r="A167" s="1">
        <v>165</v>
      </c>
      <c r="B167" s="33">
        <v>45537</v>
      </c>
      <c r="C167" s="18" t="s">
        <v>25</v>
      </c>
      <c r="D167" s="19">
        <v>6</v>
      </c>
      <c r="E167" s="19" t="s">
        <v>21</v>
      </c>
      <c r="F167" s="19" t="s">
        <v>21</v>
      </c>
      <c r="G167" s="19" t="s">
        <v>26</v>
      </c>
      <c r="H167" s="18" t="s">
        <v>21</v>
      </c>
      <c r="I167" s="20">
        <v>3.2000000000000002E-3</v>
      </c>
      <c r="J167" s="19">
        <v>1.4610000000000001</v>
      </c>
      <c r="K167" s="19">
        <v>2.1890000000000001</v>
      </c>
      <c r="L167" s="10">
        <f t="shared" si="49"/>
        <v>0.66742804933759714</v>
      </c>
      <c r="M167" s="14">
        <f t="shared" si="50"/>
        <v>0.98382022471910113</v>
      </c>
      <c r="N167" s="11">
        <f t="shared" si="41"/>
        <v>-1</v>
      </c>
      <c r="O167" s="8">
        <f t="shared" si="42"/>
        <v>0</v>
      </c>
      <c r="P167" s="8">
        <f t="shared" si="43"/>
        <v>0</v>
      </c>
      <c r="Q167" s="8">
        <f t="shared" si="44"/>
        <v>-1</v>
      </c>
      <c r="R167" s="8">
        <f t="shared" si="45"/>
        <v>0</v>
      </c>
      <c r="S167" s="11">
        <f t="shared" si="46"/>
        <v>-0.45</v>
      </c>
      <c r="T167" s="12">
        <f t="shared" si="47"/>
        <v>1.5</v>
      </c>
      <c r="U167" s="13">
        <f t="shared" si="48"/>
        <v>-0.28632542914766468</v>
      </c>
      <c r="V167" s="21">
        <v>-2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 spans="1:36" thickBot="1" x14ac:dyDescent="0.25">
      <c r="A168" s="1">
        <v>166</v>
      </c>
      <c r="B168" s="33">
        <v>45538</v>
      </c>
      <c r="C168" s="18" t="s">
        <v>27</v>
      </c>
      <c r="D168" s="19">
        <v>5</v>
      </c>
      <c r="E168" s="19" t="s">
        <v>21</v>
      </c>
      <c r="F168" s="19" t="s">
        <v>24</v>
      </c>
      <c r="G168" s="19" t="s">
        <v>24</v>
      </c>
      <c r="H168" s="18" t="s">
        <v>21</v>
      </c>
      <c r="I168" s="20">
        <v>3.5000000000000001E-3</v>
      </c>
      <c r="J168" s="19">
        <v>1.4750000000000001</v>
      </c>
      <c r="K168" s="19">
        <v>2.0840000000000001</v>
      </c>
      <c r="L168" s="10">
        <f t="shared" si="49"/>
        <v>0.70777351247600773</v>
      </c>
      <c r="M168" s="14">
        <f t="shared" si="50"/>
        <v>0.95203289173138417</v>
      </c>
      <c r="N168" s="11">
        <f t="shared" si="41"/>
        <v>1</v>
      </c>
      <c r="O168" s="8">
        <f t="shared" si="42"/>
        <v>0</v>
      </c>
      <c r="P168" s="8">
        <f t="shared" si="43"/>
        <v>2</v>
      </c>
      <c r="Q168" s="8">
        <f t="shared" si="44"/>
        <v>2</v>
      </c>
      <c r="R168" s="8">
        <f t="shared" si="45"/>
        <v>0</v>
      </c>
      <c r="S168" s="11">
        <f t="shared" si="46"/>
        <v>1.1000000000000001</v>
      </c>
      <c r="T168" s="12">
        <f t="shared" si="47"/>
        <v>0.83333333333333337</v>
      </c>
      <c r="U168" s="13">
        <f t="shared" si="48"/>
        <v>0.39623780545660636</v>
      </c>
      <c r="V168" s="21">
        <v>4</v>
      </c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spans="1:36" thickBot="1" x14ac:dyDescent="0.25">
      <c r="A169" s="1">
        <v>167</v>
      </c>
      <c r="B169" s="33">
        <v>45539</v>
      </c>
      <c r="C169" s="18" t="s">
        <v>29</v>
      </c>
      <c r="D169" s="19">
        <v>3</v>
      </c>
      <c r="E169" s="19" t="s">
        <v>21</v>
      </c>
      <c r="F169" s="19" t="s">
        <v>21</v>
      </c>
      <c r="G169" s="19" t="s">
        <v>21</v>
      </c>
      <c r="H169" s="18" t="s">
        <v>26</v>
      </c>
      <c r="I169" s="20">
        <v>-4.4000000000000003E-3</v>
      </c>
      <c r="J169" s="19">
        <v>1.665</v>
      </c>
      <c r="K169" s="19">
        <v>2.04</v>
      </c>
      <c r="L169" s="10">
        <f t="shared" si="49"/>
        <v>0.81617647058823528</v>
      </c>
      <c r="M169" s="14">
        <f t="shared" si="50"/>
        <v>0.97888675623800381</v>
      </c>
      <c r="N169" s="11">
        <f t="shared" si="41"/>
        <v>0</v>
      </c>
      <c r="O169" s="8">
        <f t="shared" si="42"/>
        <v>0</v>
      </c>
      <c r="P169" s="8">
        <f t="shared" si="43"/>
        <v>0</v>
      </c>
      <c r="Q169" s="8">
        <f t="shared" si="44"/>
        <v>0</v>
      </c>
      <c r="R169" s="8">
        <f t="shared" si="45"/>
        <v>-1</v>
      </c>
      <c r="S169" s="11">
        <f t="shared" si="46"/>
        <v>-0.05</v>
      </c>
      <c r="T169" s="12">
        <f t="shared" si="47"/>
        <v>0.6</v>
      </c>
      <c r="U169" s="13">
        <f t="shared" si="48"/>
        <v>-1.8745056507297398E-2</v>
      </c>
      <c r="V169" s="21">
        <v>4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 spans="1:36" thickBot="1" x14ac:dyDescent="0.25">
      <c r="A170" s="1">
        <v>168</v>
      </c>
      <c r="B170" s="33">
        <v>45540</v>
      </c>
      <c r="C170" s="18" t="s">
        <v>23</v>
      </c>
      <c r="D170" s="19">
        <v>3</v>
      </c>
      <c r="E170" s="19" t="s">
        <v>21</v>
      </c>
      <c r="F170" s="19" t="s">
        <v>21</v>
      </c>
      <c r="G170" s="19" t="s">
        <v>21</v>
      </c>
      <c r="H170" s="18" t="s">
        <v>22</v>
      </c>
      <c r="I170" s="20">
        <v>2.5999999999999999E-3</v>
      </c>
      <c r="J170" s="19">
        <v>0.78700000000000003</v>
      </c>
      <c r="K170" s="19">
        <v>1.9410000000000001</v>
      </c>
      <c r="L170" s="10">
        <f t="shared" si="49"/>
        <v>0.40546110252447193</v>
      </c>
      <c r="M170" s="14">
        <f t="shared" si="50"/>
        <v>0.95147058823529418</v>
      </c>
      <c r="N170" s="11">
        <f t="shared" ref="N170:N233" si="51">IF(C170="L", -2, IF(C170="OL", -1, IF(C170="H", 2, IF(C170="OH", 1, IF(C170="O", 0, "")))))</f>
        <v>2</v>
      </c>
      <c r="O170" s="8">
        <f t="shared" ref="O170:O233" si="52">IF(E170="IS", -2, IF(E170="--", 0, IF(E170="IB", 2, "")))</f>
        <v>0</v>
      </c>
      <c r="P170" s="8">
        <f t="shared" si="43"/>
        <v>0</v>
      </c>
      <c r="Q170" s="8">
        <f t="shared" si="44"/>
        <v>0</v>
      </c>
      <c r="R170" s="8">
        <f t="shared" si="45"/>
        <v>1</v>
      </c>
      <c r="S170" s="11">
        <f t="shared" si="46"/>
        <v>0.45</v>
      </c>
      <c r="T170" s="12">
        <f t="shared" si="47"/>
        <v>1</v>
      </c>
      <c r="U170" s="13">
        <f t="shared" si="48"/>
        <v>6.3723117080958694E-2</v>
      </c>
      <c r="V170" s="21">
        <v>-2</v>
      </c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 spans="1:36" thickBot="1" x14ac:dyDescent="0.25">
      <c r="A171" s="1">
        <v>169</v>
      </c>
      <c r="B171" s="33">
        <v>45541</v>
      </c>
      <c r="C171" s="18" t="s">
        <v>20</v>
      </c>
      <c r="D171" s="19">
        <v>20</v>
      </c>
      <c r="E171" s="19" t="s">
        <v>21</v>
      </c>
      <c r="F171" s="19" t="s">
        <v>28</v>
      </c>
      <c r="G171" s="19" t="s">
        <v>28</v>
      </c>
      <c r="H171" s="18" t="s">
        <v>28</v>
      </c>
      <c r="I171" s="20">
        <v>-1.78E-2</v>
      </c>
      <c r="J171" s="19">
        <v>2.7570000000000001</v>
      </c>
      <c r="K171" s="19">
        <v>1.9730000000000001</v>
      </c>
      <c r="L171" s="10">
        <f t="shared" si="49"/>
        <v>1.397364419665484</v>
      </c>
      <c r="M171" s="14">
        <f t="shared" si="50"/>
        <v>1.0164863472436889</v>
      </c>
      <c r="N171" s="11">
        <f t="shared" si="51"/>
        <v>-2</v>
      </c>
      <c r="O171" s="8">
        <f t="shared" si="52"/>
        <v>0</v>
      </c>
      <c r="P171" s="8">
        <f t="shared" ref="P171:R234" si="53">IF(F171="IS", -2, IF(F171="RS", -1, IF(F171="--", 0, IF(F171="IB", 2, IF(F171="RB", 1, "")))))</f>
        <v>-2</v>
      </c>
      <c r="Q171" s="8">
        <f t="shared" si="53"/>
        <v>-2</v>
      </c>
      <c r="R171" s="8">
        <f t="shared" si="53"/>
        <v>-2</v>
      </c>
      <c r="S171" s="11">
        <f t="shared" ref="S171:S234" si="54">O171*0.3 + P171*0.2 + Q171*0.25 + N171*0.2 + R171*0.05</f>
        <v>-1.4000000000000001</v>
      </c>
      <c r="T171" s="12">
        <f t="shared" ref="T171:T234" si="55">D171/D170</f>
        <v>6.666666666666667</v>
      </c>
      <c r="U171" s="13">
        <f t="shared" ref="U171:U234" si="56">S171*L171*L171*T171*M171*M171*M171</f>
        <v>-19.140830962867785</v>
      </c>
      <c r="V171" s="21">
        <v>-10</v>
      </c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 spans="1:36" thickBot="1" x14ac:dyDescent="0.25">
      <c r="A172" s="1">
        <v>170</v>
      </c>
      <c r="B172" s="33">
        <v>45544</v>
      </c>
      <c r="C172" s="18" t="s">
        <v>25</v>
      </c>
      <c r="D172" s="19">
        <v>13</v>
      </c>
      <c r="E172" s="19" t="s">
        <v>24</v>
      </c>
      <c r="F172" s="19" t="s">
        <v>24</v>
      </c>
      <c r="G172" s="19" t="s">
        <v>22</v>
      </c>
      <c r="H172" s="18" t="s">
        <v>21</v>
      </c>
      <c r="I172" s="20">
        <v>9.5999999999999992E-3</v>
      </c>
      <c r="J172" s="19">
        <v>2.2170000000000001</v>
      </c>
      <c r="K172" s="19">
        <v>2.0019999999999998</v>
      </c>
      <c r="L172" s="10">
        <f t="shared" si="49"/>
        <v>1.1073926073926075</v>
      </c>
      <c r="M172" s="14">
        <f t="shared" si="50"/>
        <v>1.0146984287886465</v>
      </c>
      <c r="N172" s="11">
        <f t="shared" si="51"/>
        <v>-1</v>
      </c>
      <c r="O172" s="8">
        <f t="shared" si="52"/>
        <v>2</v>
      </c>
      <c r="P172" s="8">
        <f t="shared" si="53"/>
        <v>2</v>
      </c>
      <c r="Q172" s="8">
        <f t="shared" si="53"/>
        <v>1</v>
      </c>
      <c r="R172" s="8">
        <f t="shared" si="53"/>
        <v>0</v>
      </c>
      <c r="S172" s="11">
        <f t="shared" si="54"/>
        <v>1.05</v>
      </c>
      <c r="T172" s="12">
        <f t="shared" si="55"/>
        <v>0.65</v>
      </c>
      <c r="U172" s="13">
        <f t="shared" si="56"/>
        <v>0.87441351066577311</v>
      </c>
      <c r="V172" s="28">
        <v>10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 spans="1:36" thickBot="1" x14ac:dyDescent="0.25">
      <c r="A173" s="1">
        <v>171</v>
      </c>
      <c r="B173" s="33">
        <v>45545</v>
      </c>
      <c r="C173" s="18" t="s">
        <v>27</v>
      </c>
      <c r="D173" s="19">
        <v>9</v>
      </c>
      <c r="E173" s="19" t="s">
        <v>21</v>
      </c>
      <c r="F173" s="19" t="s">
        <v>21</v>
      </c>
      <c r="G173" s="19" t="s">
        <v>24</v>
      </c>
      <c r="H173" s="18" t="s">
        <v>21</v>
      </c>
      <c r="I173" s="20">
        <v>2.2000000000000001E-3</v>
      </c>
      <c r="J173" s="19">
        <v>1.571</v>
      </c>
      <c r="K173" s="19">
        <v>1.96</v>
      </c>
      <c r="L173" s="10">
        <f t="shared" si="49"/>
        <v>0.80153061224489797</v>
      </c>
      <c r="M173" s="14">
        <f t="shared" si="50"/>
        <v>0.97902097902097907</v>
      </c>
      <c r="N173" s="11">
        <f t="shared" si="51"/>
        <v>1</v>
      </c>
      <c r="O173" s="8">
        <f t="shared" si="52"/>
        <v>0</v>
      </c>
      <c r="P173" s="8">
        <f t="shared" si="53"/>
        <v>0</v>
      </c>
      <c r="Q173" s="8">
        <f t="shared" si="53"/>
        <v>2</v>
      </c>
      <c r="R173" s="8">
        <f t="shared" si="53"/>
        <v>0</v>
      </c>
      <c r="S173" s="11">
        <f t="shared" si="54"/>
        <v>0.7</v>
      </c>
      <c r="T173" s="12">
        <f t="shared" si="55"/>
        <v>0.69230769230769229</v>
      </c>
      <c r="U173" s="13">
        <f t="shared" si="56"/>
        <v>0.29215506447231154</v>
      </c>
      <c r="V173" s="21">
        <v>6</v>
      </c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spans="1:36" thickBot="1" x14ac:dyDescent="0.25">
      <c r="A174" s="1">
        <v>172</v>
      </c>
      <c r="B174" s="33">
        <v>45546</v>
      </c>
      <c r="C174" s="18" t="s">
        <v>25</v>
      </c>
      <c r="D174" s="19">
        <v>9</v>
      </c>
      <c r="E174" s="19" t="s">
        <v>21</v>
      </c>
      <c r="F174" s="19" t="s">
        <v>21</v>
      </c>
      <c r="G174" s="19" t="s">
        <v>26</v>
      </c>
      <c r="H174" s="18" t="s">
        <v>21</v>
      </c>
      <c r="I174" s="20">
        <v>-4.7999999999999996E-3</v>
      </c>
      <c r="J174" s="19">
        <v>1.956</v>
      </c>
      <c r="K174" s="19">
        <v>1.929</v>
      </c>
      <c r="L174" s="10">
        <f t="shared" si="49"/>
        <v>1.0139968895800933</v>
      </c>
      <c r="M174" s="14">
        <f t="shared" si="50"/>
        <v>0.98418367346938784</v>
      </c>
      <c r="N174" s="11">
        <f t="shared" si="51"/>
        <v>-1</v>
      </c>
      <c r="O174" s="8">
        <f t="shared" si="52"/>
        <v>0</v>
      </c>
      <c r="P174" s="8">
        <f t="shared" si="53"/>
        <v>0</v>
      </c>
      <c r="Q174" s="8">
        <f t="shared" si="53"/>
        <v>-1</v>
      </c>
      <c r="R174" s="8">
        <f t="shared" si="53"/>
        <v>0</v>
      </c>
      <c r="S174" s="11">
        <f t="shared" si="54"/>
        <v>-0.45</v>
      </c>
      <c r="T174" s="12">
        <f t="shared" si="55"/>
        <v>1</v>
      </c>
      <c r="U174" s="13">
        <f t="shared" si="56"/>
        <v>-0.44107681333882992</v>
      </c>
      <c r="V174" s="21">
        <v>-4</v>
      </c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spans="1:36" thickBot="1" x14ac:dyDescent="0.25">
      <c r="A175" s="1">
        <v>173</v>
      </c>
      <c r="B175" s="33">
        <v>45547</v>
      </c>
      <c r="C175" s="18" t="s">
        <v>27</v>
      </c>
      <c r="D175" s="19">
        <v>15</v>
      </c>
      <c r="E175" s="19" t="s">
        <v>24</v>
      </c>
      <c r="F175" s="19" t="s">
        <v>24</v>
      </c>
      <c r="G175" s="19" t="s">
        <v>22</v>
      </c>
      <c r="H175" s="18" t="s">
        <v>22</v>
      </c>
      <c r="I175" s="20">
        <v>1.1599999999999999E-2</v>
      </c>
      <c r="J175" s="19">
        <v>2.4750000000000001</v>
      </c>
      <c r="K175" s="19">
        <v>1.9730000000000001</v>
      </c>
      <c r="L175" s="10">
        <f t="shared" si="49"/>
        <v>1.2544348707551951</v>
      </c>
      <c r="M175" s="14">
        <f t="shared" si="50"/>
        <v>1.0228097459823744</v>
      </c>
      <c r="N175" s="11">
        <f t="shared" si="51"/>
        <v>1</v>
      </c>
      <c r="O175" s="8">
        <f t="shared" si="52"/>
        <v>2</v>
      </c>
      <c r="P175" s="8">
        <f t="shared" si="53"/>
        <v>2</v>
      </c>
      <c r="Q175" s="8">
        <f t="shared" si="53"/>
        <v>1</v>
      </c>
      <c r="R175" s="8">
        <f t="shared" si="53"/>
        <v>1</v>
      </c>
      <c r="S175" s="11">
        <f t="shared" si="54"/>
        <v>1.5</v>
      </c>
      <c r="T175" s="12">
        <f t="shared" si="55"/>
        <v>1.6666666666666667</v>
      </c>
      <c r="U175" s="13">
        <f t="shared" si="56"/>
        <v>4.2094060171826131</v>
      </c>
      <c r="V175" s="21">
        <v>4</v>
      </c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 spans="1:36" thickBot="1" x14ac:dyDescent="0.25">
      <c r="A176" s="1">
        <v>174</v>
      </c>
      <c r="B176" s="33">
        <v>45548</v>
      </c>
      <c r="C176" s="18" t="s">
        <v>23</v>
      </c>
      <c r="D176" s="19">
        <v>7</v>
      </c>
      <c r="E176" s="19" t="s">
        <v>21</v>
      </c>
      <c r="F176" s="19" t="s">
        <v>21</v>
      </c>
      <c r="G176" s="19" t="s">
        <v>21</v>
      </c>
      <c r="H176" s="18" t="s">
        <v>24</v>
      </c>
      <c r="I176" s="20">
        <v>3.2000000000000002E-3</v>
      </c>
      <c r="J176" s="19">
        <v>1.577</v>
      </c>
      <c r="K176" s="19">
        <v>1.8959999999999999</v>
      </c>
      <c r="L176" s="10">
        <f t="shared" si="49"/>
        <v>0.8317510548523207</v>
      </c>
      <c r="M176" s="14">
        <f t="shared" si="50"/>
        <v>0.96097313735428269</v>
      </c>
      <c r="N176" s="11">
        <f t="shared" si="51"/>
        <v>2</v>
      </c>
      <c r="O176" s="8">
        <f t="shared" si="52"/>
        <v>0</v>
      </c>
      <c r="P176" s="8">
        <f t="shared" si="53"/>
        <v>0</v>
      </c>
      <c r="Q176" s="8">
        <f t="shared" si="53"/>
        <v>0</v>
      </c>
      <c r="R176" s="8">
        <f t="shared" si="53"/>
        <v>2</v>
      </c>
      <c r="S176" s="11">
        <f t="shared" si="54"/>
        <v>0.5</v>
      </c>
      <c r="T176" s="12">
        <f t="shared" si="55"/>
        <v>0.46666666666666667</v>
      </c>
      <c r="U176" s="13">
        <f t="shared" si="56"/>
        <v>0.14325086372183832</v>
      </c>
      <c r="V176" s="21">
        <v>7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 spans="1:36" thickBot="1" x14ac:dyDescent="0.25">
      <c r="A177" s="1">
        <v>175</v>
      </c>
      <c r="B177" s="33">
        <v>45551</v>
      </c>
      <c r="C177" s="18" t="s">
        <v>23</v>
      </c>
      <c r="D177" s="19">
        <v>6</v>
      </c>
      <c r="E177" s="19" t="s">
        <v>21</v>
      </c>
      <c r="F177" s="19" t="s">
        <v>21</v>
      </c>
      <c r="G177" s="19" t="s">
        <v>24</v>
      </c>
      <c r="H177" s="18" t="s">
        <v>24</v>
      </c>
      <c r="I177" s="20">
        <v>6.3E-3</v>
      </c>
      <c r="J177" s="19">
        <v>1.232</v>
      </c>
      <c r="K177" s="19">
        <v>1.8779999999999999</v>
      </c>
      <c r="L177" s="10">
        <f t="shared" si="49"/>
        <v>0.65601703940362088</v>
      </c>
      <c r="M177" s="14">
        <f t="shared" si="50"/>
        <v>0.990506329113924</v>
      </c>
      <c r="N177" s="11">
        <f t="shared" si="51"/>
        <v>2</v>
      </c>
      <c r="O177" s="8">
        <f t="shared" si="52"/>
        <v>0</v>
      </c>
      <c r="P177" s="8">
        <f t="shared" si="53"/>
        <v>0</v>
      </c>
      <c r="Q177" s="8">
        <f t="shared" si="53"/>
        <v>2</v>
      </c>
      <c r="R177" s="8">
        <f t="shared" si="53"/>
        <v>2</v>
      </c>
      <c r="S177" s="11">
        <f t="shared" si="54"/>
        <v>1</v>
      </c>
      <c r="T177" s="12">
        <f t="shared" si="55"/>
        <v>0.8571428571428571</v>
      </c>
      <c r="U177" s="13">
        <f t="shared" si="56"/>
        <v>0.35847198024226612</v>
      </c>
      <c r="V177" s="21">
        <v>2</v>
      </c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 spans="1:36" thickBot="1" x14ac:dyDescent="0.25">
      <c r="A178" s="1">
        <v>176</v>
      </c>
      <c r="B178" s="33">
        <v>45552</v>
      </c>
      <c r="C178" s="18" t="s">
        <v>23</v>
      </c>
      <c r="D178" s="19">
        <v>3</v>
      </c>
      <c r="E178" s="19" t="s">
        <v>21</v>
      </c>
      <c r="F178" s="19" t="s">
        <v>21</v>
      </c>
      <c r="G178" s="19" t="s">
        <v>21</v>
      </c>
      <c r="H178" s="18" t="s">
        <v>21</v>
      </c>
      <c r="I178" s="20">
        <v>8.0000000000000004E-4</v>
      </c>
      <c r="J178" s="19">
        <v>0.91600000000000004</v>
      </c>
      <c r="K178" s="19">
        <v>1.8140000000000001</v>
      </c>
      <c r="L178" s="10">
        <f t="shared" si="49"/>
        <v>0.50496141124586547</v>
      </c>
      <c r="M178" s="14">
        <f t="shared" si="50"/>
        <v>0.9659211927582535</v>
      </c>
      <c r="N178" s="11">
        <f t="shared" si="51"/>
        <v>2</v>
      </c>
      <c r="O178" s="8">
        <f t="shared" si="52"/>
        <v>0</v>
      </c>
      <c r="P178" s="8">
        <f t="shared" si="53"/>
        <v>0</v>
      </c>
      <c r="Q178" s="8">
        <f t="shared" si="53"/>
        <v>0</v>
      </c>
      <c r="R178" s="8">
        <f t="shared" si="53"/>
        <v>0</v>
      </c>
      <c r="S178" s="11">
        <f t="shared" si="54"/>
        <v>0.4</v>
      </c>
      <c r="T178" s="12">
        <f t="shared" si="55"/>
        <v>0.5</v>
      </c>
      <c r="U178" s="13">
        <f t="shared" si="56"/>
        <v>4.5959094334317156E-2</v>
      </c>
      <c r="V178" s="21">
        <v>2</v>
      </c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spans="1:36" thickBot="1" x14ac:dyDescent="0.25">
      <c r="A179" s="1">
        <v>177</v>
      </c>
      <c r="B179" s="33">
        <v>45553</v>
      </c>
      <c r="C179" s="18" t="s">
        <v>23</v>
      </c>
      <c r="D179" s="19">
        <v>14</v>
      </c>
      <c r="E179" s="19" t="s">
        <v>24</v>
      </c>
      <c r="F179" s="19" t="s">
        <v>24</v>
      </c>
      <c r="G179" s="19" t="s">
        <v>24</v>
      </c>
      <c r="H179" s="18" t="s">
        <v>24</v>
      </c>
      <c r="I179" s="20">
        <v>9.2999999999999992E-3</v>
      </c>
      <c r="J179" s="19">
        <v>2.4489999999999998</v>
      </c>
      <c r="K179" s="19">
        <v>1.7889999999999999</v>
      </c>
      <c r="L179" s="10">
        <f t="shared" si="49"/>
        <v>1.3689211850195639</v>
      </c>
      <c r="M179" s="14">
        <f t="shared" si="50"/>
        <v>0.98621830209481798</v>
      </c>
      <c r="N179" s="11">
        <f t="shared" si="51"/>
        <v>2</v>
      </c>
      <c r="O179" s="8">
        <f t="shared" si="52"/>
        <v>2</v>
      </c>
      <c r="P179" s="8">
        <f t="shared" si="53"/>
        <v>2</v>
      </c>
      <c r="Q179" s="8">
        <f t="shared" si="53"/>
        <v>2</v>
      </c>
      <c r="R179" s="8">
        <f t="shared" si="53"/>
        <v>2</v>
      </c>
      <c r="S179" s="11">
        <f t="shared" si="54"/>
        <v>2</v>
      </c>
      <c r="T179" s="12">
        <f t="shared" si="55"/>
        <v>4.666666666666667</v>
      </c>
      <c r="U179" s="13">
        <f t="shared" si="56"/>
        <v>16.776943396286573</v>
      </c>
      <c r="V179" s="28">
        <v>12</v>
      </c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spans="1:36" thickBot="1" x14ac:dyDescent="0.25">
      <c r="A180" s="1">
        <v>178</v>
      </c>
      <c r="B180" s="33">
        <v>45554</v>
      </c>
      <c r="C180" s="18" t="s">
        <v>23</v>
      </c>
      <c r="D180" s="19">
        <v>10</v>
      </c>
      <c r="E180" s="19" t="s">
        <v>21</v>
      </c>
      <c r="F180" s="19" t="s">
        <v>21</v>
      </c>
      <c r="G180" s="19" t="s">
        <v>21</v>
      </c>
      <c r="H180" s="18" t="s">
        <v>24</v>
      </c>
      <c r="I180" s="20">
        <v>7.1999999999999998E-3</v>
      </c>
      <c r="J180" s="19">
        <v>1.93</v>
      </c>
      <c r="K180" s="19">
        <v>1.8140000000000001</v>
      </c>
      <c r="L180" s="10">
        <f t="shared" si="49"/>
        <v>1.063947078280044</v>
      </c>
      <c r="M180" s="14">
        <f t="shared" si="50"/>
        <v>1.0139742873113471</v>
      </c>
      <c r="N180" s="11">
        <f t="shared" si="51"/>
        <v>2</v>
      </c>
      <c r="O180" s="8">
        <f t="shared" si="52"/>
        <v>0</v>
      </c>
      <c r="P180" s="8">
        <f t="shared" si="53"/>
        <v>0</v>
      </c>
      <c r="Q180" s="8">
        <f t="shared" si="53"/>
        <v>0</v>
      </c>
      <c r="R180" s="8">
        <f t="shared" si="53"/>
        <v>2</v>
      </c>
      <c r="S180" s="11">
        <f t="shared" si="54"/>
        <v>0.5</v>
      </c>
      <c r="T180" s="12">
        <f t="shared" si="55"/>
        <v>0.7142857142857143</v>
      </c>
      <c r="U180" s="13">
        <f t="shared" si="56"/>
        <v>0.42146629327872781</v>
      </c>
      <c r="V180" s="21">
        <v>6</v>
      </c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spans="1:36" thickBot="1" x14ac:dyDescent="0.25">
      <c r="A181" s="1">
        <v>179</v>
      </c>
      <c r="B181" s="33">
        <v>45555</v>
      </c>
      <c r="C181" s="18" t="s">
        <v>27</v>
      </c>
      <c r="D181" s="19">
        <v>12</v>
      </c>
      <c r="E181" s="19" t="s">
        <v>21</v>
      </c>
      <c r="F181" s="19" t="s">
        <v>21</v>
      </c>
      <c r="G181" s="19" t="s">
        <v>21</v>
      </c>
      <c r="H181" s="18" t="s">
        <v>24</v>
      </c>
      <c r="I181" s="20">
        <v>7.9000000000000008E-3</v>
      </c>
      <c r="J181" s="19">
        <v>2.2280000000000002</v>
      </c>
      <c r="K181" s="19">
        <v>1.8620000000000001</v>
      </c>
      <c r="L181" s="10">
        <f t="shared" si="49"/>
        <v>1.19656283566058</v>
      </c>
      <c r="M181" s="14">
        <f t="shared" si="50"/>
        <v>1.0264608599779492</v>
      </c>
      <c r="N181" s="11">
        <f t="shared" si="51"/>
        <v>1</v>
      </c>
      <c r="O181" s="8">
        <f t="shared" si="52"/>
        <v>0</v>
      </c>
      <c r="P181" s="8">
        <f t="shared" si="53"/>
        <v>0</v>
      </c>
      <c r="Q181" s="8">
        <f t="shared" si="53"/>
        <v>0</v>
      </c>
      <c r="R181" s="8">
        <f t="shared" si="53"/>
        <v>2</v>
      </c>
      <c r="S181" s="11">
        <f t="shared" si="54"/>
        <v>0.30000000000000004</v>
      </c>
      <c r="T181" s="12">
        <f t="shared" si="55"/>
        <v>1.2</v>
      </c>
      <c r="U181" s="13">
        <f t="shared" si="56"/>
        <v>0.55744330291547206</v>
      </c>
      <c r="V181" s="28">
        <v>14</v>
      </c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 spans="1:36" thickBot="1" x14ac:dyDescent="0.25">
      <c r="A182" s="1">
        <v>180</v>
      </c>
      <c r="B182" s="33">
        <v>45558</v>
      </c>
      <c r="C182" s="18" t="s">
        <v>23</v>
      </c>
      <c r="D182" s="19">
        <v>10</v>
      </c>
      <c r="E182" s="19" t="s">
        <v>21</v>
      </c>
      <c r="F182" s="19" t="s">
        <v>21</v>
      </c>
      <c r="G182" s="19" t="s">
        <v>24</v>
      </c>
      <c r="H182" s="18" t="s">
        <v>24</v>
      </c>
      <c r="I182" s="20">
        <v>9.4000000000000004E-3</v>
      </c>
      <c r="J182" s="19">
        <v>1.593</v>
      </c>
      <c r="K182" s="19">
        <v>1.8620000000000001</v>
      </c>
      <c r="L182" s="10">
        <f t="shared" si="49"/>
        <v>0.85553168635875398</v>
      </c>
      <c r="M182" s="14">
        <f t="shared" si="50"/>
        <v>1</v>
      </c>
      <c r="N182" s="11">
        <f t="shared" si="51"/>
        <v>2</v>
      </c>
      <c r="O182" s="8">
        <f t="shared" si="52"/>
        <v>0</v>
      </c>
      <c r="P182" s="8">
        <f t="shared" si="53"/>
        <v>0</v>
      </c>
      <c r="Q182" s="8">
        <f t="shared" si="53"/>
        <v>2</v>
      </c>
      <c r="R182" s="8">
        <f t="shared" si="53"/>
        <v>2</v>
      </c>
      <c r="S182" s="11">
        <f t="shared" si="54"/>
        <v>1</v>
      </c>
      <c r="T182" s="12">
        <f t="shared" si="55"/>
        <v>0.83333333333333337</v>
      </c>
      <c r="U182" s="13">
        <f t="shared" si="56"/>
        <v>0.60994538863654457</v>
      </c>
      <c r="V182" s="32">
        <v>10</v>
      </c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spans="1:36" thickBot="1" x14ac:dyDescent="0.25">
      <c r="A183" s="1">
        <v>181</v>
      </c>
      <c r="B183" s="33">
        <v>45559</v>
      </c>
      <c r="C183" s="18" t="s">
        <v>27</v>
      </c>
      <c r="D183" s="19">
        <v>6</v>
      </c>
      <c r="E183" s="19" t="s">
        <v>21</v>
      </c>
      <c r="F183" s="19" t="s">
        <v>21</v>
      </c>
      <c r="G183" s="19" t="s">
        <v>21</v>
      </c>
      <c r="H183" s="18" t="s">
        <v>21</v>
      </c>
      <c r="I183" s="20">
        <v>-8.0000000000000004E-4</v>
      </c>
      <c r="J183" s="19">
        <v>1.2989999999999999</v>
      </c>
      <c r="K183" s="19">
        <v>1.821</v>
      </c>
      <c r="L183" s="10">
        <f t="shared" si="49"/>
        <v>0.71334431630971995</v>
      </c>
      <c r="M183" s="14">
        <f t="shared" si="50"/>
        <v>0.97798066595059063</v>
      </c>
      <c r="N183" s="11">
        <f t="shared" si="51"/>
        <v>1</v>
      </c>
      <c r="O183" s="8">
        <f t="shared" si="52"/>
        <v>0</v>
      </c>
      <c r="P183" s="8">
        <f t="shared" si="53"/>
        <v>0</v>
      </c>
      <c r="Q183" s="8">
        <f t="shared" si="53"/>
        <v>0</v>
      </c>
      <c r="R183" s="8">
        <f t="shared" si="53"/>
        <v>0</v>
      </c>
      <c r="S183" s="11">
        <f t="shared" si="54"/>
        <v>0.2</v>
      </c>
      <c r="T183" s="12">
        <f t="shared" si="55"/>
        <v>0.6</v>
      </c>
      <c r="U183" s="13">
        <f t="shared" si="56"/>
        <v>5.7117667512925442E-2</v>
      </c>
      <c r="V183" s="21">
        <v>2</v>
      </c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 spans="1:36" thickBot="1" x14ac:dyDescent="0.25">
      <c r="A184" s="1">
        <v>182</v>
      </c>
      <c r="B184" s="33">
        <v>45560</v>
      </c>
      <c r="C184" s="18" t="s">
        <v>25</v>
      </c>
      <c r="D184" s="19">
        <v>5</v>
      </c>
      <c r="E184" s="19" t="s">
        <v>21</v>
      </c>
      <c r="F184" s="19" t="s">
        <v>21</v>
      </c>
      <c r="G184" s="19" t="s">
        <v>22</v>
      </c>
      <c r="H184" s="18" t="s">
        <v>21</v>
      </c>
      <c r="I184" s="20">
        <v>1.2999999999999999E-3</v>
      </c>
      <c r="J184" s="19">
        <v>1.4750000000000001</v>
      </c>
      <c r="K184" s="19">
        <v>1.802</v>
      </c>
      <c r="L184" s="10">
        <f t="shared" si="49"/>
        <v>0.81853496115427304</v>
      </c>
      <c r="M184" s="14">
        <f t="shared" si="50"/>
        <v>0.98956617243272937</v>
      </c>
      <c r="N184" s="11">
        <f t="shared" si="51"/>
        <v>-1</v>
      </c>
      <c r="O184" s="8">
        <f t="shared" si="52"/>
        <v>0</v>
      </c>
      <c r="P184" s="8">
        <f t="shared" si="53"/>
        <v>0</v>
      </c>
      <c r="Q184" s="8">
        <f t="shared" si="53"/>
        <v>1</v>
      </c>
      <c r="R184" s="8">
        <f t="shared" si="53"/>
        <v>0</v>
      </c>
      <c r="S184" s="11">
        <f t="shared" si="54"/>
        <v>4.9999999999999989E-2</v>
      </c>
      <c r="T184" s="12">
        <f t="shared" si="55"/>
        <v>0.83333333333333337</v>
      </c>
      <c r="U184" s="13">
        <f t="shared" si="56"/>
        <v>2.7051898432233861E-2</v>
      </c>
      <c r="V184" s="21">
        <v>6</v>
      </c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spans="1:36" thickBot="1" x14ac:dyDescent="0.25">
      <c r="A185" s="1">
        <v>183</v>
      </c>
      <c r="B185" s="33">
        <v>45561</v>
      </c>
      <c r="C185" s="18" t="s">
        <v>23</v>
      </c>
      <c r="D185" s="19">
        <v>6</v>
      </c>
      <c r="E185" s="19" t="s">
        <v>21</v>
      </c>
      <c r="F185" s="19" t="s">
        <v>21</v>
      </c>
      <c r="G185" s="19" t="s">
        <v>24</v>
      </c>
      <c r="H185" s="18" t="s">
        <v>24</v>
      </c>
      <c r="I185" s="20">
        <v>8.0999999999999996E-3</v>
      </c>
      <c r="J185" s="19">
        <v>1.238</v>
      </c>
      <c r="K185" s="19">
        <v>1.768</v>
      </c>
      <c r="L185" s="10">
        <f t="shared" si="49"/>
        <v>0.70022624434389136</v>
      </c>
      <c r="M185" s="14">
        <f t="shared" si="50"/>
        <v>0.98113207547169812</v>
      </c>
      <c r="N185" s="11">
        <f t="shared" si="51"/>
        <v>2</v>
      </c>
      <c r="O185" s="8">
        <f t="shared" si="52"/>
        <v>0</v>
      </c>
      <c r="P185" s="8">
        <f t="shared" si="53"/>
        <v>0</v>
      </c>
      <c r="Q185" s="8">
        <f t="shared" si="53"/>
        <v>2</v>
      </c>
      <c r="R185" s="8">
        <f t="shared" si="53"/>
        <v>2</v>
      </c>
      <c r="S185" s="11">
        <f t="shared" si="54"/>
        <v>1</v>
      </c>
      <c r="T185" s="12">
        <f t="shared" si="55"/>
        <v>1.2</v>
      </c>
      <c r="U185" s="13">
        <f t="shared" si="56"/>
        <v>0.55570005038645376</v>
      </c>
      <c r="V185" s="21">
        <v>5</v>
      </c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 spans="1:36" thickBot="1" x14ac:dyDescent="0.25">
      <c r="A186" s="1">
        <v>184</v>
      </c>
      <c r="B186" s="33">
        <v>45562</v>
      </c>
      <c r="C186" s="18" t="s">
        <v>25</v>
      </c>
      <c r="D186" s="19">
        <v>12</v>
      </c>
      <c r="E186" s="19" t="s">
        <v>28</v>
      </c>
      <c r="F186" s="19" t="s">
        <v>28</v>
      </c>
      <c r="G186" s="19" t="s">
        <v>21</v>
      </c>
      <c r="H186" s="18" t="s">
        <v>28</v>
      </c>
      <c r="I186" s="20">
        <v>-5.5999999999999999E-3</v>
      </c>
      <c r="J186" s="19">
        <v>1.5580000000000001</v>
      </c>
      <c r="K186" s="19">
        <v>1.7769999999999999</v>
      </c>
      <c r="L186" s="10">
        <f t="shared" si="49"/>
        <v>0.87675858187957234</v>
      </c>
      <c r="M186" s="14">
        <f t="shared" si="50"/>
        <v>1.0050904977375565</v>
      </c>
      <c r="N186" s="11">
        <f t="shared" si="51"/>
        <v>-1</v>
      </c>
      <c r="O186" s="8">
        <f t="shared" si="52"/>
        <v>-2</v>
      </c>
      <c r="P186" s="8">
        <f t="shared" si="53"/>
        <v>-2</v>
      </c>
      <c r="Q186" s="8">
        <f t="shared" si="53"/>
        <v>0</v>
      </c>
      <c r="R186" s="8">
        <f t="shared" si="53"/>
        <v>-2</v>
      </c>
      <c r="S186" s="11">
        <f t="shared" si="54"/>
        <v>-1.3</v>
      </c>
      <c r="T186" s="12">
        <f t="shared" si="55"/>
        <v>2</v>
      </c>
      <c r="U186" s="13">
        <f t="shared" si="56"/>
        <v>-2.029312359387665</v>
      </c>
      <c r="V186" s="21">
        <v>-10</v>
      </c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1:36" thickBot="1" x14ac:dyDescent="0.25">
      <c r="A187" s="1">
        <v>185</v>
      </c>
      <c r="B187" s="33">
        <v>45565</v>
      </c>
      <c r="C187" s="18" t="s">
        <v>20</v>
      </c>
      <c r="D187" s="19">
        <v>12</v>
      </c>
      <c r="E187" s="19" t="s">
        <v>21</v>
      </c>
      <c r="F187" s="19" t="s">
        <v>21</v>
      </c>
      <c r="G187" s="19" t="s">
        <v>28</v>
      </c>
      <c r="H187" s="18" t="s">
        <v>28</v>
      </c>
      <c r="I187" s="20">
        <v>-1.43E-2</v>
      </c>
      <c r="J187" s="19">
        <v>2.1560000000000001</v>
      </c>
      <c r="K187" s="19">
        <v>1.81</v>
      </c>
      <c r="L187" s="10">
        <f t="shared" si="49"/>
        <v>1.1911602209944752</v>
      </c>
      <c r="M187" s="14">
        <f t="shared" si="50"/>
        <v>1.0185706246482837</v>
      </c>
      <c r="N187" s="11">
        <f t="shared" si="51"/>
        <v>-2</v>
      </c>
      <c r="O187" s="8">
        <f t="shared" si="52"/>
        <v>0</v>
      </c>
      <c r="P187" s="8">
        <f t="shared" si="53"/>
        <v>0</v>
      </c>
      <c r="Q187" s="8">
        <f t="shared" si="53"/>
        <v>-2</v>
      </c>
      <c r="R187" s="8">
        <f t="shared" si="53"/>
        <v>-2</v>
      </c>
      <c r="S187" s="11">
        <f t="shared" si="54"/>
        <v>-1</v>
      </c>
      <c r="T187" s="12">
        <f t="shared" si="55"/>
        <v>1</v>
      </c>
      <c r="U187" s="13">
        <f t="shared" si="56"/>
        <v>-1.4993872188193178</v>
      </c>
      <c r="V187" s="21">
        <v>-10</v>
      </c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 spans="1:36" thickBot="1" x14ac:dyDescent="0.25">
      <c r="A188" s="1">
        <v>186</v>
      </c>
      <c r="B188" s="33">
        <v>45566</v>
      </c>
      <c r="C188" s="18" t="s">
        <v>25</v>
      </c>
      <c r="D188" s="19">
        <v>6</v>
      </c>
      <c r="E188" s="19" t="s">
        <v>21</v>
      </c>
      <c r="F188" s="19" t="s">
        <v>21</v>
      </c>
      <c r="G188" s="19" t="s">
        <v>21</v>
      </c>
      <c r="H188" s="18" t="s">
        <v>21</v>
      </c>
      <c r="I188" s="20">
        <v>-1.1000000000000001E-3</v>
      </c>
      <c r="J188" s="19">
        <v>1.65</v>
      </c>
      <c r="K188" s="19">
        <v>1.8129999999999999</v>
      </c>
      <c r="L188" s="10">
        <f t="shared" si="49"/>
        <v>0.91009376723662438</v>
      </c>
      <c r="M188" s="14">
        <f t="shared" si="50"/>
        <v>1.0016574585635358</v>
      </c>
      <c r="N188" s="11">
        <f t="shared" si="51"/>
        <v>-1</v>
      </c>
      <c r="O188" s="8">
        <f t="shared" si="52"/>
        <v>0</v>
      </c>
      <c r="P188" s="8">
        <f t="shared" si="53"/>
        <v>0</v>
      </c>
      <c r="Q188" s="8">
        <f t="shared" si="53"/>
        <v>0</v>
      </c>
      <c r="R188" s="8">
        <f t="shared" si="53"/>
        <v>0</v>
      </c>
      <c r="S188" s="11">
        <f t="shared" si="54"/>
        <v>-0.2</v>
      </c>
      <c r="T188" s="12">
        <f t="shared" si="55"/>
        <v>0.5</v>
      </c>
      <c r="U188" s="13">
        <f t="shared" si="56"/>
        <v>-8.3239596805324209E-2</v>
      </c>
      <c r="V188" s="21">
        <v>-4</v>
      </c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1:36" thickBot="1" x14ac:dyDescent="0.25">
      <c r="A189" s="1">
        <v>187</v>
      </c>
      <c r="B189" s="33">
        <v>45568</v>
      </c>
      <c r="C189" s="18" t="s">
        <v>20</v>
      </c>
      <c r="D189" s="19">
        <v>24</v>
      </c>
      <c r="E189" s="19" t="s">
        <v>28</v>
      </c>
      <c r="F189" s="19" t="s">
        <v>28</v>
      </c>
      <c r="G189" s="19" t="s">
        <v>21</v>
      </c>
      <c r="H189" s="18" t="s">
        <v>28</v>
      </c>
      <c r="I189" s="20">
        <v>-1.8700000000000001E-2</v>
      </c>
      <c r="J189" s="19">
        <v>2.4020000000000001</v>
      </c>
      <c r="K189" s="19">
        <v>1.857</v>
      </c>
      <c r="L189" s="10">
        <f t="shared" si="49"/>
        <v>1.2934841141626279</v>
      </c>
      <c r="M189" s="14">
        <f t="shared" si="50"/>
        <v>1.02426916712631</v>
      </c>
      <c r="N189" s="11">
        <f t="shared" si="51"/>
        <v>-2</v>
      </c>
      <c r="O189" s="8">
        <f t="shared" si="52"/>
        <v>-2</v>
      </c>
      <c r="P189" s="8">
        <f t="shared" si="53"/>
        <v>-2</v>
      </c>
      <c r="Q189" s="8">
        <f t="shared" si="53"/>
        <v>0</v>
      </c>
      <c r="R189" s="8">
        <f t="shared" si="53"/>
        <v>-2</v>
      </c>
      <c r="S189" s="11">
        <f t="shared" si="54"/>
        <v>-1.5</v>
      </c>
      <c r="T189" s="12">
        <f t="shared" si="55"/>
        <v>4</v>
      </c>
      <c r="U189" s="13">
        <f t="shared" si="56"/>
        <v>-10.787374296006977</v>
      </c>
      <c r="V189" s="21">
        <v>-10</v>
      </c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spans="1:36" thickBot="1" x14ac:dyDescent="0.25">
      <c r="A190" s="1">
        <v>188</v>
      </c>
      <c r="B190" s="33">
        <v>45569</v>
      </c>
      <c r="C190" s="18" t="s">
        <v>25</v>
      </c>
      <c r="D190" s="19">
        <v>20</v>
      </c>
      <c r="E190" s="19" t="s">
        <v>28</v>
      </c>
      <c r="F190" s="19" t="s">
        <v>21</v>
      </c>
      <c r="G190" s="19" t="s">
        <v>21</v>
      </c>
      <c r="H190" s="18" t="s">
        <v>21</v>
      </c>
      <c r="I190" s="20">
        <v>-9.4000000000000004E-3</v>
      </c>
      <c r="J190" s="19">
        <v>2.6429999999999998</v>
      </c>
      <c r="K190" s="19">
        <v>1.952</v>
      </c>
      <c r="L190" s="10">
        <f t="shared" si="49"/>
        <v>1.3539959016393441</v>
      </c>
      <c r="M190" s="14">
        <f t="shared" si="50"/>
        <v>1.0511577813677975</v>
      </c>
      <c r="N190" s="11">
        <f t="shared" si="51"/>
        <v>-1</v>
      </c>
      <c r="O190" s="8">
        <f t="shared" si="52"/>
        <v>-2</v>
      </c>
      <c r="P190" s="8">
        <f t="shared" si="53"/>
        <v>0</v>
      </c>
      <c r="Q190" s="8">
        <f t="shared" si="53"/>
        <v>0</v>
      </c>
      <c r="R190" s="8">
        <f t="shared" si="53"/>
        <v>0</v>
      </c>
      <c r="S190" s="11">
        <f t="shared" si="54"/>
        <v>-0.8</v>
      </c>
      <c r="T190" s="12">
        <f t="shared" si="55"/>
        <v>0.83333333333333337</v>
      </c>
      <c r="U190" s="13">
        <f t="shared" si="56"/>
        <v>-1.4195384790278949</v>
      </c>
      <c r="V190" s="21">
        <v>-6</v>
      </c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spans="1:36" thickBot="1" x14ac:dyDescent="0.25">
      <c r="A191" s="1">
        <v>189</v>
      </c>
      <c r="B191" s="33">
        <v>45572</v>
      </c>
      <c r="C191" s="18" t="s">
        <v>20</v>
      </c>
      <c r="D191" s="19">
        <v>34</v>
      </c>
      <c r="E191" s="19" t="s">
        <v>21</v>
      </c>
      <c r="F191" s="19" t="s">
        <v>28</v>
      </c>
      <c r="G191" s="19" t="s">
        <v>28</v>
      </c>
      <c r="H191" s="18" t="s">
        <v>28</v>
      </c>
      <c r="I191" s="20">
        <v>-1.8499999999999999E-2</v>
      </c>
      <c r="J191" s="19">
        <v>3.613</v>
      </c>
      <c r="K191" s="19">
        <v>1.998</v>
      </c>
      <c r="L191" s="10">
        <f t="shared" si="49"/>
        <v>1.8083083083083082</v>
      </c>
      <c r="M191" s="14">
        <f t="shared" si="50"/>
        <v>1.0235655737704918</v>
      </c>
      <c r="N191" s="11">
        <f t="shared" si="51"/>
        <v>-2</v>
      </c>
      <c r="O191" s="8">
        <f t="shared" si="52"/>
        <v>0</v>
      </c>
      <c r="P191" s="8">
        <f t="shared" si="53"/>
        <v>-2</v>
      </c>
      <c r="Q191" s="8">
        <f t="shared" si="53"/>
        <v>-2</v>
      </c>
      <c r="R191" s="8">
        <f t="shared" si="53"/>
        <v>-2</v>
      </c>
      <c r="S191" s="11">
        <f t="shared" si="54"/>
        <v>-1.4000000000000001</v>
      </c>
      <c r="T191" s="12">
        <f t="shared" si="55"/>
        <v>1.7</v>
      </c>
      <c r="U191" s="13">
        <f t="shared" si="56"/>
        <v>-8.3458182769980702</v>
      </c>
      <c r="V191" s="21">
        <v>-6</v>
      </c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 spans="1:36" thickBot="1" x14ac:dyDescent="0.25">
      <c r="A192" s="1">
        <v>190</v>
      </c>
      <c r="B192" s="33">
        <v>45573</v>
      </c>
      <c r="C192" s="18" t="s">
        <v>29</v>
      </c>
      <c r="D192" s="19">
        <v>10</v>
      </c>
      <c r="E192" s="19" t="s">
        <v>21</v>
      </c>
      <c r="F192" s="19" t="s">
        <v>21</v>
      </c>
      <c r="G192" s="19" t="s">
        <v>22</v>
      </c>
      <c r="H192" s="18" t="s">
        <v>21</v>
      </c>
      <c r="I192" s="20">
        <v>7.4999999999999997E-3</v>
      </c>
      <c r="J192" s="19">
        <v>1.891</v>
      </c>
      <c r="K192" s="19">
        <v>1.9950000000000001</v>
      </c>
      <c r="L192" s="10">
        <f t="shared" si="49"/>
        <v>0.94786967418546364</v>
      </c>
      <c r="M192" s="14">
        <f t="shared" si="50"/>
        <v>0.99849849849849859</v>
      </c>
      <c r="N192" s="11">
        <f t="shared" si="51"/>
        <v>0</v>
      </c>
      <c r="O192" s="8">
        <f t="shared" si="52"/>
        <v>0</v>
      </c>
      <c r="P192" s="8">
        <f t="shared" si="53"/>
        <v>0</v>
      </c>
      <c r="Q192" s="8">
        <f t="shared" si="53"/>
        <v>1</v>
      </c>
      <c r="R192" s="8">
        <f t="shared" si="53"/>
        <v>0</v>
      </c>
      <c r="S192" s="11">
        <f t="shared" si="54"/>
        <v>0.25</v>
      </c>
      <c r="T192" s="12">
        <f t="shared" si="55"/>
        <v>0.29411764705882354</v>
      </c>
      <c r="U192" s="13">
        <f t="shared" si="56"/>
        <v>6.5765874241972014E-2</v>
      </c>
      <c r="V192" s="21">
        <v>6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1:36" thickBot="1" x14ac:dyDescent="0.25">
      <c r="A193" s="1">
        <v>191</v>
      </c>
      <c r="B193" s="33">
        <v>45574</v>
      </c>
      <c r="C193" s="18" t="s">
        <v>27</v>
      </c>
      <c r="D193" s="19">
        <v>15</v>
      </c>
      <c r="E193" s="19" t="s">
        <v>21</v>
      </c>
      <c r="F193" s="19" t="s">
        <v>21</v>
      </c>
      <c r="G193" s="19" t="s">
        <v>26</v>
      </c>
      <c r="H193" s="18" t="s">
        <v>24</v>
      </c>
      <c r="I193" s="20">
        <v>-1E-4</v>
      </c>
      <c r="J193" s="19">
        <v>3</v>
      </c>
      <c r="K193" s="19">
        <v>2.0630000000000002</v>
      </c>
      <c r="L193" s="10">
        <f t="shared" si="49"/>
        <v>1.454192922927775</v>
      </c>
      <c r="M193" s="14">
        <f t="shared" si="50"/>
        <v>1.0340852130325815</v>
      </c>
      <c r="N193" s="11">
        <f t="shared" si="51"/>
        <v>1</v>
      </c>
      <c r="O193" s="8">
        <f t="shared" si="52"/>
        <v>0</v>
      </c>
      <c r="P193" s="8">
        <f t="shared" si="53"/>
        <v>0</v>
      </c>
      <c r="Q193" s="8">
        <f t="shared" si="53"/>
        <v>-1</v>
      </c>
      <c r="R193" s="8">
        <f t="shared" si="53"/>
        <v>2</v>
      </c>
      <c r="S193" s="11">
        <f t="shared" si="54"/>
        <v>5.0000000000000017E-2</v>
      </c>
      <c r="T193" s="12">
        <f t="shared" si="55"/>
        <v>1.5</v>
      </c>
      <c r="U193" s="13">
        <f t="shared" si="56"/>
        <v>0.17537767194854123</v>
      </c>
      <c r="V193" s="21">
        <v>0</v>
      </c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 spans="1:36" thickBot="1" x14ac:dyDescent="0.25">
      <c r="A194" s="1">
        <v>192</v>
      </c>
      <c r="B194" s="33">
        <v>45575</v>
      </c>
      <c r="C194" s="18" t="s">
        <v>27</v>
      </c>
      <c r="D194" s="19">
        <v>10</v>
      </c>
      <c r="E194" s="19" t="s">
        <v>21</v>
      </c>
      <c r="F194" s="19" t="s">
        <v>21</v>
      </c>
      <c r="G194" s="19" t="s">
        <v>24</v>
      </c>
      <c r="H194" s="18" t="s">
        <v>24</v>
      </c>
      <c r="I194" s="20">
        <v>7.7999999999999996E-3</v>
      </c>
      <c r="J194" s="19">
        <v>1.35</v>
      </c>
      <c r="K194" s="19">
        <v>2.04</v>
      </c>
      <c r="L194" s="10">
        <f t="shared" si="49"/>
        <v>0.66176470588235292</v>
      </c>
      <c r="M194" s="14">
        <f t="shared" si="50"/>
        <v>0.98885118759088697</v>
      </c>
      <c r="N194" s="11">
        <f t="shared" si="51"/>
        <v>1</v>
      </c>
      <c r="O194" s="8">
        <f t="shared" si="52"/>
        <v>0</v>
      </c>
      <c r="P194" s="8">
        <f t="shared" si="53"/>
        <v>0</v>
      </c>
      <c r="Q194" s="8">
        <f t="shared" si="53"/>
        <v>2</v>
      </c>
      <c r="R194" s="8">
        <f t="shared" si="53"/>
        <v>2</v>
      </c>
      <c r="S194" s="11">
        <f t="shared" si="54"/>
        <v>0.79999999999999993</v>
      </c>
      <c r="T194" s="12">
        <f t="shared" si="55"/>
        <v>0.66666666666666663</v>
      </c>
      <c r="U194" s="13">
        <f t="shared" si="56"/>
        <v>0.22583889928200643</v>
      </c>
      <c r="V194" s="21">
        <v>6</v>
      </c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spans="1:36" thickBot="1" x14ac:dyDescent="0.25">
      <c r="A195" s="1">
        <v>193</v>
      </c>
      <c r="B195" s="33">
        <v>45576</v>
      </c>
      <c r="C195" s="18" t="s">
        <v>20</v>
      </c>
      <c r="D195" s="19">
        <v>15</v>
      </c>
      <c r="E195" s="19" t="s">
        <v>28</v>
      </c>
      <c r="F195" s="19" t="s">
        <v>28</v>
      </c>
      <c r="G195" s="19" t="s">
        <v>28</v>
      </c>
      <c r="H195" s="18" t="s">
        <v>28</v>
      </c>
      <c r="I195" s="20">
        <v>-7.4000000000000003E-3</v>
      </c>
      <c r="J195" s="19">
        <v>1.5129999999999999</v>
      </c>
      <c r="K195" s="19">
        <v>1.996</v>
      </c>
      <c r="L195" s="10">
        <f t="shared" ref="L195:L258" si="57">J195/K195</f>
        <v>0.75801603206412815</v>
      </c>
      <c r="M195" s="14">
        <f t="shared" si="50"/>
        <v>0.97843137254901957</v>
      </c>
      <c r="N195" s="11">
        <f t="shared" si="51"/>
        <v>-2</v>
      </c>
      <c r="O195" s="8">
        <f t="shared" si="52"/>
        <v>-2</v>
      </c>
      <c r="P195" s="8">
        <f t="shared" si="53"/>
        <v>-2</v>
      </c>
      <c r="Q195" s="8">
        <f t="shared" si="53"/>
        <v>-2</v>
      </c>
      <c r="R195" s="8">
        <f t="shared" si="53"/>
        <v>-2</v>
      </c>
      <c r="S195" s="11">
        <f t="shared" si="54"/>
        <v>-2</v>
      </c>
      <c r="T195" s="12">
        <f t="shared" si="55"/>
        <v>1.5</v>
      </c>
      <c r="U195" s="13">
        <f t="shared" si="56"/>
        <v>-1.6146156045751627</v>
      </c>
      <c r="V195" s="21">
        <v>-3</v>
      </c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 spans="1:36" thickBot="1" x14ac:dyDescent="0.25">
      <c r="A196" s="1">
        <v>194</v>
      </c>
      <c r="B196" s="33">
        <v>45579</v>
      </c>
      <c r="C196" s="18" t="s">
        <v>23</v>
      </c>
      <c r="D196" s="19">
        <v>8</v>
      </c>
      <c r="E196" s="19" t="s">
        <v>21</v>
      </c>
      <c r="F196" s="19" t="s">
        <v>21</v>
      </c>
      <c r="G196" s="19" t="s">
        <v>24</v>
      </c>
      <c r="H196" s="18" t="s">
        <v>24</v>
      </c>
      <c r="I196" s="20">
        <v>1.24E-2</v>
      </c>
      <c r="J196" s="19">
        <v>1.611</v>
      </c>
      <c r="K196" s="19">
        <v>2</v>
      </c>
      <c r="L196" s="10">
        <f t="shared" si="57"/>
        <v>0.80549999999999999</v>
      </c>
      <c r="M196" s="14">
        <f t="shared" ref="M196:M259" si="58">K196/K195</f>
        <v>1.002004008016032</v>
      </c>
      <c r="N196" s="11">
        <f t="shared" si="51"/>
        <v>2</v>
      </c>
      <c r="O196" s="8">
        <f t="shared" si="52"/>
        <v>0</v>
      </c>
      <c r="P196" s="8">
        <f t="shared" si="53"/>
        <v>0</v>
      </c>
      <c r="Q196" s="8">
        <f t="shared" si="53"/>
        <v>2</v>
      </c>
      <c r="R196" s="8">
        <f t="shared" si="53"/>
        <v>2</v>
      </c>
      <c r="S196" s="11">
        <f t="shared" si="54"/>
        <v>1</v>
      </c>
      <c r="T196" s="12">
        <f t="shared" si="55"/>
        <v>0.53333333333333333</v>
      </c>
      <c r="U196" s="13">
        <f t="shared" si="56"/>
        <v>0.34812738959390732</v>
      </c>
      <c r="V196" s="32">
        <v>10</v>
      </c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spans="1:36" thickBot="1" x14ac:dyDescent="0.25">
      <c r="A197" s="1">
        <v>195</v>
      </c>
      <c r="B197" s="33">
        <v>45580</v>
      </c>
      <c r="C197" s="18" t="s">
        <v>27</v>
      </c>
      <c r="D197" s="19">
        <v>6</v>
      </c>
      <c r="E197" s="19" t="s">
        <v>21</v>
      </c>
      <c r="F197" s="19" t="s">
        <v>21</v>
      </c>
      <c r="G197" s="19" t="s">
        <v>26</v>
      </c>
      <c r="H197" s="18" t="s">
        <v>21</v>
      </c>
      <c r="I197" s="20">
        <v>8.9999999999999998E-4</v>
      </c>
      <c r="J197" s="19">
        <v>1.22</v>
      </c>
      <c r="K197" s="19">
        <v>2.004</v>
      </c>
      <c r="L197" s="10">
        <f t="shared" si="57"/>
        <v>0.60878243512974051</v>
      </c>
      <c r="M197" s="14">
        <f t="shared" si="58"/>
        <v>1.002</v>
      </c>
      <c r="N197" s="11">
        <f t="shared" si="51"/>
        <v>1</v>
      </c>
      <c r="O197" s="8">
        <f t="shared" si="52"/>
        <v>0</v>
      </c>
      <c r="P197" s="8">
        <f t="shared" si="53"/>
        <v>0</v>
      </c>
      <c r="Q197" s="8">
        <f t="shared" si="53"/>
        <v>-1</v>
      </c>
      <c r="R197" s="8">
        <f t="shared" si="53"/>
        <v>0</v>
      </c>
      <c r="S197" s="11">
        <f t="shared" si="54"/>
        <v>-4.9999999999999989E-2</v>
      </c>
      <c r="T197" s="12">
        <f t="shared" si="55"/>
        <v>0.75</v>
      </c>
      <c r="U197" s="13">
        <f t="shared" si="56"/>
        <v>-1.3981657499999996E-2</v>
      </c>
      <c r="V197" s="21">
        <v>2</v>
      </c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 spans="1:36" thickBot="1" x14ac:dyDescent="0.25">
      <c r="A198" s="1">
        <v>196</v>
      </c>
      <c r="B198" s="33">
        <v>45581</v>
      </c>
      <c r="C198" s="18" t="s">
        <v>29</v>
      </c>
      <c r="D198" s="19">
        <v>5</v>
      </c>
      <c r="E198" s="19" t="s">
        <v>21</v>
      </c>
      <c r="F198" s="19" t="s">
        <v>21</v>
      </c>
      <c r="G198" s="19" t="s">
        <v>22</v>
      </c>
      <c r="H198" s="18" t="s">
        <v>21</v>
      </c>
      <c r="I198" s="20">
        <v>-1.2999999999999999E-3</v>
      </c>
      <c r="J198" s="19">
        <v>1.093</v>
      </c>
      <c r="K198" s="19">
        <v>2.012</v>
      </c>
      <c r="L198" s="10">
        <f t="shared" si="57"/>
        <v>0.54324055666003979</v>
      </c>
      <c r="M198" s="14">
        <f t="shared" si="58"/>
        <v>1.003992015968064</v>
      </c>
      <c r="N198" s="11">
        <f t="shared" si="51"/>
        <v>0</v>
      </c>
      <c r="O198" s="8">
        <f t="shared" si="52"/>
        <v>0</v>
      </c>
      <c r="P198" s="8">
        <f t="shared" si="53"/>
        <v>0</v>
      </c>
      <c r="Q198" s="8">
        <f t="shared" si="53"/>
        <v>1</v>
      </c>
      <c r="R198" s="8">
        <f t="shared" si="53"/>
        <v>0</v>
      </c>
      <c r="S198" s="11">
        <f t="shared" si="54"/>
        <v>0.25</v>
      </c>
      <c r="T198" s="12">
        <f t="shared" si="55"/>
        <v>0.83333333333333337</v>
      </c>
      <c r="U198" s="13">
        <f t="shared" si="56"/>
        <v>6.2220559394986226E-2</v>
      </c>
      <c r="V198" s="21">
        <v>-4</v>
      </c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spans="1:36" thickBot="1" x14ac:dyDescent="0.25">
      <c r="A199" s="1">
        <v>197</v>
      </c>
      <c r="B199" s="33">
        <v>45582</v>
      </c>
      <c r="C199" s="18" t="s">
        <v>20</v>
      </c>
      <c r="D199" s="19">
        <v>10</v>
      </c>
      <c r="E199" s="19" t="s">
        <v>21</v>
      </c>
      <c r="F199" s="19" t="s">
        <v>21</v>
      </c>
      <c r="G199" s="19" t="s">
        <v>28</v>
      </c>
      <c r="H199" s="18" t="s">
        <v>28</v>
      </c>
      <c r="I199" s="20">
        <v>-9.7000000000000003E-3</v>
      </c>
      <c r="J199" s="19">
        <v>1.712</v>
      </c>
      <c r="K199" s="19">
        <v>1.964</v>
      </c>
      <c r="L199" s="10">
        <f t="shared" si="57"/>
        <v>0.8716904276985743</v>
      </c>
      <c r="M199" s="14">
        <f t="shared" si="58"/>
        <v>0.97614314115308154</v>
      </c>
      <c r="N199" s="11">
        <f t="shared" si="51"/>
        <v>-2</v>
      </c>
      <c r="O199" s="8">
        <f t="shared" si="52"/>
        <v>0</v>
      </c>
      <c r="P199" s="8">
        <f t="shared" si="53"/>
        <v>0</v>
      </c>
      <c r="Q199" s="8">
        <f t="shared" si="53"/>
        <v>-2</v>
      </c>
      <c r="R199" s="8">
        <f t="shared" si="53"/>
        <v>-2</v>
      </c>
      <c r="S199" s="11">
        <f t="shared" si="54"/>
        <v>-1</v>
      </c>
      <c r="T199" s="12">
        <f t="shared" si="55"/>
        <v>2</v>
      </c>
      <c r="U199" s="13">
        <f t="shared" si="56"/>
        <v>-1.4134975844257402</v>
      </c>
      <c r="V199" s="21">
        <v>0</v>
      </c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 spans="1:36" thickBot="1" x14ac:dyDescent="0.25">
      <c r="A200" s="1">
        <v>198</v>
      </c>
      <c r="B200" s="33">
        <v>45583</v>
      </c>
      <c r="C200" s="18" t="s">
        <v>23</v>
      </c>
      <c r="D200" s="19">
        <v>25</v>
      </c>
      <c r="E200" s="19" t="s">
        <v>24</v>
      </c>
      <c r="F200" s="19" t="s">
        <v>24</v>
      </c>
      <c r="G200" s="19" t="s">
        <v>22</v>
      </c>
      <c r="H200" s="18" t="s">
        <v>24</v>
      </c>
      <c r="I200" s="20">
        <v>1.66E-2</v>
      </c>
      <c r="J200" s="19">
        <v>2.4300000000000002</v>
      </c>
      <c r="K200" s="19">
        <v>1.99</v>
      </c>
      <c r="L200" s="10">
        <f t="shared" si="57"/>
        <v>1.221105527638191</v>
      </c>
      <c r="M200" s="14">
        <f t="shared" si="58"/>
        <v>1.0132382892057026</v>
      </c>
      <c r="N200" s="11">
        <f t="shared" si="51"/>
        <v>2</v>
      </c>
      <c r="O200" s="8">
        <f t="shared" si="52"/>
        <v>2</v>
      </c>
      <c r="P200" s="8">
        <f t="shared" si="53"/>
        <v>2</v>
      </c>
      <c r="Q200" s="8">
        <f t="shared" si="53"/>
        <v>1</v>
      </c>
      <c r="R200" s="8">
        <f t="shared" si="53"/>
        <v>2</v>
      </c>
      <c r="S200" s="11">
        <f t="shared" si="54"/>
        <v>1.75</v>
      </c>
      <c r="T200" s="12">
        <f t="shared" si="55"/>
        <v>2.5</v>
      </c>
      <c r="U200" s="13">
        <f t="shared" si="56"/>
        <v>6.786083991466314</v>
      </c>
      <c r="V200" s="32">
        <v>12</v>
      </c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 spans="1:36" thickBot="1" x14ac:dyDescent="0.25">
      <c r="A201" s="1">
        <v>199</v>
      </c>
      <c r="B201" s="33">
        <v>45586</v>
      </c>
      <c r="C201" s="18" t="s">
        <v>29</v>
      </c>
      <c r="D201" s="19">
        <v>12</v>
      </c>
      <c r="E201" s="19" t="s">
        <v>21</v>
      </c>
      <c r="F201" s="19" t="s">
        <v>21</v>
      </c>
      <c r="G201" s="19" t="s">
        <v>26</v>
      </c>
      <c r="H201" s="18" t="s">
        <v>21</v>
      </c>
      <c r="I201" s="20">
        <v>-4.7999999999999996E-3</v>
      </c>
      <c r="J201" s="19">
        <v>1.867</v>
      </c>
      <c r="K201" s="19">
        <v>1.9690000000000001</v>
      </c>
      <c r="L201" s="10">
        <f t="shared" si="57"/>
        <v>0.94819705434230572</v>
      </c>
      <c r="M201" s="14">
        <f t="shared" si="58"/>
        <v>0.98944723618090458</v>
      </c>
      <c r="N201" s="11">
        <f t="shared" si="51"/>
        <v>0</v>
      </c>
      <c r="O201" s="8">
        <f t="shared" si="52"/>
        <v>0</v>
      </c>
      <c r="P201" s="8">
        <f t="shared" si="53"/>
        <v>0</v>
      </c>
      <c r="Q201" s="8">
        <f t="shared" si="53"/>
        <v>-1</v>
      </c>
      <c r="R201" s="8">
        <f t="shared" si="53"/>
        <v>0</v>
      </c>
      <c r="S201" s="11">
        <f t="shared" si="54"/>
        <v>-0.25</v>
      </c>
      <c r="T201" s="12">
        <f t="shared" si="55"/>
        <v>0.48</v>
      </c>
      <c r="U201" s="13">
        <f t="shared" si="56"/>
        <v>-0.10450964411715405</v>
      </c>
      <c r="V201" s="21">
        <v>-10</v>
      </c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 spans="1:36" thickBot="1" x14ac:dyDescent="0.25">
      <c r="A202" s="1">
        <v>200</v>
      </c>
      <c r="B202" s="33">
        <v>45587</v>
      </c>
      <c r="C202" s="18" t="s">
        <v>25</v>
      </c>
      <c r="D202" s="19">
        <v>19</v>
      </c>
      <c r="E202" s="19" t="s">
        <v>21</v>
      </c>
      <c r="F202" s="19" t="s">
        <v>28</v>
      </c>
      <c r="G202" s="19" t="s">
        <v>28</v>
      </c>
      <c r="H202" s="18" t="s">
        <v>21</v>
      </c>
      <c r="I202" s="20">
        <v>-1.1900000000000001E-2</v>
      </c>
      <c r="J202" s="19">
        <v>1.9730000000000001</v>
      </c>
      <c r="K202" s="19">
        <v>1.988</v>
      </c>
      <c r="L202" s="10">
        <f t="shared" si="57"/>
        <v>0.99245472837022142</v>
      </c>
      <c r="M202" s="14">
        <f t="shared" si="58"/>
        <v>1.009649568308786</v>
      </c>
      <c r="N202" s="11">
        <f t="shared" si="51"/>
        <v>-1</v>
      </c>
      <c r="O202" s="8">
        <f t="shared" si="52"/>
        <v>0</v>
      </c>
      <c r="P202" s="8">
        <f t="shared" si="53"/>
        <v>-2</v>
      </c>
      <c r="Q202" s="8">
        <f t="shared" si="53"/>
        <v>-2</v>
      </c>
      <c r="R202" s="8">
        <f t="shared" si="53"/>
        <v>0</v>
      </c>
      <c r="S202" s="11">
        <f t="shared" si="54"/>
        <v>-1.1000000000000001</v>
      </c>
      <c r="T202" s="12">
        <f t="shared" si="55"/>
        <v>1.5833333333333333</v>
      </c>
      <c r="U202" s="13">
        <f t="shared" si="56"/>
        <v>-1.7656248890736763</v>
      </c>
      <c r="V202" s="21">
        <v>-8</v>
      </c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1:36" thickBot="1" x14ac:dyDescent="0.25">
      <c r="A203" s="1">
        <v>201</v>
      </c>
      <c r="B203" s="33">
        <v>45588</v>
      </c>
      <c r="C203" s="18" t="s">
        <v>20</v>
      </c>
      <c r="D203" s="19">
        <v>7</v>
      </c>
      <c r="E203" s="19" t="s">
        <v>21</v>
      </c>
      <c r="F203" s="19" t="s">
        <v>21</v>
      </c>
      <c r="G203" s="19" t="s">
        <v>22</v>
      </c>
      <c r="H203" s="18" t="s">
        <v>21</v>
      </c>
      <c r="I203" s="20">
        <v>-2E-3</v>
      </c>
      <c r="J203" s="19">
        <v>1.4890000000000001</v>
      </c>
      <c r="K203" s="19">
        <v>2.0009999999999999</v>
      </c>
      <c r="L203" s="10">
        <f t="shared" si="57"/>
        <v>0.74412793603198413</v>
      </c>
      <c r="M203" s="14">
        <f t="shared" si="58"/>
        <v>1.0065392354124747</v>
      </c>
      <c r="N203" s="11">
        <f t="shared" si="51"/>
        <v>-2</v>
      </c>
      <c r="O203" s="8">
        <f t="shared" si="52"/>
        <v>0</v>
      </c>
      <c r="P203" s="8">
        <f t="shared" si="53"/>
        <v>0</v>
      </c>
      <c r="Q203" s="8">
        <f t="shared" si="53"/>
        <v>1</v>
      </c>
      <c r="R203" s="8">
        <f t="shared" si="53"/>
        <v>0</v>
      </c>
      <c r="S203" s="11">
        <f t="shared" si="54"/>
        <v>-0.15000000000000002</v>
      </c>
      <c r="T203" s="12">
        <f t="shared" si="55"/>
        <v>0.36842105263157893</v>
      </c>
      <c r="U203" s="13">
        <f t="shared" si="56"/>
        <v>-3.1204917740648975E-2</v>
      </c>
      <c r="V203" s="21">
        <v>0</v>
      </c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 spans="1:36" thickBot="1" x14ac:dyDescent="0.25">
      <c r="A204" s="1">
        <v>202</v>
      </c>
      <c r="B204" s="33">
        <v>45589</v>
      </c>
      <c r="C204" s="18" t="s">
        <v>23</v>
      </c>
      <c r="D204" s="19">
        <v>11</v>
      </c>
      <c r="E204" s="19" t="s">
        <v>21</v>
      </c>
      <c r="F204" s="19" t="s">
        <v>21</v>
      </c>
      <c r="G204" s="19" t="s">
        <v>21</v>
      </c>
      <c r="H204" s="18" t="s">
        <v>24</v>
      </c>
      <c r="I204" s="20">
        <v>6.1000000000000004E-3</v>
      </c>
      <c r="J204" s="19">
        <v>1.86</v>
      </c>
      <c r="K204" s="19">
        <v>2.02</v>
      </c>
      <c r="L204" s="10">
        <f t="shared" si="57"/>
        <v>0.92079207920792083</v>
      </c>
      <c r="M204" s="14">
        <f t="shared" si="58"/>
        <v>1.0094952523738132</v>
      </c>
      <c r="N204" s="11">
        <f t="shared" si="51"/>
        <v>2</v>
      </c>
      <c r="O204" s="8">
        <f t="shared" si="52"/>
        <v>0</v>
      </c>
      <c r="P204" s="8">
        <f t="shared" si="53"/>
        <v>0</v>
      </c>
      <c r="Q204" s="8">
        <f t="shared" si="53"/>
        <v>0</v>
      </c>
      <c r="R204" s="8">
        <f t="shared" si="53"/>
        <v>2</v>
      </c>
      <c r="S204" s="11">
        <f t="shared" si="54"/>
        <v>0.5</v>
      </c>
      <c r="T204" s="12">
        <f t="shared" si="55"/>
        <v>1.5714285714285714</v>
      </c>
      <c r="U204" s="13">
        <f t="shared" si="56"/>
        <v>0.68533141736115777</v>
      </c>
      <c r="V204" s="21">
        <v>-2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 spans="1:36" thickBot="1" x14ac:dyDescent="0.25">
      <c r="A205" s="1">
        <v>203</v>
      </c>
      <c r="B205" s="33">
        <v>45590</v>
      </c>
      <c r="C205" s="18" t="s">
        <v>20</v>
      </c>
      <c r="D205" s="19">
        <v>17</v>
      </c>
      <c r="E205" s="19" t="s">
        <v>21</v>
      </c>
      <c r="F205" s="19" t="s">
        <v>21</v>
      </c>
      <c r="G205" s="19" t="s">
        <v>28</v>
      </c>
      <c r="H205" s="18" t="s">
        <v>28</v>
      </c>
      <c r="I205" s="20">
        <v>-1.3899999999999999E-2</v>
      </c>
      <c r="J205" s="19">
        <v>2.6669999999999998</v>
      </c>
      <c r="K205" s="19">
        <v>2.0910000000000002</v>
      </c>
      <c r="L205" s="10">
        <f t="shared" si="57"/>
        <v>1.2754662840746052</v>
      </c>
      <c r="M205" s="14">
        <f t="shared" si="58"/>
        <v>1.0351485148514852</v>
      </c>
      <c r="N205" s="11">
        <f t="shared" si="51"/>
        <v>-2</v>
      </c>
      <c r="O205" s="8">
        <f t="shared" si="52"/>
        <v>0</v>
      </c>
      <c r="P205" s="8">
        <f t="shared" si="53"/>
        <v>0</v>
      </c>
      <c r="Q205" s="8">
        <f t="shared" si="53"/>
        <v>-2</v>
      </c>
      <c r="R205" s="8">
        <f t="shared" si="53"/>
        <v>-2</v>
      </c>
      <c r="S205" s="11">
        <f t="shared" si="54"/>
        <v>-1</v>
      </c>
      <c r="T205" s="12">
        <f t="shared" si="55"/>
        <v>1.5454545454545454</v>
      </c>
      <c r="U205" s="13">
        <f t="shared" si="56"/>
        <v>-2.7887025389469136</v>
      </c>
      <c r="V205" s="21">
        <v>-6</v>
      </c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 spans="1:36" thickBot="1" x14ac:dyDescent="0.25">
      <c r="A206" s="1">
        <v>204</v>
      </c>
      <c r="B206" s="33">
        <v>45593</v>
      </c>
      <c r="C206" s="18" t="s">
        <v>23</v>
      </c>
      <c r="D206" s="19">
        <v>10</v>
      </c>
      <c r="E206" s="19" t="s">
        <v>21</v>
      </c>
      <c r="F206" s="19" t="s">
        <v>21</v>
      </c>
      <c r="G206" s="19" t="s">
        <v>24</v>
      </c>
      <c r="H206" s="18" t="s">
        <v>24</v>
      </c>
      <c r="I206" s="20">
        <v>1.04E-2</v>
      </c>
      <c r="J206" s="19">
        <v>2.173</v>
      </c>
      <c r="K206" s="19">
        <v>2.1219999999999999</v>
      </c>
      <c r="L206" s="10">
        <f t="shared" si="57"/>
        <v>1.024033930254477</v>
      </c>
      <c r="M206" s="14">
        <f t="shared" si="58"/>
        <v>1.0148254423720706</v>
      </c>
      <c r="N206" s="11">
        <f t="shared" si="51"/>
        <v>2</v>
      </c>
      <c r="O206" s="8">
        <f t="shared" si="52"/>
        <v>0</v>
      </c>
      <c r="P206" s="8">
        <f t="shared" si="53"/>
        <v>0</v>
      </c>
      <c r="Q206" s="8">
        <f t="shared" si="53"/>
        <v>2</v>
      </c>
      <c r="R206" s="8">
        <f t="shared" si="53"/>
        <v>2</v>
      </c>
      <c r="S206" s="11">
        <f t="shared" si="54"/>
        <v>1</v>
      </c>
      <c r="T206" s="12">
        <f t="shared" si="55"/>
        <v>0.58823529411764708</v>
      </c>
      <c r="U206" s="13">
        <f t="shared" si="56"/>
        <v>0.64469427315809436</v>
      </c>
      <c r="V206" s="21">
        <v>3</v>
      </c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 spans="1:36" thickBot="1" x14ac:dyDescent="0.25">
      <c r="A207" s="1">
        <v>205</v>
      </c>
      <c r="B207" s="33">
        <v>45594</v>
      </c>
      <c r="C207" s="18" t="s">
        <v>27</v>
      </c>
      <c r="D207" s="19">
        <v>21</v>
      </c>
      <c r="E207" s="19" t="s">
        <v>24</v>
      </c>
      <c r="F207" s="19" t="s">
        <v>24</v>
      </c>
      <c r="G207" s="19" t="s">
        <v>24</v>
      </c>
      <c r="H207" s="18" t="s">
        <v>24</v>
      </c>
      <c r="I207" s="20">
        <v>1.8599999999999998E-2</v>
      </c>
      <c r="J207" s="19">
        <v>2.4249999999999998</v>
      </c>
      <c r="K207" s="19">
        <v>2.1360000000000001</v>
      </c>
      <c r="L207" s="10">
        <f t="shared" si="57"/>
        <v>1.1352996254681647</v>
      </c>
      <c r="M207" s="14">
        <f t="shared" si="58"/>
        <v>1.0065975494816213</v>
      </c>
      <c r="N207" s="11">
        <f t="shared" si="51"/>
        <v>1</v>
      </c>
      <c r="O207" s="8">
        <f t="shared" si="52"/>
        <v>2</v>
      </c>
      <c r="P207" s="8">
        <f t="shared" si="53"/>
        <v>2</v>
      </c>
      <c r="Q207" s="8">
        <f t="shared" si="53"/>
        <v>2</v>
      </c>
      <c r="R207" s="8">
        <f t="shared" si="53"/>
        <v>2</v>
      </c>
      <c r="S207" s="11">
        <f t="shared" si="54"/>
        <v>1.8</v>
      </c>
      <c r="T207" s="12">
        <f t="shared" si="55"/>
        <v>2.1</v>
      </c>
      <c r="U207" s="13">
        <f t="shared" si="56"/>
        <v>4.9691304196397148</v>
      </c>
      <c r="V207" s="32">
        <v>18</v>
      </c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</row>
    <row r="208" spans="1:36" thickBot="1" x14ac:dyDescent="0.25">
      <c r="A208" s="1">
        <v>206</v>
      </c>
      <c r="B208" s="33">
        <v>45595</v>
      </c>
      <c r="C208" s="18" t="s">
        <v>27</v>
      </c>
      <c r="D208" s="19">
        <v>9</v>
      </c>
      <c r="E208" s="19" t="s">
        <v>21</v>
      </c>
      <c r="F208" s="19" t="s">
        <v>21</v>
      </c>
      <c r="G208" s="19" t="s">
        <v>21</v>
      </c>
      <c r="H208" s="18" t="s">
        <v>26</v>
      </c>
      <c r="I208" s="20">
        <v>-9.2999999999999992E-3</v>
      </c>
      <c r="J208" s="19">
        <v>1.8120000000000001</v>
      </c>
      <c r="K208" s="19">
        <v>2.14</v>
      </c>
      <c r="L208" s="10">
        <f t="shared" si="57"/>
        <v>0.84672897196261676</v>
      </c>
      <c r="M208" s="14">
        <f t="shared" si="58"/>
        <v>1.0018726591760299</v>
      </c>
      <c r="N208" s="11">
        <f t="shared" si="51"/>
        <v>1</v>
      </c>
      <c r="O208" s="8">
        <f t="shared" si="52"/>
        <v>0</v>
      </c>
      <c r="P208" s="8">
        <f t="shared" si="53"/>
        <v>0</v>
      </c>
      <c r="Q208" s="8">
        <f t="shared" si="53"/>
        <v>0</v>
      </c>
      <c r="R208" s="8">
        <f t="shared" si="53"/>
        <v>-1</v>
      </c>
      <c r="S208" s="11">
        <f t="shared" si="54"/>
        <v>0.15000000000000002</v>
      </c>
      <c r="T208" s="12">
        <f t="shared" si="55"/>
        <v>0.42857142857142855</v>
      </c>
      <c r="U208" s="13">
        <f t="shared" si="56"/>
        <v>4.6349055520779718E-2</v>
      </c>
      <c r="V208" s="21">
        <v>-6</v>
      </c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 spans="1:36" thickBot="1" x14ac:dyDescent="0.25">
      <c r="A209" s="1">
        <v>207</v>
      </c>
      <c r="B209" s="33">
        <v>45600</v>
      </c>
      <c r="C209" s="18" t="s">
        <v>20</v>
      </c>
      <c r="D209" s="19">
        <v>11</v>
      </c>
      <c r="E209" s="19" t="s">
        <v>21</v>
      </c>
      <c r="F209" s="19" t="s">
        <v>21</v>
      </c>
      <c r="G209" s="19" t="s">
        <v>28</v>
      </c>
      <c r="H209" s="18" t="s">
        <v>28</v>
      </c>
      <c r="I209" s="20">
        <v>-7.3000000000000001E-3</v>
      </c>
      <c r="J209" s="19">
        <v>1.5780000000000001</v>
      </c>
      <c r="K209" s="19">
        <v>1.867</v>
      </c>
      <c r="L209" s="10">
        <f t="shared" si="57"/>
        <v>0.84520621317621858</v>
      </c>
      <c r="M209" s="14">
        <f t="shared" si="58"/>
        <v>0.87242990654205599</v>
      </c>
      <c r="N209" s="11">
        <f t="shared" si="51"/>
        <v>-2</v>
      </c>
      <c r="O209" s="8">
        <f t="shared" si="52"/>
        <v>0</v>
      </c>
      <c r="P209" s="8">
        <f t="shared" si="53"/>
        <v>0</v>
      </c>
      <c r="Q209" s="8">
        <f t="shared" si="53"/>
        <v>-2</v>
      </c>
      <c r="R209" s="8">
        <f t="shared" si="53"/>
        <v>-2</v>
      </c>
      <c r="S209" s="11">
        <f t="shared" si="54"/>
        <v>-1</v>
      </c>
      <c r="T209" s="12">
        <f t="shared" si="55"/>
        <v>1.2222222222222223</v>
      </c>
      <c r="U209" s="13">
        <f t="shared" si="56"/>
        <v>-0.57978526182346246</v>
      </c>
      <c r="V209" s="21">
        <v>5</v>
      </c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</row>
    <row r="210" spans="1:36" thickBot="1" x14ac:dyDescent="0.25">
      <c r="A210" s="1">
        <v>208</v>
      </c>
      <c r="B210" s="33">
        <v>45601</v>
      </c>
      <c r="C210" s="18" t="s">
        <v>27</v>
      </c>
      <c r="D210" s="19">
        <v>23</v>
      </c>
      <c r="E210" s="19" t="s">
        <v>24</v>
      </c>
      <c r="F210" s="19" t="s">
        <v>24</v>
      </c>
      <c r="G210" s="19" t="s">
        <v>21</v>
      </c>
      <c r="H210" s="18" t="s">
        <v>21</v>
      </c>
      <c r="I210" s="20">
        <v>1.5100000000000001E-2</v>
      </c>
      <c r="J210" s="19">
        <v>2.68</v>
      </c>
      <c r="K210" s="19">
        <v>1.905</v>
      </c>
      <c r="L210" s="10">
        <f t="shared" si="57"/>
        <v>1.4068241469816274</v>
      </c>
      <c r="M210" s="14">
        <f t="shared" si="58"/>
        <v>1.0203535083020889</v>
      </c>
      <c r="N210" s="11">
        <f t="shared" si="51"/>
        <v>1</v>
      </c>
      <c r="O210" s="8">
        <f t="shared" si="52"/>
        <v>2</v>
      </c>
      <c r="P210" s="8">
        <f t="shared" si="53"/>
        <v>2</v>
      </c>
      <c r="Q210" s="8">
        <f t="shared" si="53"/>
        <v>0</v>
      </c>
      <c r="R210" s="8">
        <f t="shared" si="53"/>
        <v>0</v>
      </c>
      <c r="S210" s="11">
        <f t="shared" si="54"/>
        <v>1.2</v>
      </c>
      <c r="T210" s="12">
        <f t="shared" si="55"/>
        <v>2.0909090909090908</v>
      </c>
      <c r="U210" s="13">
        <f t="shared" si="56"/>
        <v>5.2753103084067012</v>
      </c>
      <c r="V210" s="21">
        <v>8</v>
      </c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 spans="1:36" thickBot="1" x14ac:dyDescent="0.25">
      <c r="A211" s="1">
        <v>209</v>
      </c>
      <c r="B211" s="33">
        <v>45602</v>
      </c>
      <c r="C211" s="18" t="s">
        <v>23</v>
      </c>
      <c r="D211" s="19">
        <v>5</v>
      </c>
      <c r="E211" s="19" t="s">
        <v>21</v>
      </c>
      <c r="F211" s="19" t="s">
        <v>21</v>
      </c>
      <c r="G211" s="19" t="s">
        <v>21</v>
      </c>
      <c r="H211" s="18" t="s">
        <v>24</v>
      </c>
      <c r="I211" s="20">
        <v>5.0000000000000001E-3</v>
      </c>
      <c r="J211" s="19">
        <v>1.5569999999999999</v>
      </c>
      <c r="K211" s="19">
        <v>1.883</v>
      </c>
      <c r="L211" s="10">
        <f t="shared" si="57"/>
        <v>0.82687201274561861</v>
      </c>
      <c r="M211" s="14">
        <f t="shared" si="58"/>
        <v>0.98845144356955383</v>
      </c>
      <c r="N211" s="11">
        <f t="shared" si="51"/>
        <v>2</v>
      </c>
      <c r="O211" s="8">
        <f t="shared" si="52"/>
        <v>0</v>
      </c>
      <c r="P211" s="8">
        <f t="shared" si="53"/>
        <v>0</v>
      </c>
      <c r="Q211" s="8">
        <f t="shared" si="53"/>
        <v>0</v>
      </c>
      <c r="R211" s="8">
        <f t="shared" si="53"/>
        <v>2</v>
      </c>
      <c r="S211" s="11">
        <f t="shared" si="54"/>
        <v>0.5</v>
      </c>
      <c r="T211" s="12">
        <f t="shared" si="55"/>
        <v>0.21739130434782608</v>
      </c>
      <c r="U211" s="13">
        <f t="shared" si="56"/>
        <v>7.1771955265923532E-2</v>
      </c>
      <c r="V211" s="21">
        <v>2</v>
      </c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</row>
    <row r="212" spans="1:36" thickBot="1" x14ac:dyDescent="0.25">
      <c r="A212" s="1">
        <v>210</v>
      </c>
      <c r="B212" s="33">
        <v>45603</v>
      </c>
      <c r="C212" s="18" t="s">
        <v>20</v>
      </c>
      <c r="D212" s="19">
        <v>9</v>
      </c>
      <c r="E212" s="19" t="s">
        <v>21</v>
      </c>
      <c r="F212" s="19" t="s">
        <v>21</v>
      </c>
      <c r="G212" s="19" t="s">
        <v>28</v>
      </c>
      <c r="H212" s="18" t="s">
        <v>28</v>
      </c>
      <c r="I212" s="20">
        <v>-8.5000000000000006E-3</v>
      </c>
      <c r="J212" s="19">
        <v>1.5269999999999999</v>
      </c>
      <c r="K212" s="19">
        <v>1.841</v>
      </c>
      <c r="L212" s="10">
        <f t="shared" si="57"/>
        <v>0.82944052145573055</v>
      </c>
      <c r="M212" s="14">
        <f t="shared" si="58"/>
        <v>0.97769516728624528</v>
      </c>
      <c r="N212" s="11">
        <f t="shared" si="51"/>
        <v>-2</v>
      </c>
      <c r="O212" s="8">
        <f t="shared" si="52"/>
        <v>0</v>
      </c>
      <c r="P212" s="8">
        <f t="shared" si="53"/>
        <v>0</v>
      </c>
      <c r="Q212" s="8">
        <f t="shared" si="53"/>
        <v>-2</v>
      </c>
      <c r="R212" s="8">
        <f t="shared" si="53"/>
        <v>-2</v>
      </c>
      <c r="S212" s="11">
        <f t="shared" si="54"/>
        <v>-1</v>
      </c>
      <c r="T212" s="12">
        <f t="shared" si="55"/>
        <v>1.8</v>
      </c>
      <c r="U212" s="13">
        <f t="shared" si="56"/>
        <v>-1.1573198649114855</v>
      </c>
      <c r="V212" s="21">
        <v>-1</v>
      </c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1:36" thickBot="1" x14ac:dyDescent="0.25">
      <c r="A213" s="1">
        <v>211</v>
      </c>
      <c r="B213" s="33">
        <v>45604</v>
      </c>
      <c r="C213" s="18" t="s">
        <v>20</v>
      </c>
      <c r="D213" s="19">
        <v>10</v>
      </c>
      <c r="E213" s="19" t="s">
        <v>21</v>
      </c>
      <c r="F213" s="19" t="s">
        <v>21</v>
      </c>
      <c r="G213" s="19" t="s">
        <v>28</v>
      </c>
      <c r="H213" s="18" t="s">
        <v>21</v>
      </c>
      <c r="I213" s="20">
        <v>-8.3999999999999995E-3</v>
      </c>
      <c r="J213" s="19">
        <v>1.641</v>
      </c>
      <c r="K213" s="19">
        <v>1.845</v>
      </c>
      <c r="L213" s="10">
        <f t="shared" si="57"/>
        <v>0.88943089430894307</v>
      </c>
      <c r="M213" s="14">
        <f t="shared" si="58"/>
        <v>1.002172732210755</v>
      </c>
      <c r="N213" s="11">
        <f t="shared" si="51"/>
        <v>-2</v>
      </c>
      <c r="O213" s="8">
        <f t="shared" si="52"/>
        <v>0</v>
      </c>
      <c r="P213" s="8">
        <f t="shared" si="53"/>
        <v>0</v>
      </c>
      <c r="Q213" s="8">
        <f t="shared" si="53"/>
        <v>-2</v>
      </c>
      <c r="R213" s="8">
        <f t="shared" si="53"/>
        <v>0</v>
      </c>
      <c r="S213" s="11">
        <f t="shared" si="54"/>
        <v>-0.9</v>
      </c>
      <c r="T213" s="12">
        <f t="shared" si="55"/>
        <v>1.1111111111111112</v>
      </c>
      <c r="U213" s="13">
        <f t="shared" si="56"/>
        <v>-0.79625499015526602</v>
      </c>
      <c r="V213" s="21">
        <v>-4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</row>
    <row r="214" spans="1:36" thickBot="1" x14ac:dyDescent="0.25">
      <c r="A214" s="1">
        <v>212</v>
      </c>
      <c r="B214" s="33">
        <v>45607</v>
      </c>
      <c r="C214" s="18" t="s">
        <v>27</v>
      </c>
      <c r="D214" s="19">
        <v>16</v>
      </c>
      <c r="E214" s="19" t="s">
        <v>24</v>
      </c>
      <c r="F214" s="19" t="s">
        <v>24</v>
      </c>
      <c r="G214" s="19" t="s">
        <v>22</v>
      </c>
      <c r="H214" s="18" t="s">
        <v>21</v>
      </c>
      <c r="I214" s="20">
        <v>5.7000000000000002E-3</v>
      </c>
      <c r="J214" s="19">
        <v>1.7310000000000001</v>
      </c>
      <c r="K214" s="19">
        <v>1.843</v>
      </c>
      <c r="L214" s="10">
        <f t="shared" si="57"/>
        <v>0.93922951709169833</v>
      </c>
      <c r="M214" s="14">
        <f t="shared" si="58"/>
        <v>0.99891598915989155</v>
      </c>
      <c r="N214" s="11">
        <f t="shared" si="51"/>
        <v>1</v>
      </c>
      <c r="O214" s="8">
        <f t="shared" si="52"/>
        <v>2</v>
      </c>
      <c r="P214" s="8">
        <f t="shared" si="53"/>
        <v>2</v>
      </c>
      <c r="Q214" s="8">
        <f t="shared" si="53"/>
        <v>1</v>
      </c>
      <c r="R214" s="8">
        <f t="shared" si="53"/>
        <v>0</v>
      </c>
      <c r="S214" s="11">
        <f t="shared" si="54"/>
        <v>1.45</v>
      </c>
      <c r="T214" s="12">
        <f t="shared" si="55"/>
        <v>1.6</v>
      </c>
      <c r="U214" s="13">
        <f t="shared" si="56"/>
        <v>2.039944464653662</v>
      </c>
      <c r="V214" s="21">
        <v>3</v>
      </c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 spans="1:36" thickBot="1" x14ac:dyDescent="0.25">
      <c r="A215" s="1">
        <v>213</v>
      </c>
      <c r="B215" s="33">
        <v>45608</v>
      </c>
      <c r="C215" s="18" t="s">
        <v>25</v>
      </c>
      <c r="D215" s="19">
        <v>32</v>
      </c>
      <c r="E215" s="19" t="s">
        <v>28</v>
      </c>
      <c r="F215" s="19" t="s">
        <v>28</v>
      </c>
      <c r="G215" s="19" t="s">
        <v>21</v>
      </c>
      <c r="H215" s="18" t="s">
        <v>21</v>
      </c>
      <c r="I215" s="20">
        <v>-1.3599999999999999E-2</v>
      </c>
      <c r="J215" s="19">
        <v>2.246</v>
      </c>
      <c r="K215" s="19">
        <v>1.89</v>
      </c>
      <c r="L215" s="10">
        <f t="shared" si="57"/>
        <v>1.1883597883597885</v>
      </c>
      <c r="M215" s="14">
        <f t="shared" si="58"/>
        <v>1.0255018990775908</v>
      </c>
      <c r="N215" s="11">
        <f t="shared" si="51"/>
        <v>-1</v>
      </c>
      <c r="O215" s="8">
        <f t="shared" si="52"/>
        <v>-2</v>
      </c>
      <c r="P215" s="8">
        <f t="shared" si="53"/>
        <v>-2</v>
      </c>
      <c r="Q215" s="8">
        <f t="shared" si="53"/>
        <v>0</v>
      </c>
      <c r="R215" s="8">
        <f t="shared" si="53"/>
        <v>0</v>
      </c>
      <c r="S215" s="11">
        <f t="shared" si="54"/>
        <v>-1.2</v>
      </c>
      <c r="T215" s="12">
        <f t="shared" si="55"/>
        <v>2</v>
      </c>
      <c r="U215" s="13">
        <f t="shared" si="56"/>
        <v>-3.6552454407345309</v>
      </c>
      <c r="V215" s="21">
        <v>-8</v>
      </c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 spans="1:36" thickBot="1" x14ac:dyDescent="0.25">
      <c r="A216" s="1">
        <v>214</v>
      </c>
      <c r="B216" s="33">
        <v>45609</v>
      </c>
      <c r="C216" s="18" t="s">
        <v>20</v>
      </c>
      <c r="D216" s="19">
        <v>29</v>
      </c>
      <c r="E216" s="19" t="s">
        <v>28</v>
      </c>
      <c r="F216" s="19" t="s">
        <v>28</v>
      </c>
      <c r="G216" s="19" t="s">
        <v>28</v>
      </c>
      <c r="H216" s="18" t="s">
        <v>28</v>
      </c>
      <c r="I216" s="20">
        <v>-1.9800000000000002E-2</v>
      </c>
      <c r="J216" s="19">
        <v>2.8420000000000001</v>
      </c>
      <c r="K216" s="19">
        <v>1.974</v>
      </c>
      <c r="L216" s="10">
        <f t="shared" si="57"/>
        <v>1.4397163120567376</v>
      </c>
      <c r="M216" s="14">
        <f t="shared" si="58"/>
        <v>1.0444444444444445</v>
      </c>
      <c r="N216" s="11">
        <f t="shared" si="51"/>
        <v>-2</v>
      </c>
      <c r="O216" s="8">
        <f t="shared" si="52"/>
        <v>-2</v>
      </c>
      <c r="P216" s="8">
        <f t="shared" si="53"/>
        <v>-2</v>
      </c>
      <c r="Q216" s="8">
        <f t="shared" si="53"/>
        <v>-2</v>
      </c>
      <c r="R216" s="8">
        <f t="shared" si="53"/>
        <v>-2</v>
      </c>
      <c r="S216" s="11">
        <f t="shared" si="54"/>
        <v>-2</v>
      </c>
      <c r="T216" s="12">
        <f t="shared" si="55"/>
        <v>0.90625</v>
      </c>
      <c r="U216" s="13">
        <f t="shared" si="56"/>
        <v>-4.2804349184575523</v>
      </c>
      <c r="V216" s="21">
        <v>-10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 spans="1:36" thickBot="1" x14ac:dyDescent="0.25">
      <c r="A217" s="1">
        <v>215</v>
      </c>
      <c r="B217" s="33">
        <v>45610</v>
      </c>
      <c r="C217" s="18" t="s">
        <v>20</v>
      </c>
      <c r="D217" s="19">
        <v>11</v>
      </c>
      <c r="E217" s="19" t="s">
        <v>21</v>
      </c>
      <c r="F217" s="19" t="s">
        <v>21</v>
      </c>
      <c r="G217" s="19" t="s">
        <v>21</v>
      </c>
      <c r="H217" s="18" t="s">
        <v>21</v>
      </c>
      <c r="I217" s="20">
        <v>-1.1999999999999999E-3</v>
      </c>
      <c r="J217" s="19">
        <v>1.7629999999999999</v>
      </c>
      <c r="K217" s="19">
        <v>1.9710000000000001</v>
      </c>
      <c r="L217" s="10">
        <f t="shared" si="57"/>
        <v>0.89446981227803135</v>
      </c>
      <c r="M217" s="14">
        <f t="shared" si="58"/>
        <v>0.99848024316109429</v>
      </c>
      <c r="N217" s="11">
        <f t="shared" si="51"/>
        <v>-2</v>
      </c>
      <c r="O217" s="8">
        <f t="shared" si="52"/>
        <v>0</v>
      </c>
      <c r="P217" s="8">
        <f t="shared" si="53"/>
        <v>0</v>
      </c>
      <c r="Q217" s="8">
        <f t="shared" si="53"/>
        <v>0</v>
      </c>
      <c r="R217" s="8">
        <f t="shared" si="53"/>
        <v>0</v>
      </c>
      <c r="S217" s="11">
        <f t="shared" si="54"/>
        <v>-0.4</v>
      </c>
      <c r="T217" s="12">
        <f t="shared" si="55"/>
        <v>0.37931034482758619</v>
      </c>
      <c r="U217" s="13">
        <f t="shared" si="56"/>
        <v>-0.12083826539891072</v>
      </c>
      <c r="V217" s="21">
        <v>-6</v>
      </c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 spans="1:36" thickBot="1" x14ac:dyDescent="0.25">
      <c r="A218" s="1">
        <v>216</v>
      </c>
      <c r="B218" s="33">
        <v>45614</v>
      </c>
      <c r="C218" s="18" t="s">
        <v>29</v>
      </c>
      <c r="D218" s="19">
        <v>8</v>
      </c>
      <c r="E218" s="19" t="s">
        <v>21</v>
      </c>
      <c r="F218" s="19" t="s">
        <v>21</v>
      </c>
      <c r="G218" s="19" t="s">
        <v>21</v>
      </c>
      <c r="H218" s="18" t="s">
        <v>21</v>
      </c>
      <c r="I218" s="20">
        <v>2.5999999999999999E-3</v>
      </c>
      <c r="J218" s="19">
        <v>1.137</v>
      </c>
      <c r="K218" s="19">
        <v>1.9</v>
      </c>
      <c r="L218" s="10">
        <f t="shared" si="57"/>
        <v>0.59842105263157896</v>
      </c>
      <c r="M218" s="14">
        <f t="shared" si="58"/>
        <v>0.96397767630644338</v>
      </c>
      <c r="N218" s="11">
        <f t="shared" si="51"/>
        <v>0</v>
      </c>
      <c r="O218" s="8">
        <f t="shared" si="52"/>
        <v>0</v>
      </c>
      <c r="P218" s="8">
        <f t="shared" si="53"/>
        <v>0</v>
      </c>
      <c r="Q218" s="8">
        <f t="shared" si="53"/>
        <v>0</v>
      </c>
      <c r="R218" s="8">
        <f t="shared" si="53"/>
        <v>0</v>
      </c>
      <c r="S218" s="11">
        <f t="shared" si="54"/>
        <v>0</v>
      </c>
      <c r="T218" s="12">
        <f t="shared" si="55"/>
        <v>0.72727272727272729</v>
      </c>
      <c r="U218" s="13">
        <f t="shared" si="56"/>
        <v>0</v>
      </c>
      <c r="V218" s="21">
        <v>3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1:36" thickBot="1" x14ac:dyDescent="0.25">
      <c r="A219" s="1">
        <v>217</v>
      </c>
      <c r="B219" s="33">
        <v>45615</v>
      </c>
      <c r="C219" s="18" t="s">
        <v>23</v>
      </c>
      <c r="D219" s="19">
        <v>10</v>
      </c>
      <c r="E219" s="19" t="s">
        <v>21</v>
      </c>
      <c r="F219" s="19" t="s">
        <v>21</v>
      </c>
      <c r="G219" s="19" t="s">
        <v>21</v>
      </c>
      <c r="H219" s="18" t="s">
        <v>24</v>
      </c>
      <c r="I219" s="20">
        <v>2.8999999999999998E-3</v>
      </c>
      <c r="J219" s="19">
        <v>2.0459999999999998</v>
      </c>
      <c r="K219" s="19">
        <v>1.9079999999999999</v>
      </c>
      <c r="L219" s="10">
        <f t="shared" si="57"/>
        <v>1.0723270440251571</v>
      </c>
      <c r="M219" s="14">
        <f t="shared" si="58"/>
        <v>1.0042105263157894</v>
      </c>
      <c r="N219" s="11">
        <f t="shared" si="51"/>
        <v>2</v>
      </c>
      <c r="O219" s="8">
        <f t="shared" si="52"/>
        <v>0</v>
      </c>
      <c r="P219" s="8">
        <f t="shared" si="53"/>
        <v>0</v>
      </c>
      <c r="Q219" s="8">
        <f t="shared" si="53"/>
        <v>0</v>
      </c>
      <c r="R219" s="8">
        <f t="shared" si="53"/>
        <v>2</v>
      </c>
      <c r="S219" s="11">
        <f t="shared" si="54"/>
        <v>0.5</v>
      </c>
      <c r="T219" s="12">
        <f t="shared" si="55"/>
        <v>1.25</v>
      </c>
      <c r="U219" s="13">
        <f t="shared" si="56"/>
        <v>0.72779462458084232</v>
      </c>
      <c r="V219" s="21">
        <v>-2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 spans="1:36" thickBot="1" x14ac:dyDescent="0.25">
      <c r="A220" s="1">
        <v>218</v>
      </c>
      <c r="B220" s="33">
        <v>45617</v>
      </c>
      <c r="C220" s="18" t="s">
        <v>20</v>
      </c>
      <c r="D220" s="19">
        <v>15</v>
      </c>
      <c r="E220" s="19" t="s">
        <v>21</v>
      </c>
      <c r="F220" s="19" t="s">
        <v>21</v>
      </c>
      <c r="G220" s="19" t="s">
        <v>22</v>
      </c>
      <c r="H220" s="18" t="s">
        <v>28</v>
      </c>
      <c r="I220" s="20">
        <v>-3.0000000000000001E-3</v>
      </c>
      <c r="J220" s="19">
        <v>2.19</v>
      </c>
      <c r="K220" s="19">
        <v>1.92</v>
      </c>
      <c r="L220" s="10">
        <f t="shared" si="57"/>
        <v>1.140625</v>
      </c>
      <c r="M220" s="14">
        <f t="shared" si="58"/>
        <v>1.0062893081761006</v>
      </c>
      <c r="N220" s="11">
        <f t="shared" si="51"/>
        <v>-2</v>
      </c>
      <c r="O220" s="8">
        <f t="shared" si="52"/>
        <v>0</v>
      </c>
      <c r="P220" s="8">
        <f t="shared" si="53"/>
        <v>0</v>
      </c>
      <c r="Q220" s="8">
        <f t="shared" si="53"/>
        <v>1</v>
      </c>
      <c r="R220" s="8">
        <f t="shared" si="53"/>
        <v>-2</v>
      </c>
      <c r="S220" s="11">
        <f t="shared" si="54"/>
        <v>-0.25</v>
      </c>
      <c r="T220" s="12">
        <f t="shared" si="55"/>
        <v>1.5</v>
      </c>
      <c r="U220" s="13">
        <f t="shared" si="56"/>
        <v>-0.49714790658657076</v>
      </c>
      <c r="V220" s="21">
        <v>2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 spans="1:36" ht="15" x14ac:dyDescent="0.2">
      <c r="A221" s="1">
        <v>219</v>
      </c>
      <c r="B221" s="34"/>
      <c r="C221" s="7"/>
      <c r="D221" s="8"/>
      <c r="E221" s="8"/>
      <c r="F221" s="8"/>
      <c r="G221" s="8"/>
      <c r="H221" s="8"/>
      <c r="I221" s="9"/>
      <c r="J221" s="8"/>
      <c r="K221" s="8"/>
      <c r="L221" s="10" t="e">
        <f t="shared" si="57"/>
        <v>#DIV/0!</v>
      </c>
      <c r="M221" s="14">
        <f t="shared" si="58"/>
        <v>0</v>
      </c>
      <c r="N221" s="11" t="str">
        <f t="shared" si="51"/>
        <v/>
      </c>
      <c r="O221" s="8" t="str">
        <f t="shared" si="52"/>
        <v/>
      </c>
      <c r="P221" s="8" t="str">
        <f t="shared" si="53"/>
        <v/>
      </c>
      <c r="Q221" s="8" t="str">
        <f t="shared" si="53"/>
        <v/>
      </c>
      <c r="R221" s="8" t="str">
        <f t="shared" si="53"/>
        <v/>
      </c>
      <c r="S221" s="11" t="e">
        <f t="shared" si="54"/>
        <v>#VALUE!</v>
      </c>
      <c r="T221" s="12">
        <f t="shared" si="55"/>
        <v>0</v>
      </c>
      <c r="U221" s="13" t="e">
        <f t="shared" si="56"/>
        <v>#VALUE!</v>
      </c>
      <c r="V221" s="25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 spans="1:36" ht="15" x14ac:dyDescent="0.2">
      <c r="A222" s="1">
        <v>220</v>
      </c>
      <c r="B222" s="34"/>
      <c r="C222" s="7"/>
      <c r="D222" s="8"/>
      <c r="E222" s="8"/>
      <c r="F222" s="8"/>
      <c r="G222" s="8"/>
      <c r="H222" s="8"/>
      <c r="I222" s="9"/>
      <c r="J222" s="8"/>
      <c r="K222" s="8"/>
      <c r="L222" s="10" t="e">
        <f t="shared" si="57"/>
        <v>#DIV/0!</v>
      </c>
      <c r="M222" s="14" t="e">
        <f t="shared" si="58"/>
        <v>#DIV/0!</v>
      </c>
      <c r="N222" s="11" t="str">
        <f t="shared" si="51"/>
        <v/>
      </c>
      <c r="O222" s="8" t="str">
        <f t="shared" si="52"/>
        <v/>
      </c>
      <c r="P222" s="8" t="str">
        <f t="shared" si="53"/>
        <v/>
      </c>
      <c r="Q222" s="8" t="str">
        <f t="shared" si="53"/>
        <v/>
      </c>
      <c r="R222" s="8" t="str">
        <f t="shared" si="53"/>
        <v/>
      </c>
      <c r="S222" s="11" t="e">
        <f t="shared" si="54"/>
        <v>#VALUE!</v>
      </c>
      <c r="T222" s="12" t="e">
        <f t="shared" si="55"/>
        <v>#DIV/0!</v>
      </c>
      <c r="U222" s="13" t="e">
        <f t="shared" si="56"/>
        <v>#VALUE!</v>
      </c>
      <c r="V222" s="25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 spans="1:36" ht="15" x14ac:dyDescent="0.2">
      <c r="A223" s="1">
        <v>221</v>
      </c>
      <c r="B223" s="34"/>
      <c r="C223" s="7"/>
      <c r="D223" s="8"/>
      <c r="E223" s="8"/>
      <c r="F223" s="8"/>
      <c r="G223" s="8"/>
      <c r="H223" s="8"/>
      <c r="I223" s="9"/>
      <c r="J223" s="8"/>
      <c r="K223" s="8"/>
      <c r="L223" s="10" t="e">
        <f t="shared" si="57"/>
        <v>#DIV/0!</v>
      </c>
      <c r="M223" s="14" t="e">
        <f t="shared" si="58"/>
        <v>#DIV/0!</v>
      </c>
      <c r="N223" s="11" t="str">
        <f t="shared" si="51"/>
        <v/>
      </c>
      <c r="O223" s="8" t="str">
        <f t="shared" si="52"/>
        <v/>
      </c>
      <c r="P223" s="8" t="str">
        <f t="shared" si="53"/>
        <v/>
      </c>
      <c r="Q223" s="8" t="str">
        <f t="shared" si="53"/>
        <v/>
      </c>
      <c r="R223" s="8" t="str">
        <f t="shared" si="53"/>
        <v/>
      </c>
      <c r="S223" s="11" t="e">
        <f t="shared" si="54"/>
        <v>#VALUE!</v>
      </c>
      <c r="T223" s="12" t="e">
        <f t="shared" si="55"/>
        <v>#DIV/0!</v>
      </c>
      <c r="U223" s="13" t="e">
        <f t="shared" si="56"/>
        <v>#VALUE!</v>
      </c>
      <c r="V223" s="25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</row>
    <row r="224" spans="1:36" ht="15" x14ac:dyDescent="0.2">
      <c r="A224" s="1">
        <v>222</v>
      </c>
      <c r="B224" s="34"/>
      <c r="C224" s="7"/>
      <c r="D224" s="8"/>
      <c r="E224" s="8"/>
      <c r="F224" s="8"/>
      <c r="G224" s="8"/>
      <c r="H224" s="8"/>
      <c r="I224" s="9"/>
      <c r="J224" s="8"/>
      <c r="K224" s="8"/>
      <c r="L224" s="10" t="e">
        <f t="shared" si="57"/>
        <v>#DIV/0!</v>
      </c>
      <c r="M224" s="14" t="e">
        <f t="shared" si="58"/>
        <v>#DIV/0!</v>
      </c>
      <c r="N224" s="11" t="str">
        <f t="shared" si="51"/>
        <v/>
      </c>
      <c r="O224" s="8" t="str">
        <f t="shared" si="52"/>
        <v/>
      </c>
      <c r="P224" s="8" t="str">
        <f t="shared" si="53"/>
        <v/>
      </c>
      <c r="Q224" s="8" t="str">
        <f t="shared" si="53"/>
        <v/>
      </c>
      <c r="R224" s="8" t="str">
        <f t="shared" si="53"/>
        <v/>
      </c>
      <c r="S224" s="11" t="e">
        <f t="shared" si="54"/>
        <v>#VALUE!</v>
      </c>
      <c r="T224" s="12" t="e">
        <f t="shared" si="55"/>
        <v>#DIV/0!</v>
      </c>
      <c r="U224" s="13" t="e">
        <f t="shared" si="56"/>
        <v>#VALUE!</v>
      </c>
      <c r="V224" s="25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 spans="1:36" ht="15" x14ac:dyDescent="0.2">
      <c r="A225" s="1">
        <v>223</v>
      </c>
      <c r="B225" s="34"/>
      <c r="C225" s="7"/>
      <c r="D225" s="8"/>
      <c r="E225" s="8"/>
      <c r="F225" s="8"/>
      <c r="G225" s="8"/>
      <c r="H225" s="8"/>
      <c r="I225" s="9"/>
      <c r="J225" s="8"/>
      <c r="K225" s="8"/>
      <c r="L225" s="10" t="e">
        <f t="shared" si="57"/>
        <v>#DIV/0!</v>
      </c>
      <c r="M225" s="14" t="e">
        <f t="shared" si="58"/>
        <v>#DIV/0!</v>
      </c>
      <c r="N225" s="11" t="str">
        <f t="shared" si="51"/>
        <v/>
      </c>
      <c r="O225" s="8" t="str">
        <f t="shared" si="52"/>
        <v/>
      </c>
      <c r="P225" s="8" t="str">
        <f t="shared" si="53"/>
        <v/>
      </c>
      <c r="Q225" s="8" t="str">
        <f t="shared" si="53"/>
        <v/>
      </c>
      <c r="R225" s="8" t="str">
        <f t="shared" si="53"/>
        <v/>
      </c>
      <c r="S225" s="11" t="e">
        <f t="shared" si="54"/>
        <v>#VALUE!</v>
      </c>
      <c r="T225" s="12" t="e">
        <f t="shared" si="55"/>
        <v>#DIV/0!</v>
      </c>
      <c r="U225" s="13" t="e">
        <f t="shared" si="56"/>
        <v>#VALUE!</v>
      </c>
      <c r="V225" s="25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</row>
    <row r="226" spans="1:36" ht="15" x14ac:dyDescent="0.2">
      <c r="A226" s="1">
        <v>224</v>
      </c>
      <c r="B226" s="34"/>
      <c r="C226" s="7"/>
      <c r="D226" s="8"/>
      <c r="E226" s="8"/>
      <c r="F226" s="8"/>
      <c r="G226" s="8"/>
      <c r="H226" s="8"/>
      <c r="I226" s="9"/>
      <c r="J226" s="8"/>
      <c r="K226" s="8"/>
      <c r="L226" s="10" t="e">
        <f t="shared" si="57"/>
        <v>#DIV/0!</v>
      </c>
      <c r="M226" s="14" t="e">
        <f t="shared" si="58"/>
        <v>#DIV/0!</v>
      </c>
      <c r="N226" s="11" t="str">
        <f t="shared" si="51"/>
        <v/>
      </c>
      <c r="O226" s="8" t="str">
        <f t="shared" si="52"/>
        <v/>
      </c>
      <c r="P226" s="8" t="str">
        <f t="shared" si="53"/>
        <v/>
      </c>
      <c r="Q226" s="8" t="str">
        <f t="shared" si="53"/>
        <v/>
      </c>
      <c r="R226" s="8" t="str">
        <f t="shared" si="53"/>
        <v/>
      </c>
      <c r="S226" s="11" t="e">
        <f t="shared" si="54"/>
        <v>#VALUE!</v>
      </c>
      <c r="T226" s="12" t="e">
        <f t="shared" si="55"/>
        <v>#DIV/0!</v>
      </c>
      <c r="U226" s="13" t="e">
        <f t="shared" si="56"/>
        <v>#VALUE!</v>
      </c>
      <c r="V226" s="25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 spans="1:36" ht="15" x14ac:dyDescent="0.2">
      <c r="A227" s="1">
        <v>225</v>
      </c>
      <c r="B227" s="34"/>
      <c r="C227" s="7"/>
      <c r="D227" s="8"/>
      <c r="E227" s="8"/>
      <c r="F227" s="8"/>
      <c r="G227" s="8"/>
      <c r="H227" s="8"/>
      <c r="I227" s="9"/>
      <c r="J227" s="8"/>
      <c r="K227" s="8"/>
      <c r="L227" s="10" t="e">
        <f t="shared" si="57"/>
        <v>#DIV/0!</v>
      </c>
      <c r="M227" s="14" t="e">
        <f t="shared" si="58"/>
        <v>#DIV/0!</v>
      </c>
      <c r="N227" s="11" t="str">
        <f t="shared" si="51"/>
        <v/>
      </c>
      <c r="O227" s="8" t="str">
        <f t="shared" si="52"/>
        <v/>
      </c>
      <c r="P227" s="8" t="str">
        <f t="shared" si="53"/>
        <v/>
      </c>
      <c r="Q227" s="8" t="str">
        <f t="shared" si="53"/>
        <v/>
      </c>
      <c r="R227" s="8" t="str">
        <f t="shared" si="53"/>
        <v/>
      </c>
      <c r="S227" s="11" t="e">
        <f t="shared" si="54"/>
        <v>#VALUE!</v>
      </c>
      <c r="T227" s="12" t="e">
        <f t="shared" si="55"/>
        <v>#DIV/0!</v>
      </c>
      <c r="U227" s="13" t="e">
        <f t="shared" si="56"/>
        <v>#VALUE!</v>
      </c>
      <c r="V227" s="25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</row>
    <row r="228" spans="1:36" ht="15" x14ac:dyDescent="0.2">
      <c r="A228" s="1">
        <v>226</v>
      </c>
      <c r="B228" s="34"/>
      <c r="C228" s="7"/>
      <c r="D228" s="8"/>
      <c r="E228" s="8"/>
      <c r="F228" s="8"/>
      <c r="G228" s="8"/>
      <c r="H228" s="8"/>
      <c r="I228" s="9"/>
      <c r="J228" s="8"/>
      <c r="K228" s="8"/>
      <c r="L228" s="10" t="e">
        <f t="shared" si="57"/>
        <v>#DIV/0!</v>
      </c>
      <c r="M228" s="14" t="e">
        <f t="shared" si="58"/>
        <v>#DIV/0!</v>
      </c>
      <c r="N228" s="11" t="str">
        <f t="shared" si="51"/>
        <v/>
      </c>
      <c r="O228" s="8" t="str">
        <f t="shared" si="52"/>
        <v/>
      </c>
      <c r="P228" s="8" t="str">
        <f t="shared" si="53"/>
        <v/>
      </c>
      <c r="Q228" s="8" t="str">
        <f t="shared" si="53"/>
        <v/>
      </c>
      <c r="R228" s="8" t="str">
        <f t="shared" si="53"/>
        <v/>
      </c>
      <c r="S228" s="11" t="e">
        <f t="shared" si="54"/>
        <v>#VALUE!</v>
      </c>
      <c r="T228" s="12" t="e">
        <f t="shared" si="55"/>
        <v>#DIV/0!</v>
      </c>
      <c r="U228" s="13" t="e">
        <f t="shared" si="56"/>
        <v>#VALUE!</v>
      </c>
      <c r="V228" s="25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 spans="1:36" ht="15" x14ac:dyDescent="0.2">
      <c r="A229" s="1">
        <v>227</v>
      </c>
      <c r="B229" s="34"/>
      <c r="C229" s="7"/>
      <c r="D229" s="8"/>
      <c r="E229" s="8"/>
      <c r="F229" s="8"/>
      <c r="G229" s="8"/>
      <c r="H229" s="8"/>
      <c r="I229" s="9"/>
      <c r="J229" s="8"/>
      <c r="K229" s="8"/>
      <c r="L229" s="10" t="e">
        <f t="shared" si="57"/>
        <v>#DIV/0!</v>
      </c>
      <c r="M229" s="14" t="e">
        <f t="shared" si="58"/>
        <v>#DIV/0!</v>
      </c>
      <c r="N229" s="11" t="str">
        <f t="shared" si="51"/>
        <v/>
      </c>
      <c r="O229" s="8" t="str">
        <f t="shared" si="52"/>
        <v/>
      </c>
      <c r="P229" s="8" t="str">
        <f t="shared" si="53"/>
        <v/>
      </c>
      <c r="Q229" s="8" t="str">
        <f t="shared" si="53"/>
        <v/>
      </c>
      <c r="R229" s="8" t="str">
        <f t="shared" si="53"/>
        <v/>
      </c>
      <c r="S229" s="11" t="e">
        <f t="shared" si="54"/>
        <v>#VALUE!</v>
      </c>
      <c r="T229" s="12" t="e">
        <f t="shared" si="55"/>
        <v>#DIV/0!</v>
      </c>
      <c r="U229" s="13" t="e">
        <f t="shared" si="56"/>
        <v>#VALUE!</v>
      </c>
      <c r="V229" s="25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</row>
    <row r="230" spans="1:36" ht="15" x14ac:dyDescent="0.2">
      <c r="A230" s="1">
        <v>228</v>
      </c>
      <c r="B230" s="34"/>
      <c r="C230" s="7"/>
      <c r="D230" s="8"/>
      <c r="E230" s="8"/>
      <c r="F230" s="8"/>
      <c r="G230" s="8"/>
      <c r="H230" s="8"/>
      <c r="I230" s="9"/>
      <c r="J230" s="8"/>
      <c r="K230" s="8"/>
      <c r="L230" s="10" t="e">
        <f t="shared" si="57"/>
        <v>#DIV/0!</v>
      </c>
      <c r="M230" s="14" t="e">
        <f t="shared" si="58"/>
        <v>#DIV/0!</v>
      </c>
      <c r="N230" s="11" t="str">
        <f t="shared" si="51"/>
        <v/>
      </c>
      <c r="O230" s="8" t="str">
        <f t="shared" si="52"/>
        <v/>
      </c>
      <c r="P230" s="8" t="str">
        <f t="shared" si="53"/>
        <v/>
      </c>
      <c r="Q230" s="8" t="str">
        <f t="shared" si="53"/>
        <v/>
      </c>
      <c r="R230" s="8" t="str">
        <f t="shared" si="53"/>
        <v/>
      </c>
      <c r="S230" s="11" t="e">
        <f t="shared" si="54"/>
        <v>#VALUE!</v>
      </c>
      <c r="T230" s="12" t="e">
        <f t="shared" si="55"/>
        <v>#DIV/0!</v>
      </c>
      <c r="U230" s="13" t="e">
        <f t="shared" si="56"/>
        <v>#VALUE!</v>
      </c>
      <c r="V230" s="25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 spans="1:36" ht="15" x14ac:dyDescent="0.2">
      <c r="A231" s="1">
        <v>229</v>
      </c>
      <c r="B231" s="34"/>
      <c r="C231" s="7"/>
      <c r="D231" s="8"/>
      <c r="E231" s="8"/>
      <c r="F231" s="8"/>
      <c r="G231" s="8"/>
      <c r="H231" s="8"/>
      <c r="I231" s="9"/>
      <c r="J231" s="8"/>
      <c r="K231" s="8"/>
      <c r="L231" s="10" t="e">
        <f t="shared" si="57"/>
        <v>#DIV/0!</v>
      </c>
      <c r="M231" s="14" t="e">
        <f t="shared" si="58"/>
        <v>#DIV/0!</v>
      </c>
      <c r="N231" s="11" t="str">
        <f t="shared" si="51"/>
        <v/>
      </c>
      <c r="O231" s="8" t="str">
        <f t="shared" si="52"/>
        <v/>
      </c>
      <c r="P231" s="8" t="str">
        <f t="shared" si="53"/>
        <v/>
      </c>
      <c r="Q231" s="8" t="str">
        <f t="shared" si="53"/>
        <v/>
      </c>
      <c r="R231" s="8" t="str">
        <f t="shared" si="53"/>
        <v/>
      </c>
      <c r="S231" s="11" t="e">
        <f t="shared" si="54"/>
        <v>#VALUE!</v>
      </c>
      <c r="T231" s="12" t="e">
        <f t="shared" si="55"/>
        <v>#DIV/0!</v>
      </c>
      <c r="U231" s="13" t="e">
        <f t="shared" si="56"/>
        <v>#VALUE!</v>
      </c>
      <c r="V231" s="25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</row>
    <row r="232" spans="1:36" ht="15" x14ac:dyDescent="0.2">
      <c r="A232" s="1">
        <v>230</v>
      </c>
      <c r="B232" s="34"/>
      <c r="C232" s="7"/>
      <c r="D232" s="8"/>
      <c r="E232" s="8"/>
      <c r="F232" s="8"/>
      <c r="G232" s="8"/>
      <c r="H232" s="8"/>
      <c r="I232" s="9"/>
      <c r="J232" s="8"/>
      <c r="K232" s="8"/>
      <c r="L232" s="10" t="e">
        <f t="shared" si="57"/>
        <v>#DIV/0!</v>
      </c>
      <c r="M232" s="14" t="e">
        <f t="shared" si="58"/>
        <v>#DIV/0!</v>
      </c>
      <c r="N232" s="11" t="str">
        <f t="shared" si="51"/>
        <v/>
      </c>
      <c r="O232" s="8" t="str">
        <f t="shared" si="52"/>
        <v/>
      </c>
      <c r="P232" s="8" t="str">
        <f t="shared" si="53"/>
        <v/>
      </c>
      <c r="Q232" s="8" t="str">
        <f t="shared" si="53"/>
        <v/>
      </c>
      <c r="R232" s="8" t="str">
        <f t="shared" si="53"/>
        <v/>
      </c>
      <c r="S232" s="11" t="e">
        <f t="shared" si="54"/>
        <v>#VALUE!</v>
      </c>
      <c r="T232" s="12" t="e">
        <f t="shared" si="55"/>
        <v>#DIV/0!</v>
      </c>
      <c r="U232" s="13" t="e">
        <f t="shared" si="56"/>
        <v>#VALUE!</v>
      </c>
      <c r="V232" s="25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 spans="1:36" ht="15" x14ac:dyDescent="0.2">
      <c r="A233" s="1">
        <v>231</v>
      </c>
      <c r="B233" s="34"/>
      <c r="C233" s="7"/>
      <c r="D233" s="8"/>
      <c r="E233" s="8"/>
      <c r="F233" s="8"/>
      <c r="G233" s="8"/>
      <c r="H233" s="8"/>
      <c r="I233" s="9"/>
      <c r="J233" s="8"/>
      <c r="K233" s="8"/>
      <c r="L233" s="10" t="e">
        <f t="shared" si="57"/>
        <v>#DIV/0!</v>
      </c>
      <c r="M233" s="14" t="e">
        <f t="shared" si="58"/>
        <v>#DIV/0!</v>
      </c>
      <c r="N233" s="11" t="str">
        <f t="shared" si="51"/>
        <v/>
      </c>
      <c r="O233" s="8" t="str">
        <f t="shared" si="52"/>
        <v/>
      </c>
      <c r="P233" s="8" t="str">
        <f t="shared" si="53"/>
        <v/>
      </c>
      <c r="Q233" s="8" t="str">
        <f t="shared" si="53"/>
        <v/>
      </c>
      <c r="R233" s="8" t="str">
        <f t="shared" si="53"/>
        <v/>
      </c>
      <c r="S233" s="11" t="e">
        <f t="shared" si="54"/>
        <v>#VALUE!</v>
      </c>
      <c r="T233" s="12" t="e">
        <f t="shared" si="55"/>
        <v>#DIV/0!</v>
      </c>
      <c r="U233" s="13" t="e">
        <f t="shared" si="56"/>
        <v>#VALUE!</v>
      </c>
      <c r="V233" s="25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</row>
    <row r="234" spans="1:36" ht="15" x14ac:dyDescent="0.2">
      <c r="A234" s="1">
        <v>232</v>
      </c>
      <c r="B234" s="34"/>
      <c r="C234" s="7"/>
      <c r="D234" s="8"/>
      <c r="E234" s="8"/>
      <c r="F234" s="8"/>
      <c r="G234" s="8"/>
      <c r="H234" s="8"/>
      <c r="I234" s="9"/>
      <c r="J234" s="8"/>
      <c r="K234" s="8"/>
      <c r="L234" s="10" t="e">
        <f t="shared" si="57"/>
        <v>#DIV/0!</v>
      </c>
      <c r="M234" s="14" t="e">
        <f t="shared" si="58"/>
        <v>#DIV/0!</v>
      </c>
      <c r="N234" s="11" t="str">
        <f t="shared" ref="N234:N297" si="59">IF(C234="L", -2, IF(C234="OL", -1, IF(C234="H", 2, IF(C234="OH", 1, IF(C234="O", 0, "")))))</f>
        <v/>
      </c>
      <c r="O234" s="8" t="str">
        <f t="shared" ref="O234:O297" si="60">IF(E234="IS", -2, IF(E234="--", 0, IF(E234="IB", 2, "")))</f>
        <v/>
      </c>
      <c r="P234" s="8" t="str">
        <f t="shared" si="53"/>
        <v/>
      </c>
      <c r="Q234" s="8" t="str">
        <f t="shared" si="53"/>
        <v/>
      </c>
      <c r="R234" s="8" t="str">
        <f t="shared" si="53"/>
        <v/>
      </c>
      <c r="S234" s="11" t="e">
        <f t="shared" si="54"/>
        <v>#VALUE!</v>
      </c>
      <c r="T234" s="12" t="e">
        <f t="shared" si="55"/>
        <v>#DIV/0!</v>
      </c>
      <c r="U234" s="13" t="e">
        <f t="shared" si="56"/>
        <v>#VALUE!</v>
      </c>
      <c r="V234" s="25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 spans="1:36" ht="15" x14ac:dyDescent="0.2">
      <c r="A235" s="1">
        <v>233</v>
      </c>
      <c r="B235" s="34"/>
      <c r="C235" s="7"/>
      <c r="D235" s="8"/>
      <c r="E235" s="8"/>
      <c r="F235" s="8"/>
      <c r="G235" s="8"/>
      <c r="H235" s="8"/>
      <c r="I235" s="9"/>
      <c r="J235" s="8"/>
      <c r="K235" s="8"/>
      <c r="L235" s="10" t="e">
        <f t="shared" si="57"/>
        <v>#DIV/0!</v>
      </c>
      <c r="M235" s="14" t="e">
        <f t="shared" si="58"/>
        <v>#DIV/0!</v>
      </c>
      <c r="N235" s="11" t="str">
        <f t="shared" si="59"/>
        <v/>
      </c>
      <c r="O235" s="8" t="str">
        <f t="shared" si="60"/>
        <v/>
      </c>
      <c r="P235" s="8" t="str">
        <f t="shared" ref="P235:R298" si="61">IF(F235="IS", -2, IF(F235="RS", -1, IF(F235="--", 0, IF(F235="IB", 2, IF(F235="RB", 1, "")))))</f>
        <v/>
      </c>
      <c r="Q235" s="8" t="str">
        <f t="shared" si="61"/>
        <v/>
      </c>
      <c r="R235" s="8" t="str">
        <f t="shared" si="61"/>
        <v/>
      </c>
      <c r="S235" s="11" t="e">
        <f t="shared" ref="S235:S298" si="62">O235*0.3 + P235*0.2 + Q235*0.25 + N235*0.2 + R235*0.05</f>
        <v>#VALUE!</v>
      </c>
      <c r="T235" s="12" t="e">
        <f t="shared" ref="T235:T298" si="63">D235/D234</f>
        <v>#DIV/0!</v>
      </c>
      <c r="U235" s="13" t="e">
        <f t="shared" ref="U235:U298" si="64">S235*L235*L235*T235*M235*M235*M235</f>
        <v>#VALUE!</v>
      </c>
      <c r="V235" s="25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 spans="1:36" ht="15" x14ac:dyDescent="0.2">
      <c r="A236" s="1">
        <v>234</v>
      </c>
      <c r="B236" s="34"/>
      <c r="C236" s="7"/>
      <c r="D236" s="8"/>
      <c r="E236" s="8"/>
      <c r="F236" s="8"/>
      <c r="G236" s="8"/>
      <c r="H236" s="8"/>
      <c r="I236" s="9"/>
      <c r="J236" s="8"/>
      <c r="K236" s="8"/>
      <c r="L236" s="10" t="e">
        <f t="shared" si="57"/>
        <v>#DIV/0!</v>
      </c>
      <c r="M236" s="14" t="e">
        <f t="shared" si="58"/>
        <v>#DIV/0!</v>
      </c>
      <c r="N236" s="11" t="str">
        <f t="shared" si="59"/>
        <v/>
      </c>
      <c r="O236" s="8" t="str">
        <f t="shared" si="60"/>
        <v/>
      </c>
      <c r="P236" s="8" t="str">
        <f t="shared" si="61"/>
        <v/>
      </c>
      <c r="Q236" s="8" t="str">
        <f t="shared" si="61"/>
        <v/>
      </c>
      <c r="R236" s="8" t="str">
        <f t="shared" si="61"/>
        <v/>
      </c>
      <c r="S236" s="11" t="e">
        <f t="shared" si="62"/>
        <v>#VALUE!</v>
      </c>
      <c r="T236" s="12" t="e">
        <f t="shared" si="63"/>
        <v>#DIV/0!</v>
      </c>
      <c r="U236" s="13" t="e">
        <f t="shared" si="64"/>
        <v>#VALUE!</v>
      </c>
      <c r="V236" s="25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 spans="1:36" ht="15" x14ac:dyDescent="0.2">
      <c r="A237" s="1">
        <v>235</v>
      </c>
      <c r="B237" s="34"/>
      <c r="C237" s="7"/>
      <c r="D237" s="8"/>
      <c r="E237" s="8"/>
      <c r="F237" s="8"/>
      <c r="G237" s="8"/>
      <c r="H237" s="8"/>
      <c r="I237" s="9"/>
      <c r="J237" s="8"/>
      <c r="K237" s="8"/>
      <c r="L237" s="10" t="e">
        <f t="shared" si="57"/>
        <v>#DIV/0!</v>
      </c>
      <c r="M237" s="14" t="e">
        <f t="shared" si="58"/>
        <v>#DIV/0!</v>
      </c>
      <c r="N237" s="11" t="str">
        <f t="shared" si="59"/>
        <v/>
      </c>
      <c r="O237" s="8" t="str">
        <f t="shared" si="60"/>
        <v/>
      </c>
      <c r="P237" s="8" t="str">
        <f t="shared" si="61"/>
        <v/>
      </c>
      <c r="Q237" s="8" t="str">
        <f t="shared" si="61"/>
        <v/>
      </c>
      <c r="R237" s="8" t="str">
        <f t="shared" si="61"/>
        <v/>
      </c>
      <c r="S237" s="11" t="e">
        <f t="shared" si="62"/>
        <v>#VALUE!</v>
      </c>
      <c r="T237" s="12" t="e">
        <f t="shared" si="63"/>
        <v>#DIV/0!</v>
      </c>
      <c r="U237" s="13" t="e">
        <f t="shared" si="64"/>
        <v>#VALUE!</v>
      </c>
      <c r="V237" s="25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</row>
    <row r="238" spans="1:36" ht="15" x14ac:dyDescent="0.2">
      <c r="A238" s="1">
        <v>236</v>
      </c>
      <c r="B238" s="34"/>
      <c r="C238" s="7"/>
      <c r="D238" s="8"/>
      <c r="E238" s="8"/>
      <c r="F238" s="8"/>
      <c r="G238" s="8"/>
      <c r="H238" s="8"/>
      <c r="I238" s="9"/>
      <c r="J238" s="8"/>
      <c r="K238" s="8"/>
      <c r="L238" s="10" t="e">
        <f t="shared" si="57"/>
        <v>#DIV/0!</v>
      </c>
      <c r="M238" s="14" t="e">
        <f t="shared" si="58"/>
        <v>#DIV/0!</v>
      </c>
      <c r="N238" s="11" t="str">
        <f t="shared" si="59"/>
        <v/>
      </c>
      <c r="O238" s="8" t="str">
        <f t="shared" si="60"/>
        <v/>
      </c>
      <c r="P238" s="8" t="str">
        <f t="shared" si="61"/>
        <v/>
      </c>
      <c r="Q238" s="8" t="str">
        <f t="shared" si="61"/>
        <v/>
      </c>
      <c r="R238" s="8" t="str">
        <f t="shared" si="61"/>
        <v/>
      </c>
      <c r="S238" s="11" t="e">
        <f t="shared" si="62"/>
        <v>#VALUE!</v>
      </c>
      <c r="T238" s="12" t="e">
        <f t="shared" si="63"/>
        <v>#DIV/0!</v>
      </c>
      <c r="U238" s="13" t="e">
        <f t="shared" si="64"/>
        <v>#VALUE!</v>
      </c>
      <c r="V238" s="25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 spans="1:36" ht="15" x14ac:dyDescent="0.2">
      <c r="A239" s="1">
        <v>237</v>
      </c>
      <c r="B239" s="34"/>
      <c r="C239" s="7"/>
      <c r="D239" s="8"/>
      <c r="E239" s="8"/>
      <c r="F239" s="8"/>
      <c r="G239" s="8"/>
      <c r="H239" s="8"/>
      <c r="I239" s="9"/>
      <c r="J239" s="8"/>
      <c r="K239" s="8"/>
      <c r="L239" s="10" t="e">
        <f t="shared" si="57"/>
        <v>#DIV/0!</v>
      </c>
      <c r="M239" s="14" t="e">
        <f t="shared" si="58"/>
        <v>#DIV/0!</v>
      </c>
      <c r="N239" s="11" t="str">
        <f t="shared" si="59"/>
        <v/>
      </c>
      <c r="O239" s="8" t="str">
        <f t="shared" si="60"/>
        <v/>
      </c>
      <c r="P239" s="8" t="str">
        <f t="shared" si="61"/>
        <v/>
      </c>
      <c r="Q239" s="8" t="str">
        <f t="shared" si="61"/>
        <v/>
      </c>
      <c r="R239" s="8" t="str">
        <f t="shared" si="61"/>
        <v/>
      </c>
      <c r="S239" s="11" t="e">
        <f t="shared" si="62"/>
        <v>#VALUE!</v>
      </c>
      <c r="T239" s="12" t="e">
        <f t="shared" si="63"/>
        <v>#DIV/0!</v>
      </c>
      <c r="U239" s="13" t="e">
        <f t="shared" si="64"/>
        <v>#VALUE!</v>
      </c>
      <c r="V239" s="25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 spans="1:36" ht="15" x14ac:dyDescent="0.2">
      <c r="A240" s="1">
        <v>238</v>
      </c>
      <c r="B240" s="34"/>
      <c r="C240" s="7"/>
      <c r="D240" s="8"/>
      <c r="E240" s="8"/>
      <c r="F240" s="8"/>
      <c r="G240" s="8"/>
      <c r="H240" s="8"/>
      <c r="I240" s="9"/>
      <c r="J240" s="8"/>
      <c r="K240" s="8"/>
      <c r="L240" s="10" t="e">
        <f t="shared" si="57"/>
        <v>#DIV/0!</v>
      </c>
      <c r="M240" s="14" t="e">
        <f t="shared" si="58"/>
        <v>#DIV/0!</v>
      </c>
      <c r="N240" s="11" t="str">
        <f t="shared" si="59"/>
        <v/>
      </c>
      <c r="O240" s="8" t="str">
        <f t="shared" si="60"/>
        <v/>
      </c>
      <c r="P240" s="8" t="str">
        <f t="shared" si="61"/>
        <v/>
      </c>
      <c r="Q240" s="8" t="str">
        <f t="shared" si="61"/>
        <v/>
      </c>
      <c r="R240" s="8" t="str">
        <f t="shared" si="61"/>
        <v/>
      </c>
      <c r="S240" s="11" t="e">
        <f t="shared" si="62"/>
        <v>#VALUE!</v>
      </c>
      <c r="T240" s="12" t="e">
        <f t="shared" si="63"/>
        <v>#DIV/0!</v>
      </c>
      <c r="U240" s="13" t="e">
        <f t="shared" si="64"/>
        <v>#VALUE!</v>
      </c>
      <c r="V240" s="25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 spans="1:36" ht="15" x14ac:dyDescent="0.2">
      <c r="A241" s="1">
        <v>239</v>
      </c>
      <c r="B241" s="34"/>
      <c r="C241" s="7"/>
      <c r="D241" s="8"/>
      <c r="E241" s="8"/>
      <c r="F241" s="8"/>
      <c r="G241" s="8"/>
      <c r="H241" s="8"/>
      <c r="I241" s="9"/>
      <c r="J241" s="8"/>
      <c r="K241" s="8"/>
      <c r="L241" s="10" t="e">
        <f t="shared" si="57"/>
        <v>#DIV/0!</v>
      </c>
      <c r="M241" s="14" t="e">
        <f t="shared" si="58"/>
        <v>#DIV/0!</v>
      </c>
      <c r="N241" s="11" t="str">
        <f t="shared" si="59"/>
        <v/>
      </c>
      <c r="O241" s="8" t="str">
        <f t="shared" si="60"/>
        <v/>
      </c>
      <c r="P241" s="8" t="str">
        <f t="shared" si="61"/>
        <v/>
      </c>
      <c r="Q241" s="8" t="str">
        <f t="shared" si="61"/>
        <v/>
      </c>
      <c r="R241" s="8" t="str">
        <f t="shared" si="61"/>
        <v/>
      </c>
      <c r="S241" s="11" t="e">
        <f t="shared" si="62"/>
        <v>#VALUE!</v>
      </c>
      <c r="T241" s="12" t="e">
        <f t="shared" si="63"/>
        <v>#DIV/0!</v>
      </c>
      <c r="U241" s="13" t="e">
        <f t="shared" si="64"/>
        <v>#VALUE!</v>
      </c>
      <c r="V241" s="25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</row>
    <row r="242" spans="1:36" ht="15" x14ac:dyDescent="0.2">
      <c r="A242" s="1">
        <v>240</v>
      </c>
      <c r="B242" s="34"/>
      <c r="C242" s="7"/>
      <c r="D242" s="8"/>
      <c r="E242" s="8"/>
      <c r="F242" s="8"/>
      <c r="G242" s="8"/>
      <c r="H242" s="8"/>
      <c r="I242" s="9"/>
      <c r="J242" s="8"/>
      <c r="K242" s="8"/>
      <c r="L242" s="10" t="e">
        <f t="shared" si="57"/>
        <v>#DIV/0!</v>
      </c>
      <c r="M242" s="14" t="e">
        <f t="shared" si="58"/>
        <v>#DIV/0!</v>
      </c>
      <c r="N242" s="11" t="str">
        <f t="shared" si="59"/>
        <v/>
      </c>
      <c r="O242" s="8" t="str">
        <f t="shared" si="60"/>
        <v/>
      </c>
      <c r="P242" s="8" t="str">
        <f t="shared" si="61"/>
        <v/>
      </c>
      <c r="Q242" s="8" t="str">
        <f t="shared" si="61"/>
        <v/>
      </c>
      <c r="R242" s="8" t="str">
        <f t="shared" si="61"/>
        <v/>
      </c>
      <c r="S242" s="11" t="e">
        <f t="shared" si="62"/>
        <v>#VALUE!</v>
      </c>
      <c r="T242" s="12" t="e">
        <f t="shared" si="63"/>
        <v>#DIV/0!</v>
      </c>
      <c r="U242" s="13" t="e">
        <f t="shared" si="64"/>
        <v>#VALUE!</v>
      </c>
      <c r="V242" s="25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 spans="1:36" ht="15" x14ac:dyDescent="0.2">
      <c r="A243" s="1">
        <v>241</v>
      </c>
      <c r="B243" s="34"/>
      <c r="C243" s="7"/>
      <c r="D243" s="8"/>
      <c r="E243" s="8"/>
      <c r="F243" s="8"/>
      <c r="G243" s="8"/>
      <c r="H243" s="8"/>
      <c r="I243" s="9"/>
      <c r="J243" s="8"/>
      <c r="K243" s="8"/>
      <c r="L243" s="10" t="e">
        <f t="shared" si="57"/>
        <v>#DIV/0!</v>
      </c>
      <c r="M243" s="14" t="e">
        <f t="shared" si="58"/>
        <v>#DIV/0!</v>
      </c>
      <c r="N243" s="11" t="str">
        <f t="shared" si="59"/>
        <v/>
      </c>
      <c r="O243" s="8" t="str">
        <f t="shared" si="60"/>
        <v/>
      </c>
      <c r="P243" s="8" t="str">
        <f t="shared" si="61"/>
        <v/>
      </c>
      <c r="Q243" s="8" t="str">
        <f t="shared" si="61"/>
        <v/>
      </c>
      <c r="R243" s="8" t="str">
        <f t="shared" si="61"/>
        <v/>
      </c>
      <c r="S243" s="11" t="e">
        <f t="shared" si="62"/>
        <v>#VALUE!</v>
      </c>
      <c r="T243" s="12" t="e">
        <f t="shared" si="63"/>
        <v>#DIV/0!</v>
      </c>
      <c r="U243" s="13" t="e">
        <f t="shared" si="64"/>
        <v>#VALUE!</v>
      </c>
      <c r="V243" s="25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 spans="1:36" ht="15" x14ac:dyDescent="0.2">
      <c r="A244" s="1">
        <v>242</v>
      </c>
      <c r="B244" s="34"/>
      <c r="C244" s="7"/>
      <c r="D244" s="8"/>
      <c r="E244" s="8"/>
      <c r="F244" s="8"/>
      <c r="G244" s="8"/>
      <c r="H244" s="8"/>
      <c r="I244" s="9"/>
      <c r="J244" s="8"/>
      <c r="K244" s="8"/>
      <c r="L244" s="10" t="e">
        <f t="shared" si="57"/>
        <v>#DIV/0!</v>
      </c>
      <c r="M244" s="14" t="e">
        <f t="shared" si="58"/>
        <v>#DIV/0!</v>
      </c>
      <c r="N244" s="11" t="str">
        <f t="shared" si="59"/>
        <v/>
      </c>
      <c r="O244" s="8" t="str">
        <f t="shared" si="60"/>
        <v/>
      </c>
      <c r="P244" s="8" t="str">
        <f t="shared" si="61"/>
        <v/>
      </c>
      <c r="Q244" s="8" t="str">
        <f t="shared" si="61"/>
        <v/>
      </c>
      <c r="R244" s="8" t="str">
        <f t="shared" si="61"/>
        <v/>
      </c>
      <c r="S244" s="11" t="e">
        <f t="shared" si="62"/>
        <v>#VALUE!</v>
      </c>
      <c r="T244" s="12" t="e">
        <f t="shared" si="63"/>
        <v>#DIV/0!</v>
      </c>
      <c r="U244" s="13" t="e">
        <f t="shared" si="64"/>
        <v>#VALUE!</v>
      </c>
      <c r="V244" s="25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 spans="1:36" ht="15" x14ac:dyDescent="0.2">
      <c r="A245" s="1">
        <v>243</v>
      </c>
      <c r="B245" s="34"/>
      <c r="C245" s="7"/>
      <c r="D245" s="8"/>
      <c r="E245" s="8"/>
      <c r="F245" s="8"/>
      <c r="G245" s="8"/>
      <c r="H245" s="8"/>
      <c r="I245" s="9"/>
      <c r="J245" s="8"/>
      <c r="K245" s="8"/>
      <c r="L245" s="10" t="e">
        <f t="shared" si="57"/>
        <v>#DIV/0!</v>
      </c>
      <c r="M245" s="14" t="e">
        <f t="shared" si="58"/>
        <v>#DIV/0!</v>
      </c>
      <c r="N245" s="11" t="str">
        <f t="shared" si="59"/>
        <v/>
      </c>
      <c r="O245" s="8" t="str">
        <f t="shared" si="60"/>
        <v/>
      </c>
      <c r="P245" s="8" t="str">
        <f t="shared" si="61"/>
        <v/>
      </c>
      <c r="Q245" s="8" t="str">
        <f t="shared" si="61"/>
        <v/>
      </c>
      <c r="R245" s="8" t="str">
        <f t="shared" si="61"/>
        <v/>
      </c>
      <c r="S245" s="11" t="e">
        <f t="shared" si="62"/>
        <v>#VALUE!</v>
      </c>
      <c r="T245" s="12" t="e">
        <f t="shared" si="63"/>
        <v>#DIV/0!</v>
      </c>
      <c r="U245" s="13" t="e">
        <f t="shared" si="64"/>
        <v>#VALUE!</v>
      </c>
      <c r="V245" s="25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 spans="1:36" ht="15" x14ac:dyDescent="0.2">
      <c r="A246" s="1">
        <v>244</v>
      </c>
      <c r="B246" s="34"/>
      <c r="C246" s="7"/>
      <c r="D246" s="8"/>
      <c r="E246" s="8"/>
      <c r="F246" s="8"/>
      <c r="G246" s="8"/>
      <c r="H246" s="8"/>
      <c r="I246" s="9"/>
      <c r="J246" s="8"/>
      <c r="K246" s="8"/>
      <c r="L246" s="10" t="e">
        <f t="shared" si="57"/>
        <v>#DIV/0!</v>
      </c>
      <c r="M246" s="14" t="e">
        <f t="shared" si="58"/>
        <v>#DIV/0!</v>
      </c>
      <c r="N246" s="11" t="str">
        <f t="shared" si="59"/>
        <v/>
      </c>
      <c r="O246" s="8" t="str">
        <f t="shared" si="60"/>
        <v/>
      </c>
      <c r="P246" s="8" t="str">
        <f t="shared" si="61"/>
        <v/>
      </c>
      <c r="Q246" s="8" t="str">
        <f t="shared" si="61"/>
        <v/>
      </c>
      <c r="R246" s="8" t="str">
        <f t="shared" si="61"/>
        <v/>
      </c>
      <c r="S246" s="11" t="e">
        <f t="shared" si="62"/>
        <v>#VALUE!</v>
      </c>
      <c r="T246" s="12" t="e">
        <f t="shared" si="63"/>
        <v>#DIV/0!</v>
      </c>
      <c r="U246" s="13" t="e">
        <f t="shared" si="64"/>
        <v>#VALUE!</v>
      </c>
      <c r="V246" s="25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 spans="1:36" ht="15" x14ac:dyDescent="0.2">
      <c r="A247" s="1">
        <v>245</v>
      </c>
      <c r="B247" s="34"/>
      <c r="C247" s="7"/>
      <c r="D247" s="8"/>
      <c r="E247" s="8"/>
      <c r="F247" s="8"/>
      <c r="G247" s="8"/>
      <c r="H247" s="8"/>
      <c r="I247" s="9"/>
      <c r="J247" s="8"/>
      <c r="K247" s="8"/>
      <c r="L247" s="10" t="e">
        <f t="shared" si="57"/>
        <v>#DIV/0!</v>
      </c>
      <c r="M247" s="14" t="e">
        <f t="shared" si="58"/>
        <v>#DIV/0!</v>
      </c>
      <c r="N247" s="11" t="str">
        <f t="shared" si="59"/>
        <v/>
      </c>
      <c r="O247" s="8" t="str">
        <f t="shared" si="60"/>
        <v/>
      </c>
      <c r="P247" s="8" t="str">
        <f t="shared" si="61"/>
        <v/>
      </c>
      <c r="Q247" s="8" t="str">
        <f t="shared" si="61"/>
        <v/>
      </c>
      <c r="R247" s="8" t="str">
        <f t="shared" si="61"/>
        <v/>
      </c>
      <c r="S247" s="11" t="e">
        <f t="shared" si="62"/>
        <v>#VALUE!</v>
      </c>
      <c r="T247" s="12" t="e">
        <f t="shared" si="63"/>
        <v>#DIV/0!</v>
      </c>
      <c r="U247" s="13" t="e">
        <f t="shared" si="64"/>
        <v>#VALUE!</v>
      </c>
      <c r="V247" s="25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 spans="1:36" ht="15" x14ac:dyDescent="0.2">
      <c r="A248" s="1">
        <v>246</v>
      </c>
      <c r="B248" s="34"/>
      <c r="C248" s="7"/>
      <c r="D248" s="8"/>
      <c r="E248" s="8"/>
      <c r="F248" s="8"/>
      <c r="G248" s="8"/>
      <c r="H248" s="8"/>
      <c r="I248" s="9"/>
      <c r="J248" s="8"/>
      <c r="K248" s="8"/>
      <c r="L248" s="10" t="e">
        <f t="shared" si="57"/>
        <v>#DIV/0!</v>
      </c>
      <c r="M248" s="14" t="e">
        <f t="shared" si="58"/>
        <v>#DIV/0!</v>
      </c>
      <c r="N248" s="11" t="str">
        <f t="shared" si="59"/>
        <v/>
      </c>
      <c r="O248" s="8" t="str">
        <f t="shared" si="60"/>
        <v/>
      </c>
      <c r="P248" s="8" t="str">
        <f t="shared" si="61"/>
        <v/>
      </c>
      <c r="Q248" s="8" t="str">
        <f t="shared" si="61"/>
        <v/>
      </c>
      <c r="R248" s="8" t="str">
        <f t="shared" si="61"/>
        <v/>
      </c>
      <c r="S248" s="11" t="e">
        <f t="shared" si="62"/>
        <v>#VALUE!</v>
      </c>
      <c r="T248" s="12" t="e">
        <f t="shared" si="63"/>
        <v>#DIV/0!</v>
      </c>
      <c r="U248" s="13" t="e">
        <f t="shared" si="64"/>
        <v>#VALUE!</v>
      </c>
      <c r="V248" s="25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 spans="1:36" ht="15" x14ac:dyDescent="0.2">
      <c r="A249" s="1">
        <v>247</v>
      </c>
      <c r="B249" s="34"/>
      <c r="C249" s="7"/>
      <c r="D249" s="8"/>
      <c r="E249" s="8"/>
      <c r="F249" s="8"/>
      <c r="G249" s="8"/>
      <c r="H249" s="8"/>
      <c r="I249" s="9"/>
      <c r="J249" s="8"/>
      <c r="K249" s="8"/>
      <c r="L249" s="10" t="e">
        <f t="shared" si="57"/>
        <v>#DIV/0!</v>
      </c>
      <c r="M249" s="14" t="e">
        <f t="shared" si="58"/>
        <v>#DIV/0!</v>
      </c>
      <c r="N249" s="11" t="str">
        <f t="shared" si="59"/>
        <v/>
      </c>
      <c r="O249" s="8" t="str">
        <f t="shared" si="60"/>
        <v/>
      </c>
      <c r="P249" s="8" t="str">
        <f t="shared" si="61"/>
        <v/>
      </c>
      <c r="Q249" s="8" t="str">
        <f t="shared" si="61"/>
        <v/>
      </c>
      <c r="R249" s="8" t="str">
        <f t="shared" si="61"/>
        <v/>
      </c>
      <c r="S249" s="11" t="e">
        <f t="shared" si="62"/>
        <v>#VALUE!</v>
      </c>
      <c r="T249" s="12" t="e">
        <f t="shared" si="63"/>
        <v>#DIV/0!</v>
      </c>
      <c r="U249" s="13" t="e">
        <f t="shared" si="64"/>
        <v>#VALUE!</v>
      </c>
      <c r="V249" s="25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 spans="1:36" ht="15" x14ac:dyDescent="0.2">
      <c r="A250" s="1">
        <v>248</v>
      </c>
      <c r="B250" s="34"/>
      <c r="C250" s="7"/>
      <c r="D250" s="8"/>
      <c r="E250" s="8"/>
      <c r="F250" s="8"/>
      <c r="G250" s="8"/>
      <c r="H250" s="8"/>
      <c r="I250" s="9"/>
      <c r="J250" s="8"/>
      <c r="K250" s="8"/>
      <c r="L250" s="10" t="e">
        <f t="shared" si="57"/>
        <v>#DIV/0!</v>
      </c>
      <c r="M250" s="14" t="e">
        <f t="shared" si="58"/>
        <v>#DIV/0!</v>
      </c>
      <c r="N250" s="11" t="str">
        <f t="shared" si="59"/>
        <v/>
      </c>
      <c r="O250" s="8" t="str">
        <f t="shared" si="60"/>
        <v/>
      </c>
      <c r="P250" s="8" t="str">
        <f t="shared" si="61"/>
        <v/>
      </c>
      <c r="Q250" s="8" t="str">
        <f t="shared" si="61"/>
        <v/>
      </c>
      <c r="R250" s="8" t="str">
        <f t="shared" si="61"/>
        <v/>
      </c>
      <c r="S250" s="11" t="e">
        <f t="shared" si="62"/>
        <v>#VALUE!</v>
      </c>
      <c r="T250" s="12" t="e">
        <f t="shared" si="63"/>
        <v>#DIV/0!</v>
      </c>
      <c r="U250" s="13" t="e">
        <f t="shared" si="64"/>
        <v>#VALUE!</v>
      </c>
      <c r="V250" s="25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 spans="1:36" ht="15" x14ac:dyDescent="0.2">
      <c r="A251" s="1">
        <v>249</v>
      </c>
      <c r="B251" s="34"/>
      <c r="C251" s="7"/>
      <c r="D251" s="8"/>
      <c r="E251" s="8"/>
      <c r="F251" s="8"/>
      <c r="G251" s="8"/>
      <c r="H251" s="8"/>
      <c r="I251" s="9"/>
      <c r="J251" s="8"/>
      <c r="K251" s="8"/>
      <c r="L251" s="10" t="e">
        <f t="shared" si="57"/>
        <v>#DIV/0!</v>
      </c>
      <c r="M251" s="14" t="e">
        <f t="shared" si="58"/>
        <v>#DIV/0!</v>
      </c>
      <c r="N251" s="11" t="str">
        <f t="shared" si="59"/>
        <v/>
      </c>
      <c r="O251" s="8" t="str">
        <f t="shared" si="60"/>
        <v/>
      </c>
      <c r="P251" s="8" t="str">
        <f t="shared" si="61"/>
        <v/>
      </c>
      <c r="Q251" s="8" t="str">
        <f t="shared" si="61"/>
        <v/>
      </c>
      <c r="R251" s="8" t="str">
        <f t="shared" si="61"/>
        <v/>
      </c>
      <c r="S251" s="11" t="e">
        <f t="shared" si="62"/>
        <v>#VALUE!</v>
      </c>
      <c r="T251" s="12" t="e">
        <f t="shared" si="63"/>
        <v>#DIV/0!</v>
      </c>
      <c r="U251" s="13" t="e">
        <f t="shared" si="64"/>
        <v>#VALUE!</v>
      </c>
      <c r="V251" s="25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ht="15" x14ac:dyDescent="0.2">
      <c r="A252" s="1">
        <v>250</v>
      </c>
      <c r="B252" s="34"/>
      <c r="C252" s="7"/>
      <c r="D252" s="8"/>
      <c r="E252" s="8"/>
      <c r="F252" s="8"/>
      <c r="G252" s="8"/>
      <c r="H252" s="8"/>
      <c r="I252" s="9"/>
      <c r="J252" s="8"/>
      <c r="K252" s="8"/>
      <c r="L252" s="10" t="e">
        <f t="shared" si="57"/>
        <v>#DIV/0!</v>
      </c>
      <c r="M252" s="14" t="e">
        <f t="shared" si="58"/>
        <v>#DIV/0!</v>
      </c>
      <c r="N252" s="11" t="str">
        <f t="shared" si="59"/>
        <v/>
      </c>
      <c r="O252" s="8" t="str">
        <f t="shared" si="60"/>
        <v/>
      </c>
      <c r="P252" s="8" t="str">
        <f t="shared" si="61"/>
        <v/>
      </c>
      <c r="Q252" s="8" t="str">
        <f t="shared" si="61"/>
        <v/>
      </c>
      <c r="R252" s="8" t="str">
        <f t="shared" si="61"/>
        <v/>
      </c>
      <c r="S252" s="11" t="e">
        <f t="shared" si="62"/>
        <v>#VALUE!</v>
      </c>
      <c r="T252" s="12" t="e">
        <f t="shared" si="63"/>
        <v>#DIV/0!</v>
      </c>
      <c r="U252" s="13" t="e">
        <f t="shared" si="64"/>
        <v>#VALUE!</v>
      </c>
      <c r="V252" s="25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ht="15" x14ac:dyDescent="0.2">
      <c r="A253" s="1">
        <v>251</v>
      </c>
      <c r="B253" s="34"/>
      <c r="C253" s="7"/>
      <c r="D253" s="8"/>
      <c r="E253" s="8"/>
      <c r="F253" s="8"/>
      <c r="G253" s="8"/>
      <c r="H253" s="8"/>
      <c r="I253" s="9"/>
      <c r="J253" s="8"/>
      <c r="K253" s="8"/>
      <c r="L253" s="10" t="e">
        <f t="shared" si="57"/>
        <v>#DIV/0!</v>
      </c>
      <c r="M253" s="14" t="e">
        <f t="shared" si="58"/>
        <v>#DIV/0!</v>
      </c>
      <c r="N253" s="11" t="str">
        <f t="shared" si="59"/>
        <v/>
      </c>
      <c r="O253" s="8" t="str">
        <f t="shared" si="60"/>
        <v/>
      </c>
      <c r="P253" s="8" t="str">
        <f t="shared" si="61"/>
        <v/>
      </c>
      <c r="Q253" s="8" t="str">
        <f t="shared" si="61"/>
        <v/>
      </c>
      <c r="R253" s="8" t="str">
        <f t="shared" si="61"/>
        <v/>
      </c>
      <c r="S253" s="11" t="e">
        <f t="shared" si="62"/>
        <v>#VALUE!</v>
      </c>
      <c r="T253" s="12" t="e">
        <f t="shared" si="63"/>
        <v>#DIV/0!</v>
      </c>
      <c r="U253" s="13" t="e">
        <f t="shared" si="64"/>
        <v>#VALUE!</v>
      </c>
      <c r="V253" s="25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 spans="1:36" ht="15" x14ac:dyDescent="0.2">
      <c r="A254" s="1">
        <v>252</v>
      </c>
      <c r="B254" s="34"/>
      <c r="C254" s="7"/>
      <c r="D254" s="8"/>
      <c r="E254" s="8"/>
      <c r="F254" s="8"/>
      <c r="G254" s="8"/>
      <c r="H254" s="8"/>
      <c r="I254" s="9"/>
      <c r="J254" s="8"/>
      <c r="K254" s="8"/>
      <c r="L254" s="10" t="e">
        <f t="shared" si="57"/>
        <v>#DIV/0!</v>
      </c>
      <c r="M254" s="14" t="e">
        <f t="shared" si="58"/>
        <v>#DIV/0!</v>
      </c>
      <c r="N254" s="11" t="str">
        <f t="shared" si="59"/>
        <v/>
      </c>
      <c r="O254" s="8" t="str">
        <f t="shared" si="60"/>
        <v/>
      </c>
      <c r="P254" s="8" t="str">
        <f t="shared" si="61"/>
        <v/>
      </c>
      <c r="Q254" s="8" t="str">
        <f t="shared" si="61"/>
        <v/>
      </c>
      <c r="R254" s="8" t="str">
        <f t="shared" si="61"/>
        <v/>
      </c>
      <c r="S254" s="11" t="e">
        <f t="shared" si="62"/>
        <v>#VALUE!</v>
      </c>
      <c r="T254" s="12" t="e">
        <f t="shared" si="63"/>
        <v>#DIV/0!</v>
      </c>
      <c r="U254" s="13" t="e">
        <f t="shared" si="64"/>
        <v>#VALUE!</v>
      </c>
      <c r="V254" s="25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ht="15" x14ac:dyDescent="0.2">
      <c r="A255" s="1">
        <v>253</v>
      </c>
      <c r="B255" s="34"/>
      <c r="C255" s="7"/>
      <c r="D255" s="8"/>
      <c r="E255" s="8"/>
      <c r="F255" s="8"/>
      <c r="G255" s="8"/>
      <c r="H255" s="8"/>
      <c r="I255" s="9"/>
      <c r="J255" s="8"/>
      <c r="K255" s="8"/>
      <c r="L255" s="10" t="e">
        <f t="shared" si="57"/>
        <v>#DIV/0!</v>
      </c>
      <c r="M255" s="14" t="e">
        <f t="shared" si="58"/>
        <v>#DIV/0!</v>
      </c>
      <c r="N255" s="11" t="str">
        <f t="shared" si="59"/>
        <v/>
      </c>
      <c r="O255" s="8" t="str">
        <f t="shared" si="60"/>
        <v/>
      </c>
      <c r="P255" s="8" t="str">
        <f t="shared" si="61"/>
        <v/>
      </c>
      <c r="Q255" s="8" t="str">
        <f t="shared" si="61"/>
        <v/>
      </c>
      <c r="R255" s="8" t="str">
        <f t="shared" si="61"/>
        <v/>
      </c>
      <c r="S255" s="11" t="e">
        <f t="shared" si="62"/>
        <v>#VALUE!</v>
      </c>
      <c r="T255" s="12" t="e">
        <f t="shared" si="63"/>
        <v>#DIV/0!</v>
      </c>
      <c r="U255" s="13" t="e">
        <f t="shared" si="64"/>
        <v>#VALUE!</v>
      </c>
      <c r="V255" s="25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 spans="1:36" ht="15" x14ac:dyDescent="0.2">
      <c r="A256" s="1">
        <v>254</v>
      </c>
      <c r="B256" s="34"/>
      <c r="C256" s="7"/>
      <c r="D256" s="8"/>
      <c r="E256" s="8"/>
      <c r="F256" s="8"/>
      <c r="G256" s="8"/>
      <c r="H256" s="8"/>
      <c r="I256" s="9"/>
      <c r="J256" s="8"/>
      <c r="K256" s="8"/>
      <c r="L256" s="10" t="e">
        <f t="shared" si="57"/>
        <v>#DIV/0!</v>
      </c>
      <c r="M256" s="14" t="e">
        <f t="shared" si="58"/>
        <v>#DIV/0!</v>
      </c>
      <c r="N256" s="11" t="str">
        <f t="shared" si="59"/>
        <v/>
      </c>
      <c r="O256" s="8" t="str">
        <f t="shared" si="60"/>
        <v/>
      </c>
      <c r="P256" s="8" t="str">
        <f t="shared" si="61"/>
        <v/>
      </c>
      <c r="Q256" s="8" t="str">
        <f t="shared" si="61"/>
        <v/>
      </c>
      <c r="R256" s="8" t="str">
        <f t="shared" si="61"/>
        <v/>
      </c>
      <c r="S256" s="11" t="e">
        <f t="shared" si="62"/>
        <v>#VALUE!</v>
      </c>
      <c r="T256" s="12" t="e">
        <f t="shared" si="63"/>
        <v>#DIV/0!</v>
      </c>
      <c r="U256" s="13" t="e">
        <f t="shared" si="64"/>
        <v>#VALUE!</v>
      </c>
      <c r="V256" s="25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 spans="1:36" ht="15" x14ac:dyDescent="0.2">
      <c r="A257" s="1">
        <v>255</v>
      </c>
      <c r="B257" s="34"/>
      <c r="C257" s="7"/>
      <c r="D257" s="8"/>
      <c r="E257" s="8"/>
      <c r="F257" s="8"/>
      <c r="G257" s="8"/>
      <c r="H257" s="8"/>
      <c r="I257" s="9"/>
      <c r="J257" s="8"/>
      <c r="K257" s="8"/>
      <c r="L257" s="10" t="e">
        <f t="shared" si="57"/>
        <v>#DIV/0!</v>
      </c>
      <c r="M257" s="14" t="e">
        <f t="shared" si="58"/>
        <v>#DIV/0!</v>
      </c>
      <c r="N257" s="11" t="str">
        <f t="shared" si="59"/>
        <v/>
      </c>
      <c r="O257" s="8" t="str">
        <f t="shared" si="60"/>
        <v/>
      </c>
      <c r="P257" s="8" t="str">
        <f t="shared" si="61"/>
        <v/>
      </c>
      <c r="Q257" s="8" t="str">
        <f t="shared" si="61"/>
        <v/>
      </c>
      <c r="R257" s="8" t="str">
        <f t="shared" si="61"/>
        <v/>
      </c>
      <c r="S257" s="11" t="e">
        <f t="shared" si="62"/>
        <v>#VALUE!</v>
      </c>
      <c r="T257" s="12" t="e">
        <f t="shared" si="63"/>
        <v>#DIV/0!</v>
      </c>
      <c r="U257" s="13" t="e">
        <f t="shared" si="64"/>
        <v>#VALUE!</v>
      </c>
      <c r="V257" s="25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 spans="1:36" ht="15" x14ac:dyDescent="0.2">
      <c r="A258" s="1">
        <v>256</v>
      </c>
      <c r="B258" s="34"/>
      <c r="C258" s="7"/>
      <c r="D258" s="8"/>
      <c r="E258" s="8"/>
      <c r="F258" s="8"/>
      <c r="G258" s="8"/>
      <c r="H258" s="8"/>
      <c r="I258" s="9"/>
      <c r="J258" s="8"/>
      <c r="K258" s="8"/>
      <c r="L258" s="10" t="e">
        <f t="shared" si="57"/>
        <v>#DIV/0!</v>
      </c>
      <c r="M258" s="14" t="e">
        <f t="shared" si="58"/>
        <v>#DIV/0!</v>
      </c>
      <c r="N258" s="11" t="str">
        <f t="shared" si="59"/>
        <v/>
      </c>
      <c r="O258" s="8" t="str">
        <f t="shared" si="60"/>
        <v/>
      </c>
      <c r="P258" s="8" t="str">
        <f t="shared" si="61"/>
        <v/>
      </c>
      <c r="Q258" s="8" t="str">
        <f t="shared" si="61"/>
        <v/>
      </c>
      <c r="R258" s="8" t="str">
        <f t="shared" si="61"/>
        <v/>
      </c>
      <c r="S258" s="11" t="e">
        <f t="shared" si="62"/>
        <v>#VALUE!</v>
      </c>
      <c r="T258" s="12" t="e">
        <f t="shared" si="63"/>
        <v>#DIV/0!</v>
      </c>
      <c r="U258" s="13" t="e">
        <f t="shared" si="64"/>
        <v>#VALUE!</v>
      </c>
      <c r="V258" s="25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 spans="1:36" ht="15" x14ac:dyDescent="0.2">
      <c r="A259" s="1">
        <v>257</v>
      </c>
      <c r="B259" s="34"/>
      <c r="C259" s="7"/>
      <c r="D259" s="8"/>
      <c r="E259" s="8"/>
      <c r="F259" s="8"/>
      <c r="G259" s="8"/>
      <c r="H259" s="8"/>
      <c r="I259" s="9"/>
      <c r="J259" s="8"/>
      <c r="K259" s="8"/>
      <c r="L259" s="10" t="e">
        <f t="shared" ref="L259:L322" si="65">J259/K259</f>
        <v>#DIV/0!</v>
      </c>
      <c r="M259" s="14" t="e">
        <f t="shared" si="58"/>
        <v>#DIV/0!</v>
      </c>
      <c r="N259" s="11" t="str">
        <f t="shared" si="59"/>
        <v/>
      </c>
      <c r="O259" s="8" t="str">
        <f t="shared" si="60"/>
        <v/>
      </c>
      <c r="P259" s="8" t="str">
        <f t="shared" si="61"/>
        <v/>
      </c>
      <c r="Q259" s="8" t="str">
        <f t="shared" si="61"/>
        <v/>
      </c>
      <c r="R259" s="8" t="str">
        <f t="shared" si="61"/>
        <v/>
      </c>
      <c r="S259" s="11" t="e">
        <f t="shared" si="62"/>
        <v>#VALUE!</v>
      </c>
      <c r="T259" s="12" t="e">
        <f t="shared" si="63"/>
        <v>#DIV/0!</v>
      </c>
      <c r="U259" s="13" t="e">
        <f t="shared" si="64"/>
        <v>#VALUE!</v>
      </c>
      <c r="V259" s="25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 spans="1:36" ht="15" x14ac:dyDescent="0.2">
      <c r="A260" s="1">
        <v>258</v>
      </c>
      <c r="B260" s="34"/>
      <c r="C260" s="7"/>
      <c r="D260" s="8"/>
      <c r="E260" s="8"/>
      <c r="F260" s="8"/>
      <c r="G260" s="8"/>
      <c r="H260" s="8"/>
      <c r="I260" s="9"/>
      <c r="J260" s="8"/>
      <c r="K260" s="8"/>
      <c r="L260" s="10" t="e">
        <f t="shared" si="65"/>
        <v>#DIV/0!</v>
      </c>
      <c r="M260" s="14" t="e">
        <f t="shared" ref="M260:M322" si="66">K260/K259</f>
        <v>#DIV/0!</v>
      </c>
      <c r="N260" s="11" t="str">
        <f t="shared" si="59"/>
        <v/>
      </c>
      <c r="O260" s="8" t="str">
        <f t="shared" si="60"/>
        <v/>
      </c>
      <c r="P260" s="8" t="str">
        <f t="shared" si="61"/>
        <v/>
      </c>
      <c r="Q260" s="8" t="str">
        <f t="shared" si="61"/>
        <v/>
      </c>
      <c r="R260" s="8" t="str">
        <f t="shared" si="61"/>
        <v/>
      </c>
      <c r="S260" s="11" t="e">
        <f t="shared" si="62"/>
        <v>#VALUE!</v>
      </c>
      <c r="T260" s="12" t="e">
        <f t="shared" si="63"/>
        <v>#DIV/0!</v>
      </c>
      <c r="U260" s="13" t="e">
        <f t="shared" si="64"/>
        <v>#VALUE!</v>
      </c>
      <c r="V260" s="25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 spans="1:36" ht="15" x14ac:dyDescent="0.2">
      <c r="A261" s="1">
        <v>259</v>
      </c>
      <c r="B261" s="34"/>
      <c r="C261" s="7"/>
      <c r="D261" s="8"/>
      <c r="E261" s="8"/>
      <c r="F261" s="8"/>
      <c r="G261" s="8"/>
      <c r="H261" s="8"/>
      <c r="I261" s="9"/>
      <c r="J261" s="8"/>
      <c r="K261" s="8"/>
      <c r="L261" s="10" t="e">
        <f t="shared" si="65"/>
        <v>#DIV/0!</v>
      </c>
      <c r="M261" s="14" t="e">
        <f t="shared" si="66"/>
        <v>#DIV/0!</v>
      </c>
      <c r="N261" s="11" t="str">
        <f t="shared" si="59"/>
        <v/>
      </c>
      <c r="O261" s="8" t="str">
        <f t="shared" si="60"/>
        <v/>
      </c>
      <c r="P261" s="8" t="str">
        <f t="shared" si="61"/>
        <v/>
      </c>
      <c r="Q261" s="8" t="str">
        <f t="shared" si="61"/>
        <v/>
      </c>
      <c r="R261" s="8" t="str">
        <f t="shared" si="61"/>
        <v/>
      </c>
      <c r="S261" s="11" t="e">
        <f t="shared" si="62"/>
        <v>#VALUE!</v>
      </c>
      <c r="T261" s="12" t="e">
        <f t="shared" si="63"/>
        <v>#DIV/0!</v>
      </c>
      <c r="U261" s="13" t="e">
        <f t="shared" si="64"/>
        <v>#VALUE!</v>
      </c>
      <c r="V261" s="25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 spans="1:36" ht="15" x14ac:dyDescent="0.2">
      <c r="A262" s="1">
        <v>260</v>
      </c>
      <c r="B262" s="34"/>
      <c r="C262" s="7"/>
      <c r="D262" s="8"/>
      <c r="E262" s="8"/>
      <c r="F262" s="8"/>
      <c r="G262" s="8"/>
      <c r="H262" s="8"/>
      <c r="I262" s="9"/>
      <c r="J262" s="8"/>
      <c r="K262" s="8"/>
      <c r="L262" s="10" t="e">
        <f t="shared" si="65"/>
        <v>#DIV/0!</v>
      </c>
      <c r="M262" s="14" t="e">
        <f t="shared" si="66"/>
        <v>#DIV/0!</v>
      </c>
      <c r="N262" s="11" t="str">
        <f t="shared" si="59"/>
        <v/>
      </c>
      <c r="O262" s="8" t="str">
        <f t="shared" si="60"/>
        <v/>
      </c>
      <c r="P262" s="8" t="str">
        <f t="shared" si="61"/>
        <v/>
      </c>
      <c r="Q262" s="8" t="str">
        <f t="shared" si="61"/>
        <v/>
      </c>
      <c r="R262" s="8" t="str">
        <f t="shared" si="61"/>
        <v/>
      </c>
      <c r="S262" s="11" t="e">
        <f t="shared" si="62"/>
        <v>#VALUE!</v>
      </c>
      <c r="T262" s="12" t="e">
        <f t="shared" si="63"/>
        <v>#DIV/0!</v>
      </c>
      <c r="U262" s="13" t="e">
        <f t="shared" si="64"/>
        <v>#VALUE!</v>
      </c>
      <c r="V262" s="25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 spans="1:36" ht="15" x14ac:dyDescent="0.2">
      <c r="A263" s="1">
        <v>261</v>
      </c>
      <c r="B263" s="34"/>
      <c r="C263" s="7"/>
      <c r="D263" s="8"/>
      <c r="E263" s="8"/>
      <c r="F263" s="8"/>
      <c r="G263" s="8"/>
      <c r="H263" s="8"/>
      <c r="I263" s="9"/>
      <c r="J263" s="8"/>
      <c r="K263" s="8"/>
      <c r="L263" s="10" t="e">
        <f t="shared" si="65"/>
        <v>#DIV/0!</v>
      </c>
      <c r="M263" s="14" t="e">
        <f t="shared" si="66"/>
        <v>#DIV/0!</v>
      </c>
      <c r="N263" s="11" t="str">
        <f t="shared" si="59"/>
        <v/>
      </c>
      <c r="O263" s="8" t="str">
        <f t="shared" si="60"/>
        <v/>
      </c>
      <c r="P263" s="8" t="str">
        <f t="shared" si="61"/>
        <v/>
      </c>
      <c r="Q263" s="8" t="str">
        <f t="shared" si="61"/>
        <v/>
      </c>
      <c r="R263" s="8" t="str">
        <f t="shared" si="61"/>
        <v/>
      </c>
      <c r="S263" s="11" t="e">
        <f t="shared" si="62"/>
        <v>#VALUE!</v>
      </c>
      <c r="T263" s="12" t="e">
        <f t="shared" si="63"/>
        <v>#DIV/0!</v>
      </c>
      <c r="U263" s="13" t="e">
        <f t="shared" si="64"/>
        <v>#VALUE!</v>
      </c>
      <c r="V263" s="25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 spans="1:36" ht="15" x14ac:dyDescent="0.2">
      <c r="A264" s="1">
        <v>262</v>
      </c>
      <c r="B264" s="34"/>
      <c r="C264" s="7"/>
      <c r="D264" s="8"/>
      <c r="E264" s="8"/>
      <c r="F264" s="8"/>
      <c r="G264" s="8"/>
      <c r="H264" s="8"/>
      <c r="I264" s="9"/>
      <c r="J264" s="8"/>
      <c r="K264" s="8"/>
      <c r="L264" s="10" t="e">
        <f t="shared" si="65"/>
        <v>#DIV/0!</v>
      </c>
      <c r="M264" s="14" t="e">
        <f t="shared" si="66"/>
        <v>#DIV/0!</v>
      </c>
      <c r="N264" s="11" t="str">
        <f t="shared" si="59"/>
        <v/>
      </c>
      <c r="O264" s="8" t="str">
        <f t="shared" si="60"/>
        <v/>
      </c>
      <c r="P264" s="8" t="str">
        <f t="shared" si="61"/>
        <v/>
      </c>
      <c r="Q264" s="8" t="str">
        <f t="shared" si="61"/>
        <v/>
      </c>
      <c r="R264" s="8" t="str">
        <f t="shared" si="61"/>
        <v/>
      </c>
      <c r="S264" s="11" t="e">
        <f t="shared" si="62"/>
        <v>#VALUE!</v>
      </c>
      <c r="T264" s="12" t="e">
        <f t="shared" si="63"/>
        <v>#DIV/0!</v>
      </c>
      <c r="U264" s="13" t="e">
        <f t="shared" si="64"/>
        <v>#VALUE!</v>
      </c>
      <c r="V264" s="25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 spans="1:36" ht="15" x14ac:dyDescent="0.2">
      <c r="A265" s="1">
        <v>263</v>
      </c>
      <c r="B265" s="34"/>
      <c r="C265" s="7"/>
      <c r="D265" s="8"/>
      <c r="E265" s="8"/>
      <c r="F265" s="8"/>
      <c r="G265" s="8"/>
      <c r="H265" s="8"/>
      <c r="I265" s="9"/>
      <c r="J265" s="8"/>
      <c r="K265" s="8"/>
      <c r="L265" s="10" t="e">
        <f t="shared" si="65"/>
        <v>#DIV/0!</v>
      </c>
      <c r="M265" s="14" t="e">
        <f t="shared" si="66"/>
        <v>#DIV/0!</v>
      </c>
      <c r="N265" s="11" t="str">
        <f t="shared" si="59"/>
        <v/>
      </c>
      <c r="O265" s="8" t="str">
        <f t="shared" si="60"/>
        <v/>
      </c>
      <c r="P265" s="8" t="str">
        <f t="shared" si="61"/>
        <v/>
      </c>
      <c r="Q265" s="8" t="str">
        <f t="shared" si="61"/>
        <v/>
      </c>
      <c r="R265" s="8" t="str">
        <f t="shared" si="61"/>
        <v/>
      </c>
      <c r="S265" s="11" t="e">
        <f t="shared" si="62"/>
        <v>#VALUE!</v>
      </c>
      <c r="T265" s="12" t="e">
        <f t="shared" si="63"/>
        <v>#DIV/0!</v>
      </c>
      <c r="U265" s="13" t="e">
        <f t="shared" si="64"/>
        <v>#VALUE!</v>
      </c>
      <c r="V265" s="25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 spans="1:36" ht="15" x14ac:dyDescent="0.2">
      <c r="A266" s="1">
        <v>264</v>
      </c>
      <c r="B266" s="34"/>
      <c r="C266" s="7"/>
      <c r="D266" s="8"/>
      <c r="E266" s="8"/>
      <c r="F266" s="8"/>
      <c r="G266" s="8"/>
      <c r="H266" s="8"/>
      <c r="I266" s="9"/>
      <c r="J266" s="8"/>
      <c r="K266" s="8"/>
      <c r="L266" s="10" t="e">
        <f t="shared" si="65"/>
        <v>#DIV/0!</v>
      </c>
      <c r="M266" s="14" t="e">
        <f t="shared" si="66"/>
        <v>#DIV/0!</v>
      </c>
      <c r="N266" s="11" t="str">
        <f t="shared" si="59"/>
        <v/>
      </c>
      <c r="O266" s="8" t="str">
        <f t="shared" si="60"/>
        <v/>
      </c>
      <c r="P266" s="8" t="str">
        <f t="shared" si="61"/>
        <v/>
      </c>
      <c r="Q266" s="8" t="str">
        <f t="shared" si="61"/>
        <v/>
      </c>
      <c r="R266" s="8" t="str">
        <f t="shared" si="61"/>
        <v/>
      </c>
      <c r="S266" s="11" t="e">
        <f t="shared" si="62"/>
        <v>#VALUE!</v>
      </c>
      <c r="T266" s="12" t="e">
        <f t="shared" si="63"/>
        <v>#DIV/0!</v>
      </c>
      <c r="U266" s="13" t="e">
        <f t="shared" si="64"/>
        <v>#VALUE!</v>
      </c>
      <c r="V266" s="25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 spans="1:36" ht="15" x14ac:dyDescent="0.2">
      <c r="A267" s="1">
        <v>265</v>
      </c>
      <c r="B267" s="34"/>
      <c r="C267" s="7"/>
      <c r="D267" s="8"/>
      <c r="E267" s="8"/>
      <c r="F267" s="8"/>
      <c r="G267" s="8"/>
      <c r="H267" s="8"/>
      <c r="I267" s="9"/>
      <c r="J267" s="8"/>
      <c r="K267" s="8"/>
      <c r="L267" s="10" t="e">
        <f t="shared" si="65"/>
        <v>#DIV/0!</v>
      </c>
      <c r="M267" s="14" t="e">
        <f t="shared" si="66"/>
        <v>#DIV/0!</v>
      </c>
      <c r="N267" s="11" t="str">
        <f t="shared" si="59"/>
        <v/>
      </c>
      <c r="O267" s="8" t="str">
        <f t="shared" si="60"/>
        <v/>
      </c>
      <c r="P267" s="8" t="str">
        <f t="shared" si="61"/>
        <v/>
      </c>
      <c r="Q267" s="8" t="str">
        <f t="shared" si="61"/>
        <v/>
      </c>
      <c r="R267" s="8" t="str">
        <f t="shared" si="61"/>
        <v/>
      </c>
      <c r="S267" s="11" t="e">
        <f t="shared" si="62"/>
        <v>#VALUE!</v>
      </c>
      <c r="T267" s="12" t="e">
        <f t="shared" si="63"/>
        <v>#DIV/0!</v>
      </c>
      <c r="U267" s="13" t="e">
        <f t="shared" si="64"/>
        <v>#VALUE!</v>
      </c>
      <c r="V267" s="25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 spans="1:36" ht="15" x14ac:dyDescent="0.2">
      <c r="A268" s="1">
        <v>266</v>
      </c>
      <c r="B268" s="34"/>
      <c r="C268" s="7"/>
      <c r="D268" s="8"/>
      <c r="E268" s="8"/>
      <c r="F268" s="8"/>
      <c r="G268" s="8"/>
      <c r="H268" s="8"/>
      <c r="I268" s="9"/>
      <c r="J268" s="8"/>
      <c r="K268" s="8"/>
      <c r="L268" s="10" t="e">
        <f t="shared" si="65"/>
        <v>#DIV/0!</v>
      </c>
      <c r="M268" s="14" t="e">
        <f t="shared" si="66"/>
        <v>#DIV/0!</v>
      </c>
      <c r="N268" s="11" t="str">
        <f t="shared" si="59"/>
        <v/>
      </c>
      <c r="O268" s="8" t="str">
        <f t="shared" si="60"/>
        <v/>
      </c>
      <c r="P268" s="8" t="str">
        <f t="shared" si="61"/>
        <v/>
      </c>
      <c r="Q268" s="8" t="str">
        <f t="shared" si="61"/>
        <v/>
      </c>
      <c r="R268" s="8" t="str">
        <f t="shared" si="61"/>
        <v/>
      </c>
      <c r="S268" s="11" t="e">
        <f t="shared" si="62"/>
        <v>#VALUE!</v>
      </c>
      <c r="T268" s="12" t="e">
        <f t="shared" si="63"/>
        <v>#DIV/0!</v>
      </c>
      <c r="U268" s="13" t="e">
        <f t="shared" si="64"/>
        <v>#VALUE!</v>
      </c>
      <c r="V268" s="25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 spans="1:36" ht="15" x14ac:dyDescent="0.2">
      <c r="A269" s="1">
        <v>267</v>
      </c>
      <c r="B269" s="34"/>
      <c r="C269" s="7"/>
      <c r="D269" s="8"/>
      <c r="E269" s="8"/>
      <c r="F269" s="8"/>
      <c r="G269" s="8"/>
      <c r="H269" s="8"/>
      <c r="I269" s="9"/>
      <c r="J269" s="8"/>
      <c r="K269" s="8"/>
      <c r="L269" s="10" t="e">
        <f t="shared" si="65"/>
        <v>#DIV/0!</v>
      </c>
      <c r="M269" s="14" t="e">
        <f t="shared" si="66"/>
        <v>#DIV/0!</v>
      </c>
      <c r="N269" s="11" t="str">
        <f t="shared" si="59"/>
        <v/>
      </c>
      <c r="O269" s="8" t="str">
        <f t="shared" si="60"/>
        <v/>
      </c>
      <c r="P269" s="8" t="str">
        <f t="shared" si="61"/>
        <v/>
      </c>
      <c r="Q269" s="8" t="str">
        <f t="shared" si="61"/>
        <v/>
      </c>
      <c r="R269" s="8" t="str">
        <f t="shared" si="61"/>
        <v/>
      </c>
      <c r="S269" s="11" t="e">
        <f t="shared" si="62"/>
        <v>#VALUE!</v>
      </c>
      <c r="T269" s="12" t="e">
        <f t="shared" si="63"/>
        <v>#DIV/0!</v>
      </c>
      <c r="U269" s="13" t="e">
        <f t="shared" si="64"/>
        <v>#VALUE!</v>
      </c>
      <c r="V269" s="25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</row>
    <row r="270" spans="1:36" ht="15" x14ac:dyDescent="0.2">
      <c r="A270" s="1">
        <v>268</v>
      </c>
      <c r="B270" s="34"/>
      <c r="C270" s="7"/>
      <c r="D270" s="8"/>
      <c r="E270" s="8"/>
      <c r="F270" s="8"/>
      <c r="G270" s="8"/>
      <c r="H270" s="8"/>
      <c r="I270" s="9"/>
      <c r="J270" s="8"/>
      <c r="K270" s="8"/>
      <c r="L270" s="10" t="e">
        <f t="shared" si="65"/>
        <v>#DIV/0!</v>
      </c>
      <c r="M270" s="14" t="e">
        <f t="shared" si="66"/>
        <v>#DIV/0!</v>
      </c>
      <c r="N270" s="11" t="str">
        <f t="shared" si="59"/>
        <v/>
      </c>
      <c r="O270" s="8" t="str">
        <f t="shared" si="60"/>
        <v/>
      </c>
      <c r="P270" s="8" t="str">
        <f t="shared" si="61"/>
        <v/>
      </c>
      <c r="Q270" s="8" t="str">
        <f t="shared" si="61"/>
        <v/>
      </c>
      <c r="R270" s="8" t="str">
        <f t="shared" si="61"/>
        <v/>
      </c>
      <c r="S270" s="11" t="e">
        <f t="shared" si="62"/>
        <v>#VALUE!</v>
      </c>
      <c r="T270" s="12" t="e">
        <f t="shared" si="63"/>
        <v>#DIV/0!</v>
      </c>
      <c r="U270" s="13" t="e">
        <f t="shared" si="64"/>
        <v>#VALUE!</v>
      </c>
      <c r="V270" s="25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 spans="1:36" ht="15" x14ac:dyDescent="0.2">
      <c r="A271" s="1">
        <v>269</v>
      </c>
      <c r="B271" s="34"/>
      <c r="C271" s="7"/>
      <c r="D271" s="8"/>
      <c r="E271" s="8"/>
      <c r="F271" s="8"/>
      <c r="G271" s="8"/>
      <c r="H271" s="8"/>
      <c r="I271" s="9"/>
      <c r="J271" s="8"/>
      <c r="K271" s="8"/>
      <c r="L271" s="10" t="e">
        <f t="shared" si="65"/>
        <v>#DIV/0!</v>
      </c>
      <c r="M271" s="14" t="e">
        <f t="shared" si="66"/>
        <v>#DIV/0!</v>
      </c>
      <c r="N271" s="11" t="str">
        <f t="shared" si="59"/>
        <v/>
      </c>
      <c r="O271" s="8" t="str">
        <f t="shared" si="60"/>
        <v/>
      </c>
      <c r="P271" s="8" t="str">
        <f t="shared" si="61"/>
        <v/>
      </c>
      <c r="Q271" s="8" t="str">
        <f t="shared" si="61"/>
        <v/>
      </c>
      <c r="R271" s="8" t="str">
        <f t="shared" si="61"/>
        <v/>
      </c>
      <c r="S271" s="11" t="e">
        <f t="shared" si="62"/>
        <v>#VALUE!</v>
      </c>
      <c r="T271" s="12" t="e">
        <f t="shared" si="63"/>
        <v>#DIV/0!</v>
      </c>
      <c r="U271" s="13" t="e">
        <f t="shared" si="64"/>
        <v>#VALUE!</v>
      </c>
      <c r="V271" s="25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 spans="1:36" ht="15" x14ac:dyDescent="0.2">
      <c r="A272" s="1">
        <v>270</v>
      </c>
      <c r="B272" s="34"/>
      <c r="C272" s="7"/>
      <c r="D272" s="8"/>
      <c r="E272" s="8"/>
      <c r="F272" s="8"/>
      <c r="G272" s="8"/>
      <c r="H272" s="8"/>
      <c r="I272" s="9"/>
      <c r="J272" s="8"/>
      <c r="K272" s="8"/>
      <c r="L272" s="10" t="e">
        <f t="shared" si="65"/>
        <v>#DIV/0!</v>
      </c>
      <c r="M272" s="14" t="e">
        <f t="shared" si="66"/>
        <v>#DIV/0!</v>
      </c>
      <c r="N272" s="11" t="str">
        <f t="shared" si="59"/>
        <v/>
      </c>
      <c r="O272" s="8" t="str">
        <f t="shared" si="60"/>
        <v/>
      </c>
      <c r="P272" s="8" t="str">
        <f t="shared" si="61"/>
        <v/>
      </c>
      <c r="Q272" s="8" t="str">
        <f t="shared" si="61"/>
        <v/>
      </c>
      <c r="R272" s="8" t="str">
        <f t="shared" si="61"/>
        <v/>
      </c>
      <c r="S272" s="11" t="e">
        <f t="shared" si="62"/>
        <v>#VALUE!</v>
      </c>
      <c r="T272" s="12" t="e">
        <f t="shared" si="63"/>
        <v>#DIV/0!</v>
      </c>
      <c r="U272" s="13" t="e">
        <f t="shared" si="64"/>
        <v>#VALUE!</v>
      </c>
      <c r="V272" s="25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 spans="1:36" ht="15" x14ac:dyDescent="0.2">
      <c r="A273" s="1">
        <v>271</v>
      </c>
      <c r="B273" s="34"/>
      <c r="C273" s="7"/>
      <c r="D273" s="8"/>
      <c r="E273" s="8"/>
      <c r="F273" s="8"/>
      <c r="G273" s="8"/>
      <c r="H273" s="8"/>
      <c r="I273" s="9"/>
      <c r="J273" s="8"/>
      <c r="K273" s="8"/>
      <c r="L273" s="10" t="e">
        <f t="shared" si="65"/>
        <v>#DIV/0!</v>
      </c>
      <c r="M273" s="14" t="e">
        <f t="shared" si="66"/>
        <v>#DIV/0!</v>
      </c>
      <c r="N273" s="11" t="str">
        <f t="shared" si="59"/>
        <v/>
      </c>
      <c r="O273" s="8" t="str">
        <f t="shared" si="60"/>
        <v/>
      </c>
      <c r="P273" s="8" t="str">
        <f t="shared" si="61"/>
        <v/>
      </c>
      <c r="Q273" s="8" t="str">
        <f t="shared" si="61"/>
        <v/>
      </c>
      <c r="R273" s="8" t="str">
        <f t="shared" si="61"/>
        <v/>
      </c>
      <c r="S273" s="11" t="e">
        <f t="shared" si="62"/>
        <v>#VALUE!</v>
      </c>
      <c r="T273" s="12" t="e">
        <f t="shared" si="63"/>
        <v>#DIV/0!</v>
      </c>
      <c r="U273" s="13" t="e">
        <f t="shared" si="64"/>
        <v>#VALUE!</v>
      </c>
      <c r="V273" s="25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 spans="1:36" ht="15" x14ac:dyDescent="0.2">
      <c r="A274" s="1">
        <v>272</v>
      </c>
      <c r="B274" s="34"/>
      <c r="C274" s="7"/>
      <c r="D274" s="8"/>
      <c r="E274" s="8"/>
      <c r="F274" s="8"/>
      <c r="G274" s="8"/>
      <c r="H274" s="8"/>
      <c r="I274" s="9"/>
      <c r="J274" s="8"/>
      <c r="K274" s="8"/>
      <c r="L274" s="10" t="e">
        <f t="shared" si="65"/>
        <v>#DIV/0!</v>
      </c>
      <c r="M274" s="14" t="e">
        <f t="shared" si="66"/>
        <v>#DIV/0!</v>
      </c>
      <c r="N274" s="11" t="str">
        <f t="shared" si="59"/>
        <v/>
      </c>
      <c r="O274" s="8" t="str">
        <f t="shared" si="60"/>
        <v/>
      </c>
      <c r="P274" s="8" t="str">
        <f t="shared" si="61"/>
        <v/>
      </c>
      <c r="Q274" s="8" t="str">
        <f t="shared" si="61"/>
        <v/>
      </c>
      <c r="R274" s="8" t="str">
        <f t="shared" si="61"/>
        <v/>
      </c>
      <c r="S274" s="11" t="e">
        <f t="shared" si="62"/>
        <v>#VALUE!</v>
      </c>
      <c r="T274" s="12" t="e">
        <f t="shared" si="63"/>
        <v>#DIV/0!</v>
      </c>
      <c r="U274" s="13" t="e">
        <f t="shared" si="64"/>
        <v>#VALUE!</v>
      </c>
      <c r="V274" s="25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 spans="1:36" ht="15" x14ac:dyDescent="0.2">
      <c r="A275" s="1">
        <v>273</v>
      </c>
      <c r="B275" s="34"/>
      <c r="C275" s="7"/>
      <c r="D275" s="8"/>
      <c r="E275" s="8"/>
      <c r="F275" s="8"/>
      <c r="G275" s="8"/>
      <c r="H275" s="8"/>
      <c r="I275" s="9"/>
      <c r="J275" s="8"/>
      <c r="K275" s="8"/>
      <c r="L275" s="10" t="e">
        <f t="shared" si="65"/>
        <v>#DIV/0!</v>
      </c>
      <c r="M275" s="14" t="e">
        <f t="shared" si="66"/>
        <v>#DIV/0!</v>
      </c>
      <c r="N275" s="11" t="str">
        <f t="shared" si="59"/>
        <v/>
      </c>
      <c r="O275" s="8" t="str">
        <f t="shared" si="60"/>
        <v/>
      </c>
      <c r="P275" s="8" t="str">
        <f t="shared" si="61"/>
        <v/>
      </c>
      <c r="Q275" s="8" t="str">
        <f t="shared" si="61"/>
        <v/>
      </c>
      <c r="R275" s="8" t="str">
        <f t="shared" si="61"/>
        <v/>
      </c>
      <c r="S275" s="11" t="e">
        <f t="shared" si="62"/>
        <v>#VALUE!</v>
      </c>
      <c r="T275" s="12" t="e">
        <f t="shared" si="63"/>
        <v>#DIV/0!</v>
      </c>
      <c r="U275" s="13" t="e">
        <f t="shared" si="64"/>
        <v>#VALUE!</v>
      </c>
      <c r="V275" s="25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spans="1:36" ht="15" x14ac:dyDescent="0.2">
      <c r="A276" s="1">
        <v>274</v>
      </c>
      <c r="B276" s="34"/>
      <c r="C276" s="7"/>
      <c r="D276" s="8"/>
      <c r="E276" s="8"/>
      <c r="F276" s="8"/>
      <c r="G276" s="8"/>
      <c r="H276" s="8"/>
      <c r="I276" s="9"/>
      <c r="J276" s="8"/>
      <c r="K276" s="8"/>
      <c r="L276" s="10" t="e">
        <f t="shared" si="65"/>
        <v>#DIV/0!</v>
      </c>
      <c r="M276" s="14" t="e">
        <f t="shared" si="66"/>
        <v>#DIV/0!</v>
      </c>
      <c r="N276" s="11" t="str">
        <f t="shared" si="59"/>
        <v/>
      </c>
      <c r="O276" s="8" t="str">
        <f t="shared" si="60"/>
        <v/>
      </c>
      <c r="P276" s="8" t="str">
        <f t="shared" si="61"/>
        <v/>
      </c>
      <c r="Q276" s="8" t="str">
        <f t="shared" si="61"/>
        <v/>
      </c>
      <c r="R276" s="8" t="str">
        <f t="shared" si="61"/>
        <v/>
      </c>
      <c r="S276" s="11" t="e">
        <f t="shared" si="62"/>
        <v>#VALUE!</v>
      </c>
      <c r="T276" s="12" t="e">
        <f t="shared" si="63"/>
        <v>#DIV/0!</v>
      </c>
      <c r="U276" s="13" t="e">
        <f t="shared" si="64"/>
        <v>#VALUE!</v>
      </c>
      <c r="V276" s="25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spans="1:36" ht="15" x14ac:dyDescent="0.2">
      <c r="A277" s="1">
        <v>275</v>
      </c>
      <c r="B277" s="34"/>
      <c r="C277" s="7"/>
      <c r="D277" s="8"/>
      <c r="E277" s="8"/>
      <c r="F277" s="8"/>
      <c r="G277" s="8"/>
      <c r="H277" s="8"/>
      <c r="I277" s="9"/>
      <c r="J277" s="8"/>
      <c r="K277" s="8"/>
      <c r="L277" s="10" t="e">
        <f t="shared" si="65"/>
        <v>#DIV/0!</v>
      </c>
      <c r="M277" s="14" t="e">
        <f t="shared" si="66"/>
        <v>#DIV/0!</v>
      </c>
      <c r="N277" s="11" t="str">
        <f t="shared" si="59"/>
        <v/>
      </c>
      <c r="O277" s="8" t="str">
        <f t="shared" si="60"/>
        <v/>
      </c>
      <c r="P277" s="8" t="str">
        <f t="shared" si="61"/>
        <v/>
      </c>
      <c r="Q277" s="8" t="str">
        <f t="shared" si="61"/>
        <v/>
      </c>
      <c r="R277" s="8" t="str">
        <f t="shared" si="61"/>
        <v/>
      </c>
      <c r="S277" s="11" t="e">
        <f t="shared" si="62"/>
        <v>#VALUE!</v>
      </c>
      <c r="T277" s="12" t="e">
        <f t="shared" si="63"/>
        <v>#DIV/0!</v>
      </c>
      <c r="U277" s="13" t="e">
        <f t="shared" si="64"/>
        <v>#VALUE!</v>
      </c>
      <c r="V277" s="25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spans="1:36" ht="15" x14ac:dyDescent="0.2">
      <c r="A278" s="1">
        <v>276</v>
      </c>
      <c r="B278" s="34"/>
      <c r="C278" s="7"/>
      <c r="D278" s="8"/>
      <c r="E278" s="8"/>
      <c r="F278" s="8"/>
      <c r="G278" s="8"/>
      <c r="H278" s="8"/>
      <c r="I278" s="9"/>
      <c r="J278" s="8"/>
      <c r="K278" s="8"/>
      <c r="L278" s="10" t="e">
        <f t="shared" si="65"/>
        <v>#DIV/0!</v>
      </c>
      <c r="M278" s="14" t="e">
        <f t="shared" si="66"/>
        <v>#DIV/0!</v>
      </c>
      <c r="N278" s="11" t="str">
        <f t="shared" si="59"/>
        <v/>
      </c>
      <c r="O278" s="8" t="str">
        <f t="shared" si="60"/>
        <v/>
      </c>
      <c r="P278" s="8" t="str">
        <f t="shared" si="61"/>
        <v/>
      </c>
      <c r="Q278" s="8" t="str">
        <f t="shared" si="61"/>
        <v/>
      </c>
      <c r="R278" s="8" t="str">
        <f t="shared" si="61"/>
        <v/>
      </c>
      <c r="S278" s="11" t="e">
        <f t="shared" si="62"/>
        <v>#VALUE!</v>
      </c>
      <c r="T278" s="12" t="e">
        <f t="shared" si="63"/>
        <v>#DIV/0!</v>
      </c>
      <c r="U278" s="13" t="e">
        <f t="shared" si="64"/>
        <v>#VALUE!</v>
      </c>
      <c r="V278" s="25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spans="1:36" ht="15" x14ac:dyDescent="0.2">
      <c r="A279" s="1">
        <v>277</v>
      </c>
      <c r="B279" s="34"/>
      <c r="C279" s="7"/>
      <c r="D279" s="8"/>
      <c r="E279" s="8"/>
      <c r="F279" s="8"/>
      <c r="G279" s="8"/>
      <c r="H279" s="8"/>
      <c r="I279" s="9"/>
      <c r="J279" s="8"/>
      <c r="K279" s="8"/>
      <c r="L279" s="10" t="e">
        <f t="shared" si="65"/>
        <v>#DIV/0!</v>
      </c>
      <c r="M279" s="14" t="e">
        <f t="shared" si="66"/>
        <v>#DIV/0!</v>
      </c>
      <c r="N279" s="11" t="str">
        <f t="shared" si="59"/>
        <v/>
      </c>
      <c r="O279" s="8" t="str">
        <f t="shared" si="60"/>
        <v/>
      </c>
      <c r="P279" s="8" t="str">
        <f t="shared" si="61"/>
        <v/>
      </c>
      <c r="Q279" s="8" t="str">
        <f t="shared" si="61"/>
        <v/>
      </c>
      <c r="R279" s="8" t="str">
        <f t="shared" si="61"/>
        <v/>
      </c>
      <c r="S279" s="11" t="e">
        <f t="shared" si="62"/>
        <v>#VALUE!</v>
      </c>
      <c r="T279" s="12" t="e">
        <f t="shared" si="63"/>
        <v>#DIV/0!</v>
      </c>
      <c r="U279" s="13" t="e">
        <f t="shared" si="64"/>
        <v>#VALUE!</v>
      </c>
      <c r="V279" s="25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spans="1:36" ht="15" x14ac:dyDescent="0.2">
      <c r="A280" s="1">
        <v>278</v>
      </c>
      <c r="B280" s="34"/>
      <c r="C280" s="7"/>
      <c r="D280" s="8"/>
      <c r="E280" s="8"/>
      <c r="F280" s="8"/>
      <c r="G280" s="8"/>
      <c r="H280" s="8"/>
      <c r="I280" s="9"/>
      <c r="J280" s="8"/>
      <c r="K280" s="8"/>
      <c r="L280" s="10" t="e">
        <f t="shared" si="65"/>
        <v>#DIV/0!</v>
      </c>
      <c r="M280" s="14" t="e">
        <f t="shared" si="66"/>
        <v>#DIV/0!</v>
      </c>
      <c r="N280" s="11" t="str">
        <f t="shared" si="59"/>
        <v/>
      </c>
      <c r="O280" s="8" t="str">
        <f t="shared" si="60"/>
        <v/>
      </c>
      <c r="P280" s="8" t="str">
        <f t="shared" si="61"/>
        <v/>
      </c>
      <c r="Q280" s="8" t="str">
        <f t="shared" si="61"/>
        <v/>
      </c>
      <c r="R280" s="8" t="str">
        <f t="shared" si="61"/>
        <v/>
      </c>
      <c r="S280" s="11" t="e">
        <f t="shared" si="62"/>
        <v>#VALUE!</v>
      </c>
      <c r="T280" s="12" t="e">
        <f t="shared" si="63"/>
        <v>#DIV/0!</v>
      </c>
      <c r="U280" s="13" t="e">
        <f t="shared" si="64"/>
        <v>#VALUE!</v>
      </c>
      <c r="V280" s="25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spans="1:36" ht="15" x14ac:dyDescent="0.2">
      <c r="A281" s="1">
        <v>279</v>
      </c>
      <c r="B281" s="34"/>
      <c r="C281" s="7"/>
      <c r="D281" s="8"/>
      <c r="E281" s="8"/>
      <c r="F281" s="8"/>
      <c r="G281" s="8"/>
      <c r="H281" s="8"/>
      <c r="I281" s="9"/>
      <c r="J281" s="8"/>
      <c r="K281" s="8"/>
      <c r="L281" s="10" t="e">
        <f t="shared" si="65"/>
        <v>#DIV/0!</v>
      </c>
      <c r="M281" s="14" t="e">
        <f t="shared" si="66"/>
        <v>#DIV/0!</v>
      </c>
      <c r="N281" s="11" t="str">
        <f t="shared" si="59"/>
        <v/>
      </c>
      <c r="O281" s="8" t="str">
        <f t="shared" si="60"/>
        <v/>
      </c>
      <c r="P281" s="8" t="str">
        <f t="shared" si="61"/>
        <v/>
      </c>
      <c r="Q281" s="8" t="str">
        <f t="shared" si="61"/>
        <v/>
      </c>
      <c r="R281" s="8" t="str">
        <f t="shared" si="61"/>
        <v/>
      </c>
      <c r="S281" s="11" t="e">
        <f t="shared" si="62"/>
        <v>#VALUE!</v>
      </c>
      <c r="T281" s="12" t="e">
        <f t="shared" si="63"/>
        <v>#DIV/0!</v>
      </c>
      <c r="U281" s="13" t="e">
        <f t="shared" si="64"/>
        <v>#VALUE!</v>
      </c>
      <c r="V281" s="25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spans="1:36" ht="15" x14ac:dyDescent="0.2">
      <c r="A282" s="1">
        <v>280</v>
      </c>
      <c r="B282" s="34"/>
      <c r="C282" s="7"/>
      <c r="D282" s="8"/>
      <c r="E282" s="8"/>
      <c r="F282" s="8"/>
      <c r="G282" s="8"/>
      <c r="H282" s="8"/>
      <c r="I282" s="9"/>
      <c r="J282" s="8"/>
      <c r="K282" s="8"/>
      <c r="L282" s="10" t="e">
        <f t="shared" si="65"/>
        <v>#DIV/0!</v>
      </c>
      <c r="M282" s="14" t="e">
        <f t="shared" si="66"/>
        <v>#DIV/0!</v>
      </c>
      <c r="N282" s="11" t="str">
        <f t="shared" si="59"/>
        <v/>
      </c>
      <c r="O282" s="8" t="str">
        <f t="shared" si="60"/>
        <v/>
      </c>
      <c r="P282" s="8" t="str">
        <f t="shared" si="61"/>
        <v/>
      </c>
      <c r="Q282" s="8" t="str">
        <f t="shared" si="61"/>
        <v/>
      </c>
      <c r="R282" s="8" t="str">
        <f t="shared" si="61"/>
        <v/>
      </c>
      <c r="S282" s="11" t="e">
        <f t="shared" si="62"/>
        <v>#VALUE!</v>
      </c>
      <c r="T282" s="12" t="e">
        <f t="shared" si="63"/>
        <v>#DIV/0!</v>
      </c>
      <c r="U282" s="13" t="e">
        <f t="shared" si="64"/>
        <v>#VALUE!</v>
      </c>
      <c r="V282" s="25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spans="1:36" ht="15" x14ac:dyDescent="0.2">
      <c r="A283" s="1">
        <v>281</v>
      </c>
      <c r="B283" s="34"/>
      <c r="C283" s="7"/>
      <c r="D283" s="8"/>
      <c r="E283" s="8"/>
      <c r="F283" s="8"/>
      <c r="G283" s="8"/>
      <c r="H283" s="8"/>
      <c r="I283" s="9"/>
      <c r="J283" s="8"/>
      <c r="K283" s="8"/>
      <c r="L283" s="10" t="e">
        <f t="shared" si="65"/>
        <v>#DIV/0!</v>
      </c>
      <c r="M283" s="14" t="e">
        <f t="shared" si="66"/>
        <v>#DIV/0!</v>
      </c>
      <c r="N283" s="11" t="str">
        <f t="shared" si="59"/>
        <v/>
      </c>
      <c r="O283" s="8" t="str">
        <f t="shared" si="60"/>
        <v/>
      </c>
      <c r="P283" s="8" t="str">
        <f t="shared" si="61"/>
        <v/>
      </c>
      <c r="Q283" s="8" t="str">
        <f t="shared" si="61"/>
        <v/>
      </c>
      <c r="R283" s="8" t="str">
        <f t="shared" si="61"/>
        <v/>
      </c>
      <c r="S283" s="11" t="e">
        <f t="shared" si="62"/>
        <v>#VALUE!</v>
      </c>
      <c r="T283" s="12" t="e">
        <f t="shared" si="63"/>
        <v>#DIV/0!</v>
      </c>
      <c r="U283" s="13" t="e">
        <f t="shared" si="64"/>
        <v>#VALUE!</v>
      </c>
      <c r="V283" s="25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 spans="1:36" ht="15" x14ac:dyDescent="0.2">
      <c r="A284" s="1">
        <v>282</v>
      </c>
      <c r="B284" s="34"/>
      <c r="C284" s="7"/>
      <c r="D284" s="8"/>
      <c r="E284" s="8"/>
      <c r="F284" s="8"/>
      <c r="G284" s="8"/>
      <c r="H284" s="8"/>
      <c r="I284" s="9"/>
      <c r="J284" s="8"/>
      <c r="K284" s="8"/>
      <c r="L284" s="10" t="e">
        <f t="shared" si="65"/>
        <v>#DIV/0!</v>
      </c>
      <c r="M284" s="14" t="e">
        <f t="shared" si="66"/>
        <v>#DIV/0!</v>
      </c>
      <c r="N284" s="11" t="str">
        <f t="shared" si="59"/>
        <v/>
      </c>
      <c r="O284" s="8" t="str">
        <f t="shared" si="60"/>
        <v/>
      </c>
      <c r="P284" s="8" t="str">
        <f t="shared" si="61"/>
        <v/>
      </c>
      <c r="Q284" s="8" t="str">
        <f t="shared" si="61"/>
        <v/>
      </c>
      <c r="R284" s="8" t="str">
        <f t="shared" si="61"/>
        <v/>
      </c>
      <c r="S284" s="11" t="e">
        <f t="shared" si="62"/>
        <v>#VALUE!</v>
      </c>
      <c r="T284" s="12" t="e">
        <f t="shared" si="63"/>
        <v>#DIV/0!</v>
      </c>
      <c r="U284" s="13" t="e">
        <f t="shared" si="64"/>
        <v>#VALUE!</v>
      </c>
      <c r="V284" s="25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spans="1:36" ht="15" x14ac:dyDescent="0.2">
      <c r="A285" s="1">
        <v>283</v>
      </c>
      <c r="B285" s="34"/>
      <c r="C285" s="7"/>
      <c r="D285" s="8"/>
      <c r="E285" s="8"/>
      <c r="F285" s="8"/>
      <c r="G285" s="8"/>
      <c r="H285" s="8"/>
      <c r="I285" s="9"/>
      <c r="J285" s="8"/>
      <c r="K285" s="8"/>
      <c r="L285" s="10" t="e">
        <f t="shared" si="65"/>
        <v>#DIV/0!</v>
      </c>
      <c r="M285" s="14" t="e">
        <f t="shared" si="66"/>
        <v>#DIV/0!</v>
      </c>
      <c r="N285" s="11" t="str">
        <f t="shared" si="59"/>
        <v/>
      </c>
      <c r="O285" s="8" t="str">
        <f t="shared" si="60"/>
        <v/>
      </c>
      <c r="P285" s="8" t="str">
        <f t="shared" si="61"/>
        <v/>
      </c>
      <c r="Q285" s="8" t="str">
        <f t="shared" si="61"/>
        <v/>
      </c>
      <c r="R285" s="8" t="str">
        <f t="shared" si="61"/>
        <v/>
      </c>
      <c r="S285" s="11" t="e">
        <f t="shared" si="62"/>
        <v>#VALUE!</v>
      </c>
      <c r="T285" s="12" t="e">
        <f t="shared" si="63"/>
        <v>#DIV/0!</v>
      </c>
      <c r="U285" s="13" t="e">
        <f t="shared" si="64"/>
        <v>#VALUE!</v>
      </c>
      <c r="V285" s="25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spans="1:36" ht="15" x14ac:dyDescent="0.2">
      <c r="A286" s="1">
        <v>284</v>
      </c>
      <c r="B286" s="34"/>
      <c r="C286" s="7"/>
      <c r="D286" s="8"/>
      <c r="E286" s="8"/>
      <c r="F286" s="8"/>
      <c r="G286" s="8"/>
      <c r="H286" s="8"/>
      <c r="I286" s="9"/>
      <c r="J286" s="8"/>
      <c r="K286" s="8"/>
      <c r="L286" s="10" t="e">
        <f t="shared" si="65"/>
        <v>#DIV/0!</v>
      </c>
      <c r="M286" s="14" t="e">
        <f t="shared" si="66"/>
        <v>#DIV/0!</v>
      </c>
      <c r="N286" s="11" t="str">
        <f t="shared" si="59"/>
        <v/>
      </c>
      <c r="O286" s="8" t="str">
        <f t="shared" si="60"/>
        <v/>
      </c>
      <c r="P286" s="8" t="str">
        <f t="shared" si="61"/>
        <v/>
      </c>
      <c r="Q286" s="8" t="str">
        <f t="shared" si="61"/>
        <v/>
      </c>
      <c r="R286" s="8" t="str">
        <f t="shared" si="61"/>
        <v/>
      </c>
      <c r="S286" s="11" t="e">
        <f t="shared" si="62"/>
        <v>#VALUE!</v>
      </c>
      <c r="T286" s="12" t="e">
        <f t="shared" si="63"/>
        <v>#DIV/0!</v>
      </c>
      <c r="U286" s="13" t="e">
        <f t="shared" si="64"/>
        <v>#VALUE!</v>
      </c>
      <c r="V286" s="25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spans="1:36" ht="15" x14ac:dyDescent="0.2">
      <c r="A287" s="1">
        <v>285</v>
      </c>
      <c r="B287" s="34"/>
      <c r="C287" s="7"/>
      <c r="D287" s="8"/>
      <c r="E287" s="8"/>
      <c r="F287" s="8"/>
      <c r="G287" s="8"/>
      <c r="H287" s="8"/>
      <c r="I287" s="9"/>
      <c r="J287" s="8"/>
      <c r="K287" s="8"/>
      <c r="L287" s="10" t="e">
        <f t="shared" si="65"/>
        <v>#DIV/0!</v>
      </c>
      <c r="M287" s="14" t="e">
        <f t="shared" si="66"/>
        <v>#DIV/0!</v>
      </c>
      <c r="N287" s="11" t="str">
        <f t="shared" si="59"/>
        <v/>
      </c>
      <c r="O287" s="8" t="str">
        <f t="shared" si="60"/>
        <v/>
      </c>
      <c r="P287" s="8" t="str">
        <f t="shared" si="61"/>
        <v/>
      </c>
      <c r="Q287" s="8" t="str">
        <f t="shared" si="61"/>
        <v/>
      </c>
      <c r="R287" s="8" t="str">
        <f t="shared" si="61"/>
        <v/>
      </c>
      <c r="S287" s="11" t="e">
        <f t="shared" si="62"/>
        <v>#VALUE!</v>
      </c>
      <c r="T287" s="12" t="e">
        <f t="shared" si="63"/>
        <v>#DIV/0!</v>
      </c>
      <c r="U287" s="13" t="e">
        <f t="shared" si="64"/>
        <v>#VALUE!</v>
      </c>
      <c r="V287" s="25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 spans="1:36" ht="15" x14ac:dyDescent="0.2">
      <c r="A288" s="1">
        <v>286</v>
      </c>
      <c r="B288" s="34"/>
      <c r="C288" s="7"/>
      <c r="D288" s="8"/>
      <c r="E288" s="8"/>
      <c r="F288" s="8"/>
      <c r="G288" s="8"/>
      <c r="H288" s="8"/>
      <c r="I288" s="9"/>
      <c r="J288" s="8"/>
      <c r="K288" s="8"/>
      <c r="L288" s="10" t="e">
        <f t="shared" si="65"/>
        <v>#DIV/0!</v>
      </c>
      <c r="M288" s="14" t="e">
        <f t="shared" si="66"/>
        <v>#DIV/0!</v>
      </c>
      <c r="N288" s="11" t="str">
        <f t="shared" si="59"/>
        <v/>
      </c>
      <c r="O288" s="8" t="str">
        <f t="shared" si="60"/>
        <v/>
      </c>
      <c r="P288" s="8" t="str">
        <f t="shared" si="61"/>
        <v/>
      </c>
      <c r="Q288" s="8" t="str">
        <f t="shared" si="61"/>
        <v/>
      </c>
      <c r="R288" s="8" t="str">
        <f t="shared" si="61"/>
        <v/>
      </c>
      <c r="S288" s="11" t="e">
        <f t="shared" si="62"/>
        <v>#VALUE!</v>
      </c>
      <c r="T288" s="12" t="e">
        <f t="shared" si="63"/>
        <v>#DIV/0!</v>
      </c>
      <c r="U288" s="13" t="e">
        <f t="shared" si="64"/>
        <v>#VALUE!</v>
      </c>
      <c r="V288" s="25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spans="1:36" ht="15" x14ac:dyDescent="0.2">
      <c r="A289" s="1">
        <v>287</v>
      </c>
      <c r="B289" s="34"/>
      <c r="C289" s="7"/>
      <c r="D289" s="8"/>
      <c r="E289" s="8"/>
      <c r="F289" s="8"/>
      <c r="G289" s="8"/>
      <c r="H289" s="8"/>
      <c r="I289" s="9"/>
      <c r="J289" s="8"/>
      <c r="K289" s="8"/>
      <c r="L289" s="10" t="e">
        <f t="shared" si="65"/>
        <v>#DIV/0!</v>
      </c>
      <c r="M289" s="14" t="e">
        <f t="shared" si="66"/>
        <v>#DIV/0!</v>
      </c>
      <c r="N289" s="11" t="str">
        <f t="shared" si="59"/>
        <v/>
      </c>
      <c r="O289" s="8" t="str">
        <f t="shared" si="60"/>
        <v/>
      </c>
      <c r="P289" s="8" t="str">
        <f t="shared" si="61"/>
        <v/>
      </c>
      <c r="Q289" s="8" t="str">
        <f t="shared" si="61"/>
        <v/>
      </c>
      <c r="R289" s="8" t="str">
        <f t="shared" si="61"/>
        <v/>
      </c>
      <c r="S289" s="11" t="e">
        <f t="shared" si="62"/>
        <v>#VALUE!</v>
      </c>
      <c r="T289" s="12" t="e">
        <f t="shared" si="63"/>
        <v>#DIV/0!</v>
      </c>
      <c r="U289" s="13" t="e">
        <f t="shared" si="64"/>
        <v>#VALUE!</v>
      </c>
      <c r="V289" s="25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 spans="1:36" ht="15" x14ac:dyDescent="0.2">
      <c r="A290" s="1">
        <v>288</v>
      </c>
      <c r="B290" s="34"/>
      <c r="C290" s="7"/>
      <c r="D290" s="8"/>
      <c r="E290" s="8"/>
      <c r="F290" s="8"/>
      <c r="G290" s="8"/>
      <c r="H290" s="8"/>
      <c r="I290" s="9"/>
      <c r="J290" s="8"/>
      <c r="K290" s="8"/>
      <c r="L290" s="10" t="e">
        <f t="shared" si="65"/>
        <v>#DIV/0!</v>
      </c>
      <c r="M290" s="14" t="e">
        <f t="shared" si="66"/>
        <v>#DIV/0!</v>
      </c>
      <c r="N290" s="11" t="str">
        <f t="shared" si="59"/>
        <v/>
      </c>
      <c r="O290" s="8" t="str">
        <f t="shared" si="60"/>
        <v/>
      </c>
      <c r="P290" s="8" t="str">
        <f t="shared" si="61"/>
        <v/>
      </c>
      <c r="Q290" s="8" t="str">
        <f t="shared" si="61"/>
        <v/>
      </c>
      <c r="R290" s="8" t="str">
        <f t="shared" si="61"/>
        <v/>
      </c>
      <c r="S290" s="11" t="e">
        <f t="shared" si="62"/>
        <v>#VALUE!</v>
      </c>
      <c r="T290" s="12" t="e">
        <f t="shared" si="63"/>
        <v>#DIV/0!</v>
      </c>
      <c r="U290" s="13" t="e">
        <f t="shared" si="64"/>
        <v>#VALUE!</v>
      </c>
      <c r="V290" s="25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spans="1:36" ht="15" x14ac:dyDescent="0.2">
      <c r="A291" s="1">
        <v>289</v>
      </c>
      <c r="B291" s="34"/>
      <c r="C291" s="7"/>
      <c r="D291" s="8"/>
      <c r="E291" s="8"/>
      <c r="F291" s="8"/>
      <c r="G291" s="8"/>
      <c r="H291" s="8"/>
      <c r="I291" s="9"/>
      <c r="J291" s="8"/>
      <c r="K291" s="8"/>
      <c r="L291" s="10" t="e">
        <f t="shared" si="65"/>
        <v>#DIV/0!</v>
      </c>
      <c r="M291" s="14" t="e">
        <f t="shared" si="66"/>
        <v>#DIV/0!</v>
      </c>
      <c r="N291" s="11" t="str">
        <f t="shared" si="59"/>
        <v/>
      </c>
      <c r="O291" s="8" t="str">
        <f t="shared" si="60"/>
        <v/>
      </c>
      <c r="P291" s="8" t="str">
        <f t="shared" si="61"/>
        <v/>
      </c>
      <c r="Q291" s="8" t="str">
        <f t="shared" si="61"/>
        <v/>
      </c>
      <c r="R291" s="8" t="str">
        <f t="shared" si="61"/>
        <v/>
      </c>
      <c r="S291" s="11" t="e">
        <f t="shared" si="62"/>
        <v>#VALUE!</v>
      </c>
      <c r="T291" s="12" t="e">
        <f t="shared" si="63"/>
        <v>#DIV/0!</v>
      </c>
      <c r="U291" s="13" t="e">
        <f t="shared" si="64"/>
        <v>#VALUE!</v>
      </c>
      <c r="V291" s="25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 spans="1:36" ht="15" x14ac:dyDescent="0.2">
      <c r="A292" s="1">
        <v>290</v>
      </c>
      <c r="B292" s="34"/>
      <c r="C292" s="7"/>
      <c r="D292" s="8"/>
      <c r="E292" s="8"/>
      <c r="F292" s="8"/>
      <c r="G292" s="8"/>
      <c r="H292" s="8"/>
      <c r="I292" s="9"/>
      <c r="J292" s="8"/>
      <c r="K292" s="8"/>
      <c r="L292" s="10" t="e">
        <f t="shared" si="65"/>
        <v>#DIV/0!</v>
      </c>
      <c r="M292" s="14" t="e">
        <f t="shared" si="66"/>
        <v>#DIV/0!</v>
      </c>
      <c r="N292" s="11" t="str">
        <f t="shared" si="59"/>
        <v/>
      </c>
      <c r="O292" s="8" t="str">
        <f t="shared" si="60"/>
        <v/>
      </c>
      <c r="P292" s="8" t="str">
        <f t="shared" si="61"/>
        <v/>
      </c>
      <c r="Q292" s="8" t="str">
        <f t="shared" si="61"/>
        <v/>
      </c>
      <c r="R292" s="8" t="str">
        <f t="shared" si="61"/>
        <v/>
      </c>
      <c r="S292" s="11" t="e">
        <f t="shared" si="62"/>
        <v>#VALUE!</v>
      </c>
      <c r="T292" s="12" t="e">
        <f t="shared" si="63"/>
        <v>#DIV/0!</v>
      </c>
      <c r="U292" s="13" t="e">
        <f t="shared" si="64"/>
        <v>#VALUE!</v>
      </c>
      <c r="V292" s="25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spans="1:36" ht="15" x14ac:dyDescent="0.2">
      <c r="A293" s="1">
        <v>291</v>
      </c>
      <c r="B293" s="34"/>
      <c r="C293" s="7"/>
      <c r="D293" s="8"/>
      <c r="E293" s="8"/>
      <c r="F293" s="8"/>
      <c r="G293" s="8"/>
      <c r="H293" s="8"/>
      <c r="I293" s="9"/>
      <c r="J293" s="8"/>
      <c r="K293" s="8"/>
      <c r="L293" s="10" t="e">
        <f t="shared" si="65"/>
        <v>#DIV/0!</v>
      </c>
      <c r="M293" s="14" t="e">
        <f t="shared" si="66"/>
        <v>#DIV/0!</v>
      </c>
      <c r="N293" s="11" t="str">
        <f t="shared" si="59"/>
        <v/>
      </c>
      <c r="O293" s="8" t="str">
        <f t="shared" si="60"/>
        <v/>
      </c>
      <c r="P293" s="8" t="str">
        <f t="shared" si="61"/>
        <v/>
      </c>
      <c r="Q293" s="8" t="str">
        <f t="shared" si="61"/>
        <v/>
      </c>
      <c r="R293" s="8" t="str">
        <f t="shared" si="61"/>
        <v/>
      </c>
      <c r="S293" s="11" t="e">
        <f t="shared" si="62"/>
        <v>#VALUE!</v>
      </c>
      <c r="T293" s="12" t="e">
        <f t="shared" si="63"/>
        <v>#DIV/0!</v>
      </c>
      <c r="U293" s="13" t="e">
        <f t="shared" si="64"/>
        <v>#VALUE!</v>
      </c>
      <c r="V293" s="25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 spans="1:36" ht="15" x14ac:dyDescent="0.2">
      <c r="A294" s="1">
        <v>292</v>
      </c>
      <c r="B294" s="34"/>
      <c r="C294" s="7"/>
      <c r="D294" s="8"/>
      <c r="E294" s="8"/>
      <c r="F294" s="8"/>
      <c r="G294" s="8"/>
      <c r="H294" s="8"/>
      <c r="I294" s="9"/>
      <c r="J294" s="8"/>
      <c r="K294" s="8"/>
      <c r="L294" s="10" t="e">
        <f t="shared" si="65"/>
        <v>#DIV/0!</v>
      </c>
      <c r="M294" s="14" t="e">
        <f t="shared" si="66"/>
        <v>#DIV/0!</v>
      </c>
      <c r="N294" s="11" t="str">
        <f t="shared" si="59"/>
        <v/>
      </c>
      <c r="O294" s="8" t="str">
        <f t="shared" si="60"/>
        <v/>
      </c>
      <c r="P294" s="8" t="str">
        <f t="shared" si="61"/>
        <v/>
      </c>
      <c r="Q294" s="8" t="str">
        <f t="shared" si="61"/>
        <v/>
      </c>
      <c r="R294" s="8" t="str">
        <f t="shared" si="61"/>
        <v/>
      </c>
      <c r="S294" s="11" t="e">
        <f t="shared" si="62"/>
        <v>#VALUE!</v>
      </c>
      <c r="T294" s="12" t="e">
        <f t="shared" si="63"/>
        <v>#DIV/0!</v>
      </c>
      <c r="U294" s="13" t="e">
        <f t="shared" si="64"/>
        <v>#VALUE!</v>
      </c>
      <c r="V294" s="25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spans="1:36" ht="15" x14ac:dyDescent="0.2">
      <c r="A295" s="1">
        <v>293</v>
      </c>
      <c r="B295" s="34"/>
      <c r="C295" s="7"/>
      <c r="D295" s="8"/>
      <c r="E295" s="8"/>
      <c r="F295" s="8"/>
      <c r="G295" s="8"/>
      <c r="H295" s="8"/>
      <c r="I295" s="9"/>
      <c r="J295" s="8"/>
      <c r="K295" s="8"/>
      <c r="L295" s="10" t="e">
        <f t="shared" si="65"/>
        <v>#DIV/0!</v>
      </c>
      <c r="M295" s="14" t="e">
        <f t="shared" si="66"/>
        <v>#DIV/0!</v>
      </c>
      <c r="N295" s="11" t="str">
        <f t="shared" si="59"/>
        <v/>
      </c>
      <c r="O295" s="8" t="str">
        <f t="shared" si="60"/>
        <v/>
      </c>
      <c r="P295" s="8" t="str">
        <f t="shared" si="61"/>
        <v/>
      </c>
      <c r="Q295" s="8" t="str">
        <f t="shared" si="61"/>
        <v/>
      </c>
      <c r="R295" s="8" t="str">
        <f t="shared" si="61"/>
        <v/>
      </c>
      <c r="S295" s="11" t="e">
        <f t="shared" si="62"/>
        <v>#VALUE!</v>
      </c>
      <c r="T295" s="12" t="e">
        <f t="shared" si="63"/>
        <v>#DIV/0!</v>
      </c>
      <c r="U295" s="13" t="e">
        <f t="shared" si="64"/>
        <v>#VALUE!</v>
      </c>
      <c r="V295" s="25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 spans="1:36" ht="15" x14ac:dyDescent="0.2">
      <c r="A296" s="1">
        <v>294</v>
      </c>
      <c r="B296" s="34"/>
      <c r="C296" s="7"/>
      <c r="D296" s="8"/>
      <c r="E296" s="8"/>
      <c r="F296" s="8"/>
      <c r="G296" s="8"/>
      <c r="H296" s="8"/>
      <c r="I296" s="9"/>
      <c r="J296" s="8"/>
      <c r="K296" s="8"/>
      <c r="L296" s="10" t="e">
        <f t="shared" si="65"/>
        <v>#DIV/0!</v>
      </c>
      <c r="M296" s="14" t="e">
        <f t="shared" si="66"/>
        <v>#DIV/0!</v>
      </c>
      <c r="N296" s="11" t="str">
        <f t="shared" si="59"/>
        <v/>
      </c>
      <c r="O296" s="8" t="str">
        <f t="shared" si="60"/>
        <v/>
      </c>
      <c r="P296" s="8" t="str">
        <f t="shared" si="61"/>
        <v/>
      </c>
      <c r="Q296" s="8" t="str">
        <f t="shared" si="61"/>
        <v/>
      </c>
      <c r="R296" s="8" t="str">
        <f t="shared" si="61"/>
        <v/>
      </c>
      <c r="S296" s="11" t="e">
        <f t="shared" si="62"/>
        <v>#VALUE!</v>
      </c>
      <c r="T296" s="12" t="e">
        <f t="shared" si="63"/>
        <v>#DIV/0!</v>
      </c>
      <c r="U296" s="13" t="e">
        <f t="shared" si="64"/>
        <v>#VALUE!</v>
      </c>
      <c r="V296" s="25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spans="1:36" ht="15" x14ac:dyDescent="0.2">
      <c r="A297" s="1">
        <v>295</v>
      </c>
      <c r="B297" s="34"/>
      <c r="C297" s="7"/>
      <c r="D297" s="8"/>
      <c r="E297" s="8"/>
      <c r="F297" s="8"/>
      <c r="G297" s="8"/>
      <c r="H297" s="8"/>
      <c r="I297" s="9"/>
      <c r="J297" s="8"/>
      <c r="K297" s="8"/>
      <c r="L297" s="10" t="e">
        <f t="shared" si="65"/>
        <v>#DIV/0!</v>
      </c>
      <c r="M297" s="14" t="e">
        <f t="shared" si="66"/>
        <v>#DIV/0!</v>
      </c>
      <c r="N297" s="11" t="str">
        <f t="shared" si="59"/>
        <v/>
      </c>
      <c r="O297" s="8" t="str">
        <f t="shared" si="60"/>
        <v/>
      </c>
      <c r="P297" s="8" t="str">
        <f t="shared" si="61"/>
        <v/>
      </c>
      <c r="Q297" s="8" t="str">
        <f t="shared" si="61"/>
        <v/>
      </c>
      <c r="R297" s="8" t="str">
        <f t="shared" si="61"/>
        <v/>
      </c>
      <c r="S297" s="11" t="e">
        <f t="shared" si="62"/>
        <v>#VALUE!</v>
      </c>
      <c r="T297" s="12" t="e">
        <f t="shared" si="63"/>
        <v>#DIV/0!</v>
      </c>
      <c r="U297" s="13" t="e">
        <f t="shared" si="64"/>
        <v>#VALUE!</v>
      </c>
      <c r="V297" s="25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 spans="1:36" ht="15" x14ac:dyDescent="0.2">
      <c r="A298" s="1">
        <v>296</v>
      </c>
      <c r="B298" s="34"/>
      <c r="C298" s="7"/>
      <c r="D298" s="8"/>
      <c r="E298" s="8"/>
      <c r="F298" s="8"/>
      <c r="G298" s="8"/>
      <c r="H298" s="8"/>
      <c r="I298" s="9"/>
      <c r="J298" s="8"/>
      <c r="K298" s="8"/>
      <c r="L298" s="10" t="e">
        <f t="shared" si="65"/>
        <v>#DIV/0!</v>
      </c>
      <c r="M298" s="14" t="e">
        <f t="shared" si="66"/>
        <v>#DIV/0!</v>
      </c>
      <c r="N298" s="11" t="str">
        <f t="shared" ref="N298:N322" si="67">IF(C298="L", -2, IF(C298="OL", -1, IF(C298="H", 2, IF(C298="OH", 1, IF(C298="O", 0, "")))))</f>
        <v/>
      </c>
      <c r="O298" s="8" t="str">
        <f t="shared" ref="O298:O322" si="68">IF(E298="IS", -2, IF(E298="--", 0, IF(E298="IB", 2, "")))</f>
        <v/>
      </c>
      <c r="P298" s="8" t="str">
        <f t="shared" si="61"/>
        <v/>
      </c>
      <c r="Q298" s="8" t="str">
        <f t="shared" si="61"/>
        <v/>
      </c>
      <c r="R298" s="8" t="str">
        <f t="shared" si="61"/>
        <v/>
      </c>
      <c r="S298" s="11" t="e">
        <f t="shared" si="62"/>
        <v>#VALUE!</v>
      </c>
      <c r="T298" s="12" t="e">
        <f t="shared" si="63"/>
        <v>#DIV/0!</v>
      </c>
      <c r="U298" s="13" t="e">
        <f t="shared" si="64"/>
        <v>#VALUE!</v>
      </c>
      <c r="V298" s="25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spans="1:36" ht="15" x14ac:dyDescent="0.2">
      <c r="A299" s="1">
        <v>297</v>
      </c>
      <c r="B299" s="34"/>
      <c r="C299" s="7"/>
      <c r="D299" s="8"/>
      <c r="E299" s="8"/>
      <c r="F299" s="8"/>
      <c r="G299" s="8"/>
      <c r="H299" s="8"/>
      <c r="I299" s="9"/>
      <c r="J299" s="8"/>
      <c r="K299" s="8"/>
      <c r="L299" s="10" t="e">
        <f t="shared" si="65"/>
        <v>#DIV/0!</v>
      </c>
      <c r="M299" s="14" t="e">
        <f t="shared" si="66"/>
        <v>#DIV/0!</v>
      </c>
      <c r="N299" s="11" t="str">
        <f t="shared" si="67"/>
        <v/>
      </c>
      <c r="O299" s="8" t="str">
        <f t="shared" si="68"/>
        <v/>
      </c>
      <c r="P299" s="8" t="str">
        <f t="shared" ref="P299:R322" si="69">IF(F299="IS", -2, IF(F299="RS", -1, IF(F299="--", 0, IF(F299="IB", 2, IF(F299="RB", 1, "")))))</f>
        <v/>
      </c>
      <c r="Q299" s="8" t="str">
        <f t="shared" si="69"/>
        <v/>
      </c>
      <c r="R299" s="8" t="str">
        <f t="shared" si="69"/>
        <v/>
      </c>
      <c r="S299" s="11" t="e">
        <f t="shared" ref="S299:S322" si="70">O299*0.3 + P299*0.2 + Q299*0.25 + N299*0.2 + R299*0.05</f>
        <v>#VALUE!</v>
      </c>
      <c r="T299" s="12" t="e">
        <f t="shared" ref="T299:T322" si="71">D299/D298</f>
        <v>#DIV/0!</v>
      </c>
      <c r="U299" s="13" t="e">
        <f t="shared" ref="U299:U322" si="72">S299*L299*L299*T299*M299*M299*M299</f>
        <v>#VALUE!</v>
      </c>
      <c r="V299" s="25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 spans="1:36" ht="15" x14ac:dyDescent="0.2">
      <c r="A300" s="1">
        <v>298</v>
      </c>
      <c r="B300" s="34"/>
      <c r="C300" s="7"/>
      <c r="D300" s="8"/>
      <c r="E300" s="8"/>
      <c r="F300" s="8"/>
      <c r="G300" s="8"/>
      <c r="H300" s="8"/>
      <c r="I300" s="9"/>
      <c r="J300" s="8"/>
      <c r="K300" s="8"/>
      <c r="L300" s="10" t="e">
        <f t="shared" si="65"/>
        <v>#DIV/0!</v>
      </c>
      <c r="M300" s="14" t="e">
        <f t="shared" si="66"/>
        <v>#DIV/0!</v>
      </c>
      <c r="N300" s="11" t="str">
        <f t="shared" si="67"/>
        <v/>
      </c>
      <c r="O300" s="8" t="str">
        <f t="shared" si="68"/>
        <v/>
      </c>
      <c r="P300" s="8" t="str">
        <f t="shared" si="69"/>
        <v/>
      </c>
      <c r="Q300" s="8" t="str">
        <f t="shared" si="69"/>
        <v/>
      </c>
      <c r="R300" s="8" t="str">
        <f t="shared" si="69"/>
        <v/>
      </c>
      <c r="S300" s="11" t="e">
        <f t="shared" si="70"/>
        <v>#VALUE!</v>
      </c>
      <c r="T300" s="12" t="e">
        <f t="shared" si="71"/>
        <v>#DIV/0!</v>
      </c>
      <c r="U300" s="13" t="e">
        <f t="shared" si="72"/>
        <v>#VALUE!</v>
      </c>
      <c r="V300" s="25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ht="15" x14ac:dyDescent="0.2">
      <c r="A301" s="1">
        <v>299</v>
      </c>
      <c r="B301" s="35"/>
      <c r="C301" s="16"/>
      <c r="D301" s="15"/>
      <c r="E301" s="15"/>
      <c r="F301" s="15"/>
      <c r="G301" s="15"/>
      <c r="H301" s="15"/>
      <c r="I301" s="17"/>
      <c r="J301" s="15"/>
      <c r="K301" s="15"/>
      <c r="L301" s="10" t="e">
        <f t="shared" si="65"/>
        <v>#DIV/0!</v>
      </c>
      <c r="M301" s="14" t="e">
        <f t="shared" si="66"/>
        <v>#DIV/0!</v>
      </c>
      <c r="N301" s="11" t="str">
        <f t="shared" si="67"/>
        <v/>
      </c>
      <c r="O301" s="8" t="str">
        <f t="shared" si="68"/>
        <v/>
      </c>
      <c r="P301" s="8" t="str">
        <f t="shared" si="69"/>
        <v/>
      </c>
      <c r="Q301" s="8" t="str">
        <f t="shared" si="69"/>
        <v/>
      </c>
      <c r="R301" s="8" t="str">
        <f t="shared" si="69"/>
        <v/>
      </c>
      <c r="S301" s="11" t="e">
        <f t="shared" si="70"/>
        <v>#VALUE!</v>
      </c>
      <c r="T301" s="12" t="e">
        <f t="shared" si="71"/>
        <v>#DIV/0!</v>
      </c>
      <c r="U301" s="13" t="e">
        <f t="shared" si="72"/>
        <v>#VALUE!</v>
      </c>
      <c r="V301" s="26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 spans="1:36" ht="15" x14ac:dyDescent="0.2">
      <c r="A302" s="1">
        <v>300</v>
      </c>
      <c r="B302" s="35"/>
      <c r="C302" s="16"/>
      <c r="D302" s="15"/>
      <c r="E302" s="15"/>
      <c r="F302" s="15"/>
      <c r="G302" s="15"/>
      <c r="H302" s="15"/>
      <c r="I302" s="17"/>
      <c r="J302" s="15"/>
      <c r="K302" s="15"/>
      <c r="L302" s="10" t="e">
        <f t="shared" si="65"/>
        <v>#DIV/0!</v>
      </c>
      <c r="M302" s="14" t="e">
        <f t="shared" si="66"/>
        <v>#DIV/0!</v>
      </c>
      <c r="N302" s="11" t="str">
        <f t="shared" si="67"/>
        <v/>
      </c>
      <c r="O302" s="8" t="str">
        <f t="shared" si="68"/>
        <v/>
      </c>
      <c r="P302" s="8" t="str">
        <f t="shared" si="69"/>
        <v/>
      </c>
      <c r="Q302" s="8" t="str">
        <f t="shared" si="69"/>
        <v/>
      </c>
      <c r="R302" s="8" t="str">
        <f t="shared" si="69"/>
        <v/>
      </c>
      <c r="S302" s="11" t="e">
        <f t="shared" si="70"/>
        <v>#VALUE!</v>
      </c>
      <c r="T302" s="12" t="e">
        <f t="shared" si="71"/>
        <v>#DIV/0!</v>
      </c>
      <c r="U302" s="13" t="e">
        <f t="shared" si="72"/>
        <v>#VALUE!</v>
      </c>
      <c r="V302" s="26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 spans="1:36" ht="15" x14ac:dyDescent="0.2">
      <c r="A303" s="1">
        <v>301</v>
      </c>
      <c r="B303" s="35"/>
      <c r="C303" s="16"/>
      <c r="D303" s="15"/>
      <c r="E303" s="15"/>
      <c r="F303" s="15"/>
      <c r="G303" s="15"/>
      <c r="H303" s="15"/>
      <c r="I303" s="17"/>
      <c r="J303" s="15"/>
      <c r="K303" s="15"/>
      <c r="L303" s="10" t="e">
        <f t="shared" si="65"/>
        <v>#DIV/0!</v>
      </c>
      <c r="M303" s="14" t="e">
        <f t="shared" si="66"/>
        <v>#DIV/0!</v>
      </c>
      <c r="N303" s="11" t="str">
        <f t="shared" si="67"/>
        <v/>
      </c>
      <c r="O303" s="8" t="str">
        <f t="shared" si="68"/>
        <v/>
      </c>
      <c r="P303" s="8" t="str">
        <f t="shared" si="69"/>
        <v/>
      </c>
      <c r="Q303" s="8" t="str">
        <f t="shared" si="69"/>
        <v/>
      </c>
      <c r="R303" s="8" t="str">
        <f t="shared" si="69"/>
        <v/>
      </c>
      <c r="S303" s="11" t="e">
        <f t="shared" si="70"/>
        <v>#VALUE!</v>
      </c>
      <c r="T303" s="12" t="e">
        <f t="shared" si="71"/>
        <v>#DIV/0!</v>
      </c>
      <c r="U303" s="13" t="e">
        <f t="shared" si="72"/>
        <v>#VALUE!</v>
      </c>
      <c r="V303" s="26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 spans="1:36" ht="15" x14ac:dyDescent="0.2">
      <c r="A304" s="1">
        <v>302</v>
      </c>
      <c r="B304" s="35"/>
      <c r="C304" s="16"/>
      <c r="D304" s="15"/>
      <c r="E304" s="15"/>
      <c r="F304" s="15"/>
      <c r="G304" s="15"/>
      <c r="H304" s="15"/>
      <c r="I304" s="17"/>
      <c r="J304" s="15"/>
      <c r="K304" s="15"/>
      <c r="L304" s="10" t="e">
        <f t="shared" si="65"/>
        <v>#DIV/0!</v>
      </c>
      <c r="M304" s="14" t="e">
        <f t="shared" si="66"/>
        <v>#DIV/0!</v>
      </c>
      <c r="N304" s="11" t="str">
        <f t="shared" si="67"/>
        <v/>
      </c>
      <c r="O304" s="8" t="str">
        <f t="shared" si="68"/>
        <v/>
      </c>
      <c r="P304" s="8" t="str">
        <f t="shared" si="69"/>
        <v/>
      </c>
      <c r="Q304" s="8" t="str">
        <f t="shared" si="69"/>
        <v/>
      </c>
      <c r="R304" s="8" t="str">
        <f t="shared" si="69"/>
        <v/>
      </c>
      <c r="S304" s="11" t="e">
        <f t="shared" si="70"/>
        <v>#VALUE!</v>
      </c>
      <c r="T304" s="12" t="e">
        <f t="shared" si="71"/>
        <v>#DIV/0!</v>
      </c>
      <c r="U304" s="13" t="e">
        <f t="shared" si="72"/>
        <v>#VALUE!</v>
      </c>
      <c r="V304" s="26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 spans="1:36" ht="15" x14ac:dyDescent="0.2">
      <c r="A305" s="1">
        <v>303</v>
      </c>
      <c r="B305" s="35"/>
      <c r="C305" s="16"/>
      <c r="D305" s="15"/>
      <c r="E305" s="15"/>
      <c r="F305" s="15"/>
      <c r="G305" s="15"/>
      <c r="H305" s="15"/>
      <c r="I305" s="17"/>
      <c r="J305" s="15"/>
      <c r="K305" s="15"/>
      <c r="L305" s="10" t="e">
        <f t="shared" si="65"/>
        <v>#DIV/0!</v>
      </c>
      <c r="M305" s="14" t="e">
        <f t="shared" si="66"/>
        <v>#DIV/0!</v>
      </c>
      <c r="N305" s="11" t="str">
        <f t="shared" si="67"/>
        <v/>
      </c>
      <c r="O305" s="8" t="str">
        <f t="shared" si="68"/>
        <v/>
      </c>
      <c r="P305" s="8" t="str">
        <f t="shared" si="69"/>
        <v/>
      </c>
      <c r="Q305" s="8" t="str">
        <f t="shared" si="69"/>
        <v/>
      </c>
      <c r="R305" s="8" t="str">
        <f t="shared" si="69"/>
        <v/>
      </c>
      <c r="S305" s="11" t="e">
        <f t="shared" si="70"/>
        <v>#VALUE!</v>
      </c>
      <c r="T305" s="12" t="e">
        <f t="shared" si="71"/>
        <v>#DIV/0!</v>
      </c>
      <c r="U305" s="13" t="e">
        <f t="shared" si="72"/>
        <v>#VALUE!</v>
      </c>
      <c r="V305" s="26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 spans="1:36" ht="15" x14ac:dyDescent="0.2">
      <c r="A306" s="1">
        <v>304</v>
      </c>
      <c r="B306" s="35"/>
      <c r="C306" s="16"/>
      <c r="D306" s="15"/>
      <c r="E306" s="15"/>
      <c r="F306" s="15"/>
      <c r="G306" s="15"/>
      <c r="H306" s="15"/>
      <c r="I306" s="17"/>
      <c r="J306" s="15"/>
      <c r="K306" s="15"/>
      <c r="L306" s="10" t="e">
        <f t="shared" si="65"/>
        <v>#DIV/0!</v>
      </c>
      <c r="M306" s="14" t="e">
        <f t="shared" si="66"/>
        <v>#DIV/0!</v>
      </c>
      <c r="N306" s="11" t="str">
        <f t="shared" si="67"/>
        <v/>
      </c>
      <c r="O306" s="8" t="str">
        <f t="shared" si="68"/>
        <v/>
      </c>
      <c r="P306" s="8" t="str">
        <f t="shared" si="69"/>
        <v/>
      </c>
      <c r="Q306" s="8" t="str">
        <f t="shared" si="69"/>
        <v/>
      </c>
      <c r="R306" s="8" t="str">
        <f t="shared" si="69"/>
        <v/>
      </c>
      <c r="S306" s="11" t="e">
        <f t="shared" si="70"/>
        <v>#VALUE!</v>
      </c>
      <c r="T306" s="12" t="e">
        <f t="shared" si="71"/>
        <v>#DIV/0!</v>
      </c>
      <c r="U306" s="13" t="e">
        <f t="shared" si="72"/>
        <v>#VALUE!</v>
      </c>
      <c r="V306" s="26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 spans="1:36" ht="15" x14ac:dyDescent="0.2">
      <c r="A307" s="1">
        <v>305</v>
      </c>
      <c r="B307" s="35"/>
      <c r="C307" s="16"/>
      <c r="D307" s="15"/>
      <c r="E307" s="15"/>
      <c r="F307" s="15"/>
      <c r="G307" s="15"/>
      <c r="H307" s="15"/>
      <c r="I307" s="17"/>
      <c r="J307" s="15"/>
      <c r="K307" s="15"/>
      <c r="L307" s="10" t="e">
        <f t="shared" si="65"/>
        <v>#DIV/0!</v>
      </c>
      <c r="M307" s="14" t="e">
        <f t="shared" si="66"/>
        <v>#DIV/0!</v>
      </c>
      <c r="N307" s="11" t="str">
        <f t="shared" si="67"/>
        <v/>
      </c>
      <c r="O307" s="8" t="str">
        <f t="shared" si="68"/>
        <v/>
      </c>
      <c r="P307" s="8" t="str">
        <f t="shared" si="69"/>
        <v/>
      </c>
      <c r="Q307" s="8" t="str">
        <f t="shared" si="69"/>
        <v/>
      </c>
      <c r="R307" s="8" t="str">
        <f t="shared" si="69"/>
        <v/>
      </c>
      <c r="S307" s="11" t="e">
        <f t="shared" si="70"/>
        <v>#VALUE!</v>
      </c>
      <c r="T307" s="12" t="e">
        <f t="shared" si="71"/>
        <v>#DIV/0!</v>
      </c>
      <c r="U307" s="13" t="e">
        <f t="shared" si="72"/>
        <v>#VALUE!</v>
      </c>
      <c r="V307" s="26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 spans="1:36" ht="15" x14ac:dyDescent="0.2">
      <c r="A308" s="1">
        <v>306</v>
      </c>
      <c r="B308" s="35"/>
      <c r="C308" s="16"/>
      <c r="D308" s="15"/>
      <c r="E308" s="15"/>
      <c r="F308" s="15"/>
      <c r="G308" s="15"/>
      <c r="H308" s="15"/>
      <c r="I308" s="17"/>
      <c r="J308" s="15"/>
      <c r="K308" s="15"/>
      <c r="L308" s="10" t="e">
        <f t="shared" si="65"/>
        <v>#DIV/0!</v>
      </c>
      <c r="M308" s="14" t="e">
        <f t="shared" si="66"/>
        <v>#DIV/0!</v>
      </c>
      <c r="N308" s="11" t="str">
        <f t="shared" si="67"/>
        <v/>
      </c>
      <c r="O308" s="8" t="str">
        <f t="shared" si="68"/>
        <v/>
      </c>
      <c r="P308" s="8" t="str">
        <f t="shared" si="69"/>
        <v/>
      </c>
      <c r="Q308" s="8" t="str">
        <f t="shared" si="69"/>
        <v/>
      </c>
      <c r="R308" s="8" t="str">
        <f t="shared" si="69"/>
        <v/>
      </c>
      <c r="S308" s="11" t="e">
        <f t="shared" si="70"/>
        <v>#VALUE!</v>
      </c>
      <c r="T308" s="12" t="e">
        <f t="shared" si="71"/>
        <v>#DIV/0!</v>
      </c>
      <c r="U308" s="13" t="e">
        <f t="shared" si="72"/>
        <v>#VALUE!</v>
      </c>
      <c r="V308" s="26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 spans="1:36" ht="15" x14ac:dyDescent="0.2">
      <c r="A309" s="1">
        <v>307</v>
      </c>
      <c r="B309" s="35"/>
      <c r="C309" s="16"/>
      <c r="D309" s="15"/>
      <c r="E309" s="15"/>
      <c r="F309" s="15"/>
      <c r="G309" s="15"/>
      <c r="H309" s="15"/>
      <c r="I309" s="17"/>
      <c r="J309" s="15"/>
      <c r="K309" s="15"/>
      <c r="L309" s="10" t="e">
        <f t="shared" si="65"/>
        <v>#DIV/0!</v>
      </c>
      <c r="M309" s="14" t="e">
        <f t="shared" si="66"/>
        <v>#DIV/0!</v>
      </c>
      <c r="N309" s="11" t="str">
        <f t="shared" si="67"/>
        <v/>
      </c>
      <c r="O309" s="8" t="str">
        <f t="shared" si="68"/>
        <v/>
      </c>
      <c r="P309" s="8" t="str">
        <f t="shared" si="69"/>
        <v/>
      </c>
      <c r="Q309" s="8" t="str">
        <f t="shared" si="69"/>
        <v/>
      </c>
      <c r="R309" s="8" t="str">
        <f t="shared" si="69"/>
        <v/>
      </c>
      <c r="S309" s="11" t="e">
        <f t="shared" si="70"/>
        <v>#VALUE!</v>
      </c>
      <c r="T309" s="12" t="e">
        <f t="shared" si="71"/>
        <v>#DIV/0!</v>
      </c>
      <c r="U309" s="13" t="e">
        <f t="shared" si="72"/>
        <v>#VALUE!</v>
      </c>
      <c r="V309" s="26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 spans="1:36" ht="15" x14ac:dyDescent="0.2">
      <c r="A310" s="1">
        <v>308</v>
      </c>
      <c r="B310" s="35"/>
      <c r="C310" s="16"/>
      <c r="D310" s="15"/>
      <c r="E310" s="15"/>
      <c r="F310" s="15"/>
      <c r="G310" s="15"/>
      <c r="H310" s="15"/>
      <c r="I310" s="17"/>
      <c r="J310" s="15"/>
      <c r="K310" s="15"/>
      <c r="L310" s="10" t="e">
        <f t="shared" si="65"/>
        <v>#DIV/0!</v>
      </c>
      <c r="M310" s="14" t="e">
        <f t="shared" si="66"/>
        <v>#DIV/0!</v>
      </c>
      <c r="N310" s="11" t="str">
        <f t="shared" si="67"/>
        <v/>
      </c>
      <c r="O310" s="8" t="str">
        <f t="shared" si="68"/>
        <v/>
      </c>
      <c r="P310" s="8" t="str">
        <f t="shared" si="69"/>
        <v/>
      </c>
      <c r="Q310" s="8" t="str">
        <f t="shared" si="69"/>
        <v/>
      </c>
      <c r="R310" s="8" t="str">
        <f t="shared" si="69"/>
        <v/>
      </c>
      <c r="S310" s="11" t="e">
        <f t="shared" si="70"/>
        <v>#VALUE!</v>
      </c>
      <c r="T310" s="12" t="e">
        <f t="shared" si="71"/>
        <v>#DIV/0!</v>
      </c>
      <c r="U310" s="13" t="e">
        <f t="shared" si="72"/>
        <v>#VALUE!</v>
      </c>
      <c r="V310" s="26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 spans="1:36" ht="15" x14ac:dyDescent="0.2">
      <c r="A311" s="1">
        <v>309</v>
      </c>
      <c r="B311" s="35"/>
      <c r="C311" s="16"/>
      <c r="D311" s="15"/>
      <c r="E311" s="15"/>
      <c r="F311" s="15"/>
      <c r="G311" s="15"/>
      <c r="H311" s="15"/>
      <c r="I311" s="17"/>
      <c r="J311" s="15"/>
      <c r="K311" s="15"/>
      <c r="L311" s="10" t="e">
        <f t="shared" si="65"/>
        <v>#DIV/0!</v>
      </c>
      <c r="M311" s="14" t="e">
        <f t="shared" si="66"/>
        <v>#DIV/0!</v>
      </c>
      <c r="N311" s="11" t="str">
        <f t="shared" si="67"/>
        <v/>
      </c>
      <c r="O311" s="8" t="str">
        <f t="shared" si="68"/>
        <v/>
      </c>
      <c r="P311" s="8" t="str">
        <f t="shared" si="69"/>
        <v/>
      </c>
      <c r="Q311" s="8" t="str">
        <f t="shared" si="69"/>
        <v/>
      </c>
      <c r="R311" s="8" t="str">
        <f t="shared" si="69"/>
        <v/>
      </c>
      <c r="S311" s="11" t="e">
        <f t="shared" si="70"/>
        <v>#VALUE!</v>
      </c>
      <c r="T311" s="12" t="e">
        <f t="shared" si="71"/>
        <v>#DIV/0!</v>
      </c>
      <c r="U311" s="13" t="e">
        <f t="shared" si="72"/>
        <v>#VALUE!</v>
      </c>
      <c r="V311" s="26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 spans="1:36" ht="15" x14ac:dyDescent="0.2">
      <c r="A312" s="1">
        <v>310</v>
      </c>
      <c r="B312" s="35"/>
      <c r="C312" s="16"/>
      <c r="D312" s="15"/>
      <c r="E312" s="15"/>
      <c r="F312" s="15"/>
      <c r="G312" s="15"/>
      <c r="H312" s="15"/>
      <c r="I312" s="17"/>
      <c r="J312" s="15"/>
      <c r="K312" s="15"/>
      <c r="L312" s="10" t="e">
        <f t="shared" si="65"/>
        <v>#DIV/0!</v>
      </c>
      <c r="M312" s="14" t="e">
        <f t="shared" si="66"/>
        <v>#DIV/0!</v>
      </c>
      <c r="N312" s="11" t="str">
        <f t="shared" si="67"/>
        <v/>
      </c>
      <c r="O312" s="8" t="str">
        <f t="shared" si="68"/>
        <v/>
      </c>
      <c r="P312" s="8" t="str">
        <f t="shared" si="69"/>
        <v/>
      </c>
      <c r="Q312" s="8" t="str">
        <f t="shared" si="69"/>
        <v/>
      </c>
      <c r="R312" s="8" t="str">
        <f t="shared" si="69"/>
        <v/>
      </c>
      <c r="S312" s="11" t="e">
        <f t="shared" si="70"/>
        <v>#VALUE!</v>
      </c>
      <c r="T312" s="12" t="e">
        <f t="shared" si="71"/>
        <v>#DIV/0!</v>
      </c>
      <c r="U312" s="13" t="e">
        <f t="shared" si="72"/>
        <v>#VALUE!</v>
      </c>
      <c r="V312" s="26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 spans="1:36" ht="15" x14ac:dyDescent="0.2">
      <c r="A313" s="1">
        <v>311</v>
      </c>
      <c r="B313" s="35"/>
      <c r="C313" s="16"/>
      <c r="D313" s="15"/>
      <c r="E313" s="15"/>
      <c r="F313" s="15"/>
      <c r="G313" s="15"/>
      <c r="H313" s="15"/>
      <c r="I313" s="17"/>
      <c r="J313" s="15"/>
      <c r="K313" s="15"/>
      <c r="L313" s="10" t="e">
        <f t="shared" si="65"/>
        <v>#DIV/0!</v>
      </c>
      <c r="M313" s="14" t="e">
        <f t="shared" si="66"/>
        <v>#DIV/0!</v>
      </c>
      <c r="N313" s="11" t="str">
        <f t="shared" si="67"/>
        <v/>
      </c>
      <c r="O313" s="8" t="str">
        <f t="shared" si="68"/>
        <v/>
      </c>
      <c r="P313" s="8" t="str">
        <f t="shared" si="69"/>
        <v/>
      </c>
      <c r="Q313" s="8" t="str">
        <f t="shared" si="69"/>
        <v/>
      </c>
      <c r="R313" s="8" t="str">
        <f t="shared" si="69"/>
        <v/>
      </c>
      <c r="S313" s="11" t="e">
        <f t="shared" si="70"/>
        <v>#VALUE!</v>
      </c>
      <c r="T313" s="12" t="e">
        <f t="shared" si="71"/>
        <v>#DIV/0!</v>
      </c>
      <c r="U313" s="13" t="e">
        <f t="shared" si="72"/>
        <v>#VALUE!</v>
      </c>
      <c r="V313" s="26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 spans="1:36" ht="15" x14ac:dyDescent="0.2">
      <c r="A314" s="1">
        <v>312</v>
      </c>
      <c r="B314" s="35"/>
      <c r="C314" s="16"/>
      <c r="D314" s="15"/>
      <c r="E314" s="15"/>
      <c r="F314" s="15"/>
      <c r="G314" s="15"/>
      <c r="H314" s="15"/>
      <c r="I314" s="17"/>
      <c r="J314" s="15"/>
      <c r="K314" s="15"/>
      <c r="L314" s="10" t="e">
        <f t="shared" si="65"/>
        <v>#DIV/0!</v>
      </c>
      <c r="M314" s="14" t="e">
        <f t="shared" si="66"/>
        <v>#DIV/0!</v>
      </c>
      <c r="N314" s="11" t="str">
        <f t="shared" si="67"/>
        <v/>
      </c>
      <c r="O314" s="8" t="str">
        <f t="shared" si="68"/>
        <v/>
      </c>
      <c r="P314" s="8" t="str">
        <f t="shared" si="69"/>
        <v/>
      </c>
      <c r="Q314" s="8" t="str">
        <f t="shared" si="69"/>
        <v/>
      </c>
      <c r="R314" s="8" t="str">
        <f t="shared" si="69"/>
        <v/>
      </c>
      <c r="S314" s="11" t="e">
        <f t="shared" si="70"/>
        <v>#VALUE!</v>
      </c>
      <c r="T314" s="12" t="e">
        <f t="shared" si="71"/>
        <v>#DIV/0!</v>
      </c>
      <c r="U314" s="13" t="e">
        <f t="shared" si="72"/>
        <v>#VALUE!</v>
      </c>
      <c r="V314" s="26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 spans="1:36" ht="15" x14ac:dyDescent="0.2">
      <c r="A315" s="1">
        <v>313</v>
      </c>
      <c r="B315" s="35"/>
      <c r="C315" s="16"/>
      <c r="D315" s="15"/>
      <c r="E315" s="15"/>
      <c r="F315" s="15"/>
      <c r="G315" s="15"/>
      <c r="H315" s="15"/>
      <c r="I315" s="17"/>
      <c r="J315" s="15"/>
      <c r="K315" s="15"/>
      <c r="L315" s="10" t="e">
        <f t="shared" si="65"/>
        <v>#DIV/0!</v>
      </c>
      <c r="M315" s="14" t="e">
        <f t="shared" si="66"/>
        <v>#DIV/0!</v>
      </c>
      <c r="N315" s="11" t="str">
        <f t="shared" si="67"/>
        <v/>
      </c>
      <c r="O315" s="8" t="str">
        <f t="shared" si="68"/>
        <v/>
      </c>
      <c r="P315" s="8" t="str">
        <f t="shared" si="69"/>
        <v/>
      </c>
      <c r="Q315" s="8" t="str">
        <f t="shared" si="69"/>
        <v/>
      </c>
      <c r="R315" s="8" t="str">
        <f t="shared" si="69"/>
        <v/>
      </c>
      <c r="S315" s="11" t="e">
        <f t="shared" si="70"/>
        <v>#VALUE!</v>
      </c>
      <c r="T315" s="12" t="e">
        <f t="shared" si="71"/>
        <v>#DIV/0!</v>
      </c>
      <c r="U315" s="13" t="e">
        <f t="shared" si="72"/>
        <v>#VALUE!</v>
      </c>
      <c r="V315" s="26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 spans="1:36" ht="15" x14ac:dyDescent="0.2">
      <c r="A316" s="1">
        <v>314</v>
      </c>
      <c r="B316" s="35"/>
      <c r="C316" s="16"/>
      <c r="D316" s="15"/>
      <c r="E316" s="15"/>
      <c r="F316" s="15"/>
      <c r="G316" s="15"/>
      <c r="H316" s="15"/>
      <c r="I316" s="17"/>
      <c r="J316" s="15"/>
      <c r="K316" s="15"/>
      <c r="L316" s="10" t="e">
        <f t="shared" si="65"/>
        <v>#DIV/0!</v>
      </c>
      <c r="M316" s="14" t="e">
        <f t="shared" si="66"/>
        <v>#DIV/0!</v>
      </c>
      <c r="N316" s="11" t="str">
        <f t="shared" si="67"/>
        <v/>
      </c>
      <c r="O316" s="8" t="str">
        <f t="shared" si="68"/>
        <v/>
      </c>
      <c r="P316" s="8" t="str">
        <f t="shared" si="69"/>
        <v/>
      </c>
      <c r="Q316" s="8" t="str">
        <f t="shared" si="69"/>
        <v/>
      </c>
      <c r="R316" s="8" t="str">
        <f t="shared" si="69"/>
        <v/>
      </c>
      <c r="S316" s="11" t="e">
        <f t="shared" si="70"/>
        <v>#VALUE!</v>
      </c>
      <c r="T316" s="12" t="e">
        <f t="shared" si="71"/>
        <v>#DIV/0!</v>
      </c>
      <c r="U316" s="13" t="e">
        <f t="shared" si="72"/>
        <v>#VALUE!</v>
      </c>
      <c r="V316" s="26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 spans="1:36" ht="15" x14ac:dyDescent="0.2">
      <c r="A317" s="1">
        <v>315</v>
      </c>
      <c r="B317" s="35"/>
      <c r="C317" s="16"/>
      <c r="D317" s="15"/>
      <c r="E317" s="15"/>
      <c r="F317" s="15"/>
      <c r="G317" s="15"/>
      <c r="H317" s="15"/>
      <c r="I317" s="17"/>
      <c r="J317" s="15"/>
      <c r="K317" s="15"/>
      <c r="L317" s="10" t="e">
        <f t="shared" si="65"/>
        <v>#DIV/0!</v>
      </c>
      <c r="M317" s="14" t="e">
        <f t="shared" si="66"/>
        <v>#DIV/0!</v>
      </c>
      <c r="N317" s="11" t="str">
        <f t="shared" si="67"/>
        <v/>
      </c>
      <c r="O317" s="8" t="str">
        <f t="shared" si="68"/>
        <v/>
      </c>
      <c r="P317" s="8" t="str">
        <f t="shared" si="69"/>
        <v/>
      </c>
      <c r="Q317" s="8" t="str">
        <f t="shared" si="69"/>
        <v/>
      </c>
      <c r="R317" s="8" t="str">
        <f t="shared" si="69"/>
        <v/>
      </c>
      <c r="S317" s="11" t="e">
        <f t="shared" si="70"/>
        <v>#VALUE!</v>
      </c>
      <c r="T317" s="12" t="e">
        <f t="shared" si="71"/>
        <v>#DIV/0!</v>
      </c>
      <c r="U317" s="13" t="e">
        <f t="shared" si="72"/>
        <v>#VALUE!</v>
      </c>
      <c r="V317" s="26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 spans="1:36" ht="15" x14ac:dyDescent="0.2">
      <c r="A318" s="1">
        <v>316</v>
      </c>
      <c r="B318" s="35"/>
      <c r="C318" s="16"/>
      <c r="D318" s="15"/>
      <c r="E318" s="15"/>
      <c r="F318" s="15"/>
      <c r="G318" s="15"/>
      <c r="H318" s="15"/>
      <c r="I318" s="17"/>
      <c r="J318" s="15"/>
      <c r="K318" s="15"/>
      <c r="L318" s="10" t="e">
        <f t="shared" si="65"/>
        <v>#DIV/0!</v>
      </c>
      <c r="M318" s="14" t="e">
        <f t="shared" si="66"/>
        <v>#DIV/0!</v>
      </c>
      <c r="N318" s="11" t="str">
        <f t="shared" si="67"/>
        <v/>
      </c>
      <c r="O318" s="8" t="str">
        <f t="shared" si="68"/>
        <v/>
      </c>
      <c r="P318" s="8" t="str">
        <f t="shared" si="69"/>
        <v/>
      </c>
      <c r="Q318" s="8" t="str">
        <f t="shared" si="69"/>
        <v/>
      </c>
      <c r="R318" s="8" t="str">
        <f t="shared" si="69"/>
        <v/>
      </c>
      <c r="S318" s="11" t="e">
        <f t="shared" si="70"/>
        <v>#VALUE!</v>
      </c>
      <c r="T318" s="12" t="e">
        <f t="shared" si="71"/>
        <v>#DIV/0!</v>
      </c>
      <c r="U318" s="13" t="e">
        <f t="shared" si="72"/>
        <v>#VALUE!</v>
      </c>
      <c r="V318" s="26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 spans="1:36" ht="15" x14ac:dyDescent="0.2">
      <c r="A319" s="1">
        <v>317</v>
      </c>
      <c r="B319" s="35"/>
      <c r="C319" s="16"/>
      <c r="D319" s="15"/>
      <c r="E319" s="15"/>
      <c r="F319" s="15"/>
      <c r="G319" s="15"/>
      <c r="H319" s="15"/>
      <c r="I319" s="17"/>
      <c r="J319" s="15"/>
      <c r="K319" s="15"/>
      <c r="L319" s="10" t="e">
        <f t="shared" si="65"/>
        <v>#DIV/0!</v>
      </c>
      <c r="M319" s="14" t="e">
        <f t="shared" si="66"/>
        <v>#DIV/0!</v>
      </c>
      <c r="N319" s="11" t="str">
        <f t="shared" si="67"/>
        <v/>
      </c>
      <c r="O319" s="8" t="str">
        <f t="shared" si="68"/>
        <v/>
      </c>
      <c r="P319" s="8" t="str">
        <f t="shared" si="69"/>
        <v/>
      </c>
      <c r="Q319" s="8" t="str">
        <f t="shared" si="69"/>
        <v/>
      </c>
      <c r="R319" s="8" t="str">
        <f t="shared" si="69"/>
        <v/>
      </c>
      <c r="S319" s="11" t="e">
        <f t="shared" si="70"/>
        <v>#VALUE!</v>
      </c>
      <c r="T319" s="12" t="e">
        <f t="shared" si="71"/>
        <v>#DIV/0!</v>
      </c>
      <c r="U319" s="13" t="e">
        <f t="shared" si="72"/>
        <v>#VALUE!</v>
      </c>
      <c r="V319" s="26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 spans="1:36" ht="15" x14ac:dyDescent="0.2">
      <c r="A320" s="1">
        <v>318</v>
      </c>
      <c r="B320" s="35"/>
      <c r="C320" s="16"/>
      <c r="D320" s="15"/>
      <c r="E320" s="15"/>
      <c r="F320" s="15"/>
      <c r="G320" s="15"/>
      <c r="H320" s="15"/>
      <c r="I320" s="17"/>
      <c r="J320" s="15"/>
      <c r="K320" s="15"/>
      <c r="L320" s="10" t="e">
        <f t="shared" si="65"/>
        <v>#DIV/0!</v>
      </c>
      <c r="M320" s="14" t="e">
        <f t="shared" si="66"/>
        <v>#DIV/0!</v>
      </c>
      <c r="N320" s="11" t="str">
        <f t="shared" si="67"/>
        <v/>
      </c>
      <c r="O320" s="8" t="str">
        <f t="shared" si="68"/>
        <v/>
      </c>
      <c r="P320" s="8" t="str">
        <f t="shared" si="69"/>
        <v/>
      </c>
      <c r="Q320" s="8" t="str">
        <f t="shared" si="69"/>
        <v/>
      </c>
      <c r="R320" s="8" t="str">
        <f t="shared" si="69"/>
        <v/>
      </c>
      <c r="S320" s="11" t="e">
        <f t="shared" si="70"/>
        <v>#VALUE!</v>
      </c>
      <c r="T320" s="12" t="e">
        <f t="shared" si="71"/>
        <v>#DIV/0!</v>
      </c>
      <c r="U320" s="13" t="e">
        <f t="shared" si="72"/>
        <v>#VALUE!</v>
      </c>
      <c r="V320" s="26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 spans="1:36" ht="15" x14ac:dyDescent="0.2">
      <c r="A321" s="1">
        <v>319</v>
      </c>
      <c r="B321" s="35"/>
      <c r="C321" s="16"/>
      <c r="D321" s="15"/>
      <c r="E321" s="15"/>
      <c r="F321" s="15"/>
      <c r="G321" s="15"/>
      <c r="H321" s="15"/>
      <c r="I321" s="17"/>
      <c r="J321" s="15"/>
      <c r="K321" s="15"/>
      <c r="L321" s="10" t="e">
        <f t="shared" si="65"/>
        <v>#DIV/0!</v>
      </c>
      <c r="M321" s="14" t="e">
        <f t="shared" si="66"/>
        <v>#DIV/0!</v>
      </c>
      <c r="N321" s="11" t="str">
        <f t="shared" si="67"/>
        <v/>
      </c>
      <c r="O321" s="8" t="str">
        <f t="shared" si="68"/>
        <v/>
      </c>
      <c r="P321" s="8" t="str">
        <f t="shared" si="69"/>
        <v/>
      </c>
      <c r="Q321" s="8" t="str">
        <f t="shared" si="69"/>
        <v/>
      </c>
      <c r="R321" s="8" t="str">
        <f t="shared" si="69"/>
        <v/>
      </c>
      <c r="S321" s="11" t="e">
        <f t="shared" si="70"/>
        <v>#VALUE!</v>
      </c>
      <c r="T321" s="12" t="e">
        <f t="shared" si="71"/>
        <v>#DIV/0!</v>
      </c>
      <c r="U321" s="13" t="e">
        <f t="shared" si="72"/>
        <v>#VALUE!</v>
      </c>
      <c r="V321" s="26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 spans="1:36" ht="15" x14ac:dyDescent="0.2">
      <c r="A322" s="1">
        <v>320</v>
      </c>
      <c r="B322" s="35"/>
      <c r="C322" s="16"/>
      <c r="D322" s="15"/>
      <c r="E322" s="15"/>
      <c r="F322" s="15"/>
      <c r="G322" s="15"/>
      <c r="H322" s="15"/>
      <c r="I322" s="17"/>
      <c r="J322" s="15"/>
      <c r="K322" s="15"/>
      <c r="L322" s="10" t="e">
        <f t="shared" si="65"/>
        <v>#DIV/0!</v>
      </c>
      <c r="M322" s="14" t="e">
        <f t="shared" si="66"/>
        <v>#DIV/0!</v>
      </c>
      <c r="N322" s="11" t="str">
        <f t="shared" si="67"/>
        <v/>
      </c>
      <c r="O322" s="8" t="str">
        <f t="shared" si="68"/>
        <v/>
      </c>
      <c r="P322" s="8" t="str">
        <f t="shared" si="69"/>
        <v/>
      </c>
      <c r="Q322" s="8" t="str">
        <f t="shared" si="69"/>
        <v/>
      </c>
      <c r="R322" s="8" t="str">
        <f t="shared" si="69"/>
        <v/>
      </c>
      <c r="S322" s="11" t="e">
        <f t="shared" si="70"/>
        <v>#VALUE!</v>
      </c>
      <c r="T322" s="12" t="e">
        <f t="shared" si="71"/>
        <v>#DIV/0!</v>
      </c>
      <c r="U322" s="13" t="e">
        <f t="shared" si="72"/>
        <v>#VALUE!</v>
      </c>
      <c r="V322" s="26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</sheetData>
  <mergeCells count="17">
    <mergeCell ref="A1:A2"/>
    <mergeCell ref="B1:B2"/>
    <mergeCell ref="C1:C2"/>
    <mergeCell ref="D1:D2"/>
    <mergeCell ref="G1:G2"/>
    <mergeCell ref="U1:U2"/>
    <mergeCell ref="V1:V2"/>
    <mergeCell ref="E1:F1"/>
    <mergeCell ref="J1:M1"/>
    <mergeCell ref="O1:P1"/>
    <mergeCell ref="H1:H2"/>
    <mergeCell ref="I1:I2"/>
    <mergeCell ref="N1:N2"/>
    <mergeCell ref="Q1:Q2"/>
    <mergeCell ref="R1:R2"/>
    <mergeCell ref="S1:S2"/>
    <mergeCell ref="T1:T2"/>
  </mergeCells>
  <conditionalFormatting sqref="U3:U322">
    <cfRule type="cellIs" dxfId="6" priority="8" operator="between">
      <formula>-3.37048</formula>
      <formula>3.3322707</formula>
    </cfRule>
    <cfRule type="cellIs" dxfId="5" priority="9" operator="between">
      <formula>3.322708</formula>
      <formula>6.6693</formula>
    </cfRule>
    <cfRule type="cellIs" dxfId="4" priority="10" operator="between">
      <formula>-6.71707</formula>
      <formula>-3.37049</formula>
    </cfRule>
    <cfRule type="cellIs" dxfId="3" priority="11" operator="greaterThan">
      <formula>6.6693</formula>
    </cfRule>
    <cfRule type="cellIs" dxfId="2" priority="12" operator="lessThan">
      <formula>-6.71707</formula>
    </cfRule>
  </conditionalFormatting>
  <conditionalFormatting sqref="V221:V322">
    <cfRule type="cellIs" dxfId="1" priority="20" operator="greaterThanOrEqual">
      <formula>10</formula>
    </cfRule>
    <cfRule type="cellIs" dxfId="0" priority="21" operator="lessThanOrEqual">
      <formula>-12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Sharma</dc:creator>
  <cp:lastModifiedBy>MohitSharma</cp:lastModifiedBy>
  <dcterms:created xsi:type="dcterms:W3CDTF">2024-11-29T13:40:18Z</dcterms:created>
  <dcterms:modified xsi:type="dcterms:W3CDTF">2024-11-29T13:40:19Z</dcterms:modified>
</cp:coreProperties>
</file>